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o" sheetId="1" state="visible" r:id="rId3"/>
    <sheet name="Data_Mentah" sheetId="2" state="visible" r:id="rId4"/>
    <sheet name="Log_Pembersihan" sheetId="3" state="visible" r:id="rId5"/>
    <sheet name="Data_Bersih" sheetId="4" state="visible" r:id="rId6"/>
    <sheet name="Ringkasan_Menu" sheetId="5" state="visible" r:id="rId7"/>
    <sheet name="Ringkasan_Jam" sheetId="6" state="visible" r:id="rId8"/>
    <sheet name="Daftar_Menu" sheetId="7" state="visible" r:id="rId9"/>
  </sheets>
  <definedNames>
    <definedName function="false" hidden="true" localSheetId="3" name="_xlnm._FilterDatabase" vbProcedure="false">Data_Bersih!$A$1:$L$2398</definedName>
    <definedName function="false" hidden="true" localSheetId="1" name="_xlnm._FilterDatabase" vbProcedure="false">Data_Mentah!$A$1:$F$2431</definedName>
    <definedName function="false" hidden="true" localSheetId="2" name="_xlnm._FilterDatabase" vbProcedure="false">Log_Pembersihan!$A$1:$H$110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<sst xmlns="http://schemas.openxmlformats.org/spreadsheetml/2006/main" count="12916" uniqueCount="2282">
  <si>
    <t xml:space="preserve">Data Transaksi Simulasi - Analisis Penjualan UMKM Kuliner</t>
  </si>
  <si>
    <t xml:space="preserve">Pengantar Data Sains | Studi Kasus 2 | Kelompok 6</t>
  </si>
  <si>
    <t xml:space="preserve">Keterangan umum</t>
  </si>
  <si>
    <t xml:space="preserve">Sumber data</t>
  </si>
  <si>
    <t xml:space="preserve">DATA SIMULASI, bukan transaksi nyata. Kesimpulan hanya berlaku untuk data ini.</t>
  </si>
  <si>
    <t xml:space="preserve">Periode</t>
  </si>
  <si>
    <t xml:space="preserve">1-30 September 2026 (30 hari)</t>
  </si>
  <si>
    <t xml:space="preserve">Cara pembuatan</t>
  </si>
  <si>
    <t xml:space="preserve">Skrip Python buat_data_simulasi.py dengan seed acak 2026, berdasarkan parameter di bawah. Skrip disertakan agar data dapat dibuat ulang.</t>
  </si>
  <si>
    <t xml:space="preserve">Parameter simulasi</t>
  </si>
  <si>
    <t xml:space="preserve">12 menu (7 makanan, 5 minuman); 40-52 transaksi per hari kerja dan 50-60 pada akhir pekan; 1-3 menu per transaksi; jam buka 08:00-20:59 dengan puncak siang (11-13) dan malam (18-19).</t>
  </si>
  <si>
    <t xml:space="preserve">Kesalahan sengaja</t>
  </si>
  <si>
    <t xml:space="preserve">Data_Mentah sengaja memuat kesalahan (kosong, duplikat, format jam, nama menu, harga, jumlah) untuk latihan pembersihan. Semua perubahan tercatat di Log_Pembersihan.</t>
  </si>
  <si>
    <t xml:space="preserve">Asumsi</t>
  </si>
  <si>
    <t xml:space="preserve">Harga jual tiap menu tetap selama periode (lihat Daftar_Menu). Satu ID transaksi dapat memuat beberapa baris menu.</t>
  </si>
  <si>
    <t xml:space="preserve">Ringkasan data (dihitung otomatis)</t>
  </si>
  <si>
    <t xml:space="preserve">Baris data mentah</t>
  </si>
  <si>
    <t xml:space="preserve">Baris data bersih</t>
  </si>
  <si>
    <t xml:space="preserve">Baris dikeluarkan</t>
  </si>
  <si>
    <t xml:space="preserve">Jumlah transaksi (ID unik)</t>
  </si>
  <si>
    <t xml:space="preserve">Total pendapatan (Rp)</t>
  </si>
  <si>
    <t xml:space="preserve">Ringkasan masalah data (dari Log_Pembersihan)</t>
  </si>
  <si>
    <t xml:space="preserve">Pencatatan ganda (duplikat)</t>
  </si>
  <si>
    <t xml:space="preserve">Nama menu tidak seragam</t>
  </si>
  <si>
    <t xml:space="preserve">Format jam tidak seragam</t>
  </si>
  <si>
    <t xml:space="preserve">Jam kosong</t>
  </si>
  <si>
    <t xml:space="preserve">Harga kosong</t>
  </si>
  <si>
    <t xml:space="preserve">Harga nol atau tidak wajar</t>
  </si>
  <si>
    <t xml:space="preserve">Jumlah kosong</t>
  </si>
  <si>
    <t xml:space="preserve">Jumlah nol atau negatif</t>
  </si>
  <si>
    <t xml:space="preserve">Menu kosong</t>
  </si>
  <si>
    <t xml:space="preserve">Total temuan</t>
  </si>
  <si>
    <t xml:space="preserve">Kamus data (sesuai Rencana Data, slide 8)</t>
  </si>
  <si>
    <t xml:space="preserve">Variabel</t>
  </si>
  <si>
    <t xml:space="preserve">Tipe Data</t>
  </si>
  <si>
    <t xml:space="preserve">Keterangan</t>
  </si>
  <si>
    <t xml:space="preserve">ID_Transaksi</t>
  </si>
  <si>
    <t xml:space="preserve">Kategorikal</t>
  </si>
  <si>
    <t xml:space="preserve">Kode unik tiap transaksi (untuk deteksi duplikat dan hitung transaksi)</t>
  </si>
  <si>
    <t xml:space="preserve">Tanggal</t>
  </si>
  <si>
    <t xml:space="preserve">Hari terjadinya penjualan</t>
  </si>
  <si>
    <t xml:space="preserve">Menu</t>
  </si>
  <si>
    <t xml:space="preserve">Nama makanan atau minuman</t>
  </si>
  <si>
    <t xml:space="preserve">Jumlah</t>
  </si>
  <si>
    <t xml:space="preserve">Numerik</t>
  </si>
  <si>
    <t xml:space="preserve">Banyaknya produk yang terjual</t>
  </si>
  <si>
    <t xml:space="preserve">Jam</t>
  </si>
  <si>
    <t xml:space="preserve">Waktu</t>
  </si>
  <si>
    <t xml:space="preserve">Waktu terjadinya transaksi</t>
  </si>
  <si>
    <t xml:space="preserve">Harga</t>
  </si>
  <si>
    <t xml:space="preserve">Harga jual per unit produk (Rp)</t>
  </si>
  <si>
    <t xml:space="preserve">Total_Pendapatan</t>
  </si>
  <si>
    <t xml:space="preserve">Numerik turunan</t>
  </si>
  <si>
    <t xml:space="preserve">Jumlah x Harga (rumus per baris)</t>
  </si>
  <si>
    <t xml:space="preserve">Kategori</t>
  </si>
  <si>
    <t xml:space="preserve">Kategorikal turunan</t>
  </si>
  <si>
    <t xml:space="preserve">Makanan atau Minuman (dari Daftar_Menu)</t>
  </si>
  <si>
    <t xml:space="preserve">Hari</t>
  </si>
  <si>
    <t xml:space="preserve">Hari dalam minggu dari Tanggal</t>
  </si>
  <si>
    <t xml:space="preserve">Jam_Bulat</t>
  </si>
  <si>
    <t xml:space="preserve">Jam (0-23) dari Jam</t>
  </si>
  <si>
    <t xml:space="preserve">Kelompok_Jam</t>
  </si>
  <si>
    <t xml:space="preserve">Pagi (&lt;11), Siang (11-16), Malam (&gt;=17)</t>
  </si>
  <si>
    <t xml:space="preserve">Transaksi_Baru</t>
  </si>
  <si>
    <t xml:space="preserve">1 pada baris pertama tiap ID transaksi (untuk menghitung jumlah transaksi)</t>
  </si>
  <si>
    <t xml:space="preserve">Isi sheet</t>
  </si>
  <si>
    <t xml:space="preserve">Data_Mentah</t>
  </si>
  <si>
    <t xml:space="preserve">Data apa adanya (dengan kesalahan sengaja). Tidak diubah.</t>
  </si>
  <si>
    <t xml:space="preserve">Log_Pembersihan</t>
  </si>
  <si>
    <t xml:space="preserve">Catatan setiap perubahan atau penghapusan beserta langkah di Rencana Persiapan Data.</t>
  </si>
  <si>
    <t xml:space="preserve">Data_Bersih</t>
  </si>
  <si>
    <t xml:space="preserve">Hasil pembersihan + variabel turunan (rumus).</t>
  </si>
  <si>
    <t xml:space="preserve">Ringkasan_Menu</t>
  </si>
  <si>
    <t xml:space="preserve">Jumlah terjual, pendapatan, kontribusi, dan peringkat per menu.</t>
  </si>
  <si>
    <t xml:space="preserve">Ringkasan_Jam</t>
  </si>
  <si>
    <t xml:space="preserve">Transaksi dan pendapatan per jam, beserta peringkat.</t>
  </si>
  <si>
    <t xml:space="preserve">Daftar_Menu</t>
  </si>
  <si>
    <t xml:space="preserve">Menu, kategori, harga baku, dan alias penulisan (masukan berwarna biru).</t>
  </si>
  <si>
    <t xml:space="preserve">TRX-0001</t>
  </si>
  <si>
    <t xml:space="preserve">Soto Ayam</t>
  </si>
  <si>
    <t xml:space="preserve">10:57</t>
  </si>
  <si>
    <t xml:space="preserve">Nasi Goreng</t>
  </si>
  <si>
    <t xml:space="preserve">Nasi Uduk</t>
  </si>
  <si>
    <t xml:space="preserve">TRX-0002</t>
  </si>
  <si>
    <t xml:space="preserve">Es Teh Manis</t>
  </si>
  <si>
    <t xml:space="preserve">11:03</t>
  </si>
  <si>
    <t xml:space="preserve">TRX-0003</t>
  </si>
  <si>
    <t xml:space="preserve">12:06</t>
  </si>
  <si>
    <t xml:space="preserve">TRX-0004</t>
  </si>
  <si>
    <t xml:space="preserve">Mie Goreng</t>
  </si>
  <si>
    <t xml:space="preserve">12:32</t>
  </si>
  <si>
    <t xml:space="preserve">TRX-0005</t>
  </si>
  <si>
    <t xml:space="preserve">Teh Hangat</t>
  </si>
  <si>
    <t xml:space="preserve">12:35</t>
  </si>
  <si>
    <t xml:space="preserve">TRX-0006</t>
  </si>
  <si>
    <t xml:space="preserve">13:00</t>
  </si>
  <si>
    <t xml:space="preserve">TRX-0007</t>
  </si>
  <si>
    <t xml:space="preserve">13:22</t>
  </si>
  <si>
    <t xml:space="preserve">TRX-0008</t>
  </si>
  <si>
    <t xml:space="preserve">13:24</t>
  </si>
  <si>
    <t xml:space="preserve">TRX-0009</t>
  </si>
  <si>
    <t xml:space="preserve">Ayam Geprek</t>
  </si>
  <si>
    <t xml:space="preserve">13:27</t>
  </si>
  <si>
    <t xml:space="preserve">TRX-0010</t>
  </si>
  <si>
    <t xml:space="preserve">13:36</t>
  </si>
  <si>
    <t xml:space="preserve">TRX-0011</t>
  </si>
  <si>
    <t xml:space="preserve">13:52</t>
  </si>
  <si>
    <t xml:space="preserve">TRX-0012</t>
  </si>
  <si>
    <t xml:space="preserve">Nasi Ayam Bakar</t>
  </si>
  <si>
    <t xml:space="preserve">13:59</t>
  </si>
  <si>
    <t xml:space="preserve">TRX-0013</t>
  </si>
  <si>
    <t xml:space="preserve">14:56</t>
  </si>
  <si>
    <t xml:space="preserve">Kopi Susu</t>
  </si>
  <si>
    <t xml:space="preserve">TRX-0014</t>
  </si>
  <si>
    <t xml:space="preserve">14:58</t>
  </si>
  <si>
    <t xml:space="preserve">TRX-0015</t>
  </si>
  <si>
    <t xml:space="preserve">15:01</t>
  </si>
  <si>
    <t xml:space="preserve">TRX-0016</t>
  </si>
  <si>
    <t xml:space="preserve">15:18</t>
  </si>
  <si>
    <t xml:space="preserve">TRX-0017</t>
  </si>
  <si>
    <t xml:space="preserve">15:46</t>
  </si>
  <si>
    <t xml:space="preserve">TRX-0018</t>
  </si>
  <si>
    <t xml:space="preserve">15:48</t>
  </si>
  <si>
    <t xml:space="preserve">TRX-0019</t>
  </si>
  <si>
    <t xml:space="preserve">15:54</t>
  </si>
  <si>
    <t xml:space="preserve">TRX-0020</t>
  </si>
  <si>
    <t xml:space="preserve">Air Mineral</t>
  </si>
  <si>
    <t xml:space="preserve">16:01</t>
  </si>
  <si>
    <t xml:space="preserve">TRX-0021</t>
  </si>
  <si>
    <t xml:space="preserve">16:31</t>
  </si>
  <si>
    <t xml:space="preserve">TRX-0022</t>
  </si>
  <si>
    <t xml:space="preserve">16:35</t>
  </si>
  <si>
    <t xml:space="preserve">Bakso</t>
  </si>
  <si>
    <t xml:space="preserve">TRX-0023</t>
  </si>
  <si>
    <t xml:space="preserve">16:49</t>
  </si>
  <si>
    <t xml:space="preserve">TRX-0024</t>
  </si>
  <si>
    <t xml:space="preserve">17:06</t>
  </si>
  <si>
    <t xml:space="preserve">TRX-0025</t>
  </si>
  <si>
    <t xml:space="preserve">17:07</t>
  </si>
  <si>
    <t xml:space="preserve">TRX-0026</t>
  </si>
  <si>
    <t xml:space="preserve">17:13</t>
  </si>
  <si>
    <t xml:space="preserve">TRX-0027</t>
  </si>
  <si>
    <t xml:space="preserve">17:45</t>
  </si>
  <si>
    <t xml:space="preserve">TRX-0028</t>
  </si>
  <si>
    <t xml:space="preserve">17:46</t>
  </si>
  <si>
    <t xml:space="preserve">TRX-0029</t>
  </si>
  <si>
    <t xml:space="preserve">18:27</t>
  </si>
  <si>
    <t xml:space="preserve">TRX-0030</t>
  </si>
  <si>
    <t xml:space="preserve">18:31</t>
  </si>
  <si>
    <t xml:space="preserve">TRX-0031</t>
  </si>
  <si>
    <t xml:space="preserve">18:37</t>
  </si>
  <si>
    <t xml:space="preserve">TRX-0032</t>
  </si>
  <si>
    <t xml:space="preserve">19:06</t>
  </si>
  <si>
    <t xml:space="preserve">TRX-0033</t>
  </si>
  <si>
    <t xml:space="preserve">19:23</t>
  </si>
  <si>
    <t xml:space="preserve">TRX-0034</t>
  </si>
  <si>
    <t xml:space="preserve">19:27</t>
  </si>
  <si>
    <t xml:space="preserve">TRX-0035</t>
  </si>
  <si>
    <t xml:space="preserve">19:31</t>
  </si>
  <si>
    <t xml:space="preserve">TRX-0036</t>
  </si>
  <si>
    <t xml:space="preserve">19:56</t>
  </si>
  <si>
    <t xml:space="preserve">TRX-0037</t>
  </si>
  <si>
    <t xml:space="preserve">19:57</t>
  </si>
  <si>
    <t xml:space="preserve">TRX-0038</t>
  </si>
  <si>
    <t xml:space="preserve">20:32</t>
  </si>
  <si>
    <t xml:space="preserve">TRX-0039</t>
  </si>
  <si>
    <t xml:space="preserve">TRX-0040</t>
  </si>
  <si>
    <t xml:space="preserve">20:33</t>
  </si>
  <si>
    <t xml:space="preserve">TRX-0041</t>
  </si>
  <si>
    <t xml:space="preserve">20:59</t>
  </si>
  <si>
    <t xml:space="preserve">TRX-0042</t>
  </si>
  <si>
    <t xml:space="preserve">08:00</t>
  </si>
  <si>
    <t xml:space="preserve">TRX-0043</t>
  </si>
  <si>
    <t xml:space="preserve">09:34</t>
  </si>
  <si>
    <t xml:space="preserve">TRX-0044</t>
  </si>
  <si>
    <t xml:space="preserve">09:41</t>
  </si>
  <si>
    <t xml:space="preserve">TRX-0045</t>
  </si>
  <si>
    <t xml:space="preserve">10:44</t>
  </si>
  <si>
    <t xml:space="preserve">TRX-0046</t>
  </si>
  <si>
    <t xml:space="preserve">11:20</t>
  </si>
  <si>
    <t xml:space="preserve">TRX-0047</t>
  </si>
  <si>
    <t xml:space="preserve">11:44</t>
  </si>
  <si>
    <t xml:space="preserve">TRX-0048</t>
  </si>
  <si>
    <t xml:space="preserve">TRX-0049</t>
  </si>
  <si>
    <t xml:space="preserve">11:56</t>
  </si>
  <si>
    <t xml:space="preserve">TRX-0050</t>
  </si>
  <si>
    <t xml:space="preserve">Es Jeruk</t>
  </si>
  <si>
    <t xml:space="preserve">11:58</t>
  </si>
  <si>
    <t xml:space="preserve">TRX-0051</t>
  </si>
  <si>
    <t xml:space="preserve">12:25</t>
  </si>
  <si>
    <t xml:space="preserve">TRX-0052</t>
  </si>
  <si>
    <t xml:space="preserve">12:31</t>
  </si>
  <si>
    <t xml:space="preserve">TRX-0053</t>
  </si>
  <si>
    <t xml:space="preserve">12:37</t>
  </si>
  <si>
    <t xml:space="preserve">TRX-0054</t>
  </si>
  <si>
    <t xml:space="preserve">12:39</t>
  </si>
  <si>
    <t xml:space="preserve">TRX-0055</t>
  </si>
  <si>
    <t xml:space="preserve">12:56</t>
  </si>
  <si>
    <t xml:space="preserve">TRX-0056</t>
  </si>
  <si>
    <t xml:space="preserve">12:59</t>
  </si>
  <si>
    <t xml:space="preserve">TRX-0057</t>
  </si>
  <si>
    <t xml:space="preserve">13:12</t>
  </si>
  <si>
    <t xml:space="preserve">TRX-0058</t>
  </si>
  <si>
    <t xml:space="preserve">13:18:00</t>
  </si>
  <si>
    <t xml:space="preserve">13:18</t>
  </si>
  <si>
    <t xml:space="preserve">TRX-0059</t>
  </si>
  <si>
    <t xml:space="preserve">13:34</t>
  </si>
  <si>
    <t xml:space="preserve">TRX-0060</t>
  </si>
  <si>
    <t xml:space="preserve">14:30</t>
  </si>
  <si>
    <t xml:space="preserve">TRX-0061</t>
  </si>
  <si>
    <t xml:space="preserve">TRX-0062</t>
  </si>
  <si>
    <t xml:space="preserve">14:32</t>
  </si>
  <si>
    <t xml:space="preserve">TRX-0063</t>
  </si>
  <si>
    <t xml:space="preserve">14:46</t>
  </si>
  <si>
    <t xml:space="preserve">TRX-0064</t>
  </si>
  <si>
    <t xml:space="preserve">14:51</t>
  </si>
  <si>
    <t xml:space="preserve">TRX-0065</t>
  </si>
  <si>
    <t xml:space="preserve">TRX-0066</t>
  </si>
  <si>
    <t xml:space="preserve">15:41</t>
  </si>
  <si>
    <t xml:space="preserve">TRX-0067</t>
  </si>
  <si>
    <t xml:space="preserve">17:02</t>
  </si>
  <si>
    <t xml:space="preserve">TRX-0068</t>
  </si>
  <si>
    <t xml:space="preserve">17:12</t>
  </si>
  <si>
    <t xml:space="preserve">TRX-0069</t>
  </si>
  <si>
    <t xml:space="preserve">17:19</t>
  </si>
  <si>
    <t xml:space="preserve">TRX-0070</t>
  </si>
  <si>
    <t xml:space="preserve">17:36</t>
  </si>
  <si>
    <t xml:space="preserve">TRX-0071</t>
  </si>
  <si>
    <t xml:space="preserve">18:22</t>
  </si>
  <si>
    <t xml:space="preserve">TRX-0072</t>
  </si>
  <si>
    <t xml:space="preserve">18:25</t>
  </si>
  <si>
    <t xml:space="preserve">TRX-0073</t>
  </si>
  <si>
    <t xml:space="preserve">18:26</t>
  </si>
  <si>
    <t xml:space="preserve">TRX-0074</t>
  </si>
  <si>
    <t xml:space="preserve">TRX-0075</t>
  </si>
  <si>
    <t xml:space="preserve">18:32</t>
  </si>
  <si>
    <t xml:space="preserve">TRX-0076</t>
  </si>
  <si>
    <t xml:space="preserve">18:34</t>
  </si>
  <si>
    <t xml:space="preserve">TRX-0077</t>
  </si>
  <si>
    <t xml:space="preserve">18:35</t>
  </si>
  <si>
    <t xml:space="preserve">TRX-0078</t>
  </si>
  <si>
    <t xml:space="preserve">18:55</t>
  </si>
  <si>
    <t xml:space="preserve">TRX-0079</t>
  </si>
  <si>
    <t xml:space="preserve">18:59</t>
  </si>
  <si>
    <t xml:space="preserve">TRX-0080</t>
  </si>
  <si>
    <t xml:space="preserve">19:00</t>
  </si>
  <si>
    <t xml:space="preserve">TRX-0081</t>
  </si>
  <si>
    <t xml:space="preserve">19:05</t>
  </si>
  <si>
    <t xml:space="preserve">TRX-0082</t>
  </si>
  <si>
    <t xml:space="preserve">19:20</t>
  </si>
  <si>
    <t xml:space="preserve">TRX-0083</t>
  </si>
  <si>
    <t xml:space="preserve">19:29</t>
  </si>
  <si>
    <t xml:space="preserve">TRX-0084</t>
  </si>
  <si>
    <t xml:space="preserve">19:30</t>
  </si>
  <si>
    <t xml:space="preserve">MIE GORENG</t>
  </si>
  <si>
    <t xml:space="preserve">TRX-0085</t>
  </si>
  <si>
    <t xml:space="preserve">19:34</t>
  </si>
  <si>
    <t xml:space="preserve">TRX-0086</t>
  </si>
  <si>
    <t xml:space="preserve">20:27</t>
  </si>
  <si>
    <t xml:space="preserve">TRX-0087</t>
  </si>
  <si>
    <t xml:space="preserve">20:41</t>
  </si>
  <si>
    <t xml:space="preserve">TRX-0088</t>
  </si>
  <si>
    <t xml:space="preserve">20:42</t>
  </si>
  <si>
    <t xml:space="preserve">TRX-0089</t>
  </si>
  <si>
    <t xml:space="preserve">08:41</t>
  </si>
  <si>
    <t xml:space="preserve">TRX-0090</t>
  </si>
  <si>
    <t xml:space="preserve">TRX-0091</t>
  </si>
  <si>
    <t xml:space="preserve">10:19</t>
  </si>
  <si>
    <t xml:space="preserve">TRX-0092</t>
  </si>
  <si>
    <t xml:space="preserve">10:42</t>
  </si>
  <si>
    <t xml:space="preserve">TRX-0093</t>
  </si>
  <si>
    <t xml:space="preserve">11:00</t>
  </si>
  <si>
    <t xml:space="preserve">TRX-0094</t>
  </si>
  <si>
    <t xml:space="preserve">11:08</t>
  </si>
  <si>
    <t xml:space="preserve">TRX-0095</t>
  </si>
  <si>
    <t xml:space="preserve">11:11</t>
  </si>
  <si>
    <t xml:space="preserve">TRX-0096</t>
  </si>
  <si>
    <t xml:space="preserve">11:37</t>
  </si>
  <si>
    <t xml:space="preserve">TRX-0097</t>
  </si>
  <si>
    <t xml:space="preserve">11:51</t>
  </si>
  <si>
    <t xml:space="preserve">TRX-0098</t>
  </si>
  <si>
    <t xml:space="preserve">12:07</t>
  </si>
  <si>
    <t xml:space="preserve">TRX-0099</t>
  </si>
  <si>
    <t xml:space="preserve">TRX-0100</t>
  </si>
  <si>
    <t xml:space="preserve">TRX-0101</t>
  </si>
  <si>
    <t xml:space="preserve">TRX-0102</t>
  </si>
  <si>
    <t xml:space="preserve">13:49</t>
  </si>
  <si>
    <t xml:space="preserve">TRX-0103</t>
  </si>
  <si>
    <t xml:space="preserve">13:51</t>
  </si>
  <si>
    <t xml:space="preserve">TRX-0104</t>
  </si>
  <si>
    <t xml:space="preserve">14:29</t>
  </si>
  <si>
    <t xml:space="preserve">TRX-0105</t>
  </si>
  <si>
    <t xml:space="preserve">14:48</t>
  </si>
  <si>
    <t xml:space="preserve">TRX-0106</t>
  </si>
  <si>
    <t xml:space="preserve">15:20</t>
  </si>
  <si>
    <t xml:space="preserve">TRX-0107</t>
  </si>
  <si>
    <t xml:space="preserve">15:27</t>
  </si>
  <si>
    <t xml:space="preserve">TRX-0108</t>
  </si>
  <si>
    <t xml:space="preserve">15:50</t>
  </si>
  <si>
    <t xml:space="preserve">TRX-0109</t>
  </si>
  <si>
    <t xml:space="preserve">15:55</t>
  </si>
  <si>
    <t xml:space="preserve">TRX-0110</t>
  </si>
  <si>
    <t xml:space="preserve">16:32</t>
  </si>
  <si>
    <t xml:space="preserve">TRX-0111</t>
  </si>
  <si>
    <t xml:space="preserve">16:43</t>
  </si>
  <si>
    <t xml:space="preserve">TRX-0112</t>
  </si>
  <si>
    <t xml:space="preserve">16:51</t>
  </si>
  <si>
    <t xml:space="preserve">TRX-0113</t>
  </si>
  <si>
    <t xml:space="preserve">17:11</t>
  </si>
  <si>
    <t xml:space="preserve">TRX-0114</t>
  </si>
  <si>
    <t xml:space="preserve">TRX-0115</t>
  </si>
  <si>
    <t xml:space="preserve">17:29</t>
  </si>
  <si>
    <t xml:space="preserve">TRX-0116</t>
  </si>
  <si>
    <t xml:space="preserve">17:30</t>
  </si>
  <si>
    <t xml:space="preserve">17:30 WIB</t>
  </si>
  <si>
    <t xml:space="preserve">TRX-0117</t>
  </si>
  <si>
    <t xml:space="preserve">18:18</t>
  </si>
  <si>
    <t xml:space="preserve">TRX-0118</t>
  </si>
  <si>
    <t xml:space="preserve">18:28</t>
  </si>
  <si>
    <t xml:space="preserve">TRX-0119</t>
  </si>
  <si>
    <t xml:space="preserve">TRX-0120</t>
  </si>
  <si>
    <t xml:space="preserve">18:56</t>
  </si>
  <si>
    <t xml:space="preserve">TRX-0121</t>
  </si>
  <si>
    <t xml:space="preserve">18:58</t>
  </si>
  <si>
    <t xml:space="preserve">TRX-0122</t>
  </si>
  <si>
    <t xml:space="preserve">19:03</t>
  </si>
  <si>
    <t xml:space="preserve">TRX-0123</t>
  </si>
  <si>
    <t xml:space="preserve">TRX-0124</t>
  </si>
  <si>
    <t xml:space="preserve">19:41</t>
  </si>
  <si>
    <t xml:space="preserve">TRX-0125</t>
  </si>
  <si>
    <t xml:space="preserve">TRX-0126</t>
  </si>
  <si>
    <t xml:space="preserve">20:01</t>
  </si>
  <si>
    <t xml:space="preserve">TRX-0127</t>
  </si>
  <si>
    <t xml:space="preserve">20:10</t>
  </si>
  <si>
    <t xml:space="preserve">TRX-0128</t>
  </si>
  <si>
    <t xml:space="preserve">20:24</t>
  </si>
  <si>
    <t xml:space="preserve">TRX-0129</t>
  </si>
  <si>
    <t xml:space="preserve">20:52</t>
  </si>
  <si>
    <t xml:space="preserve">TRX-0130</t>
  </si>
  <si>
    <t xml:space="preserve">20:56</t>
  </si>
  <si>
    <t xml:space="preserve">TRX-0131</t>
  </si>
  <si>
    <t xml:space="preserve">08:05</t>
  </si>
  <si>
    <t xml:space="preserve">TRX-0132</t>
  </si>
  <si>
    <t xml:space="preserve">Soto Ayam </t>
  </si>
  <si>
    <t xml:space="preserve">09:22</t>
  </si>
  <si>
    <t xml:space="preserve">TRX-0133</t>
  </si>
  <si>
    <t xml:space="preserve">09:25</t>
  </si>
  <si>
    <t xml:space="preserve">TRX-0134</t>
  </si>
  <si>
    <t xml:space="preserve">10:01</t>
  </si>
  <si>
    <t xml:space="preserve">TRX-0135</t>
  </si>
  <si>
    <t xml:space="preserve">10:26</t>
  </si>
  <si>
    <t xml:space="preserve">TRX-0136</t>
  </si>
  <si>
    <t xml:space="preserve">11:16</t>
  </si>
  <si>
    <t xml:space="preserve">TRX-0137</t>
  </si>
  <si>
    <t xml:space="preserve">11:23</t>
  </si>
  <si>
    <t xml:space="preserve">TRX-0138</t>
  </si>
  <si>
    <t xml:space="preserve">11:43</t>
  </si>
  <si>
    <t xml:space="preserve">TRX-0139</t>
  </si>
  <si>
    <t xml:space="preserve">11:45</t>
  </si>
  <si>
    <t xml:space="preserve">TRX-0140</t>
  </si>
  <si>
    <t xml:space="preserve">11:50</t>
  </si>
  <si>
    <t xml:space="preserve">TRX-0141</t>
  </si>
  <si>
    <t xml:space="preserve">TRX-0142</t>
  </si>
  <si>
    <t xml:space="preserve">TRX-0143</t>
  </si>
  <si>
    <t xml:space="preserve">12:11</t>
  </si>
  <si>
    <t xml:space="preserve">TRX-0144</t>
  </si>
  <si>
    <t xml:space="preserve">12:13</t>
  </si>
  <si>
    <t xml:space="preserve">TRX-0145</t>
  </si>
  <si>
    <t xml:space="preserve">12:20</t>
  </si>
  <si>
    <t xml:space="preserve">TRX-0146</t>
  </si>
  <si>
    <t xml:space="preserve">12:27</t>
  </si>
  <si>
    <t xml:space="preserve">TRX-0147</t>
  </si>
  <si>
    <t xml:space="preserve">12:30</t>
  </si>
  <si>
    <t xml:space="preserve">TRX-0148</t>
  </si>
  <si>
    <t xml:space="preserve">12:34</t>
  </si>
  <si>
    <t xml:space="preserve">TRX-0149</t>
  </si>
  <si>
    <t xml:space="preserve">TRX-0150</t>
  </si>
  <si>
    <t xml:space="preserve">12:48</t>
  </si>
  <si>
    <t xml:space="preserve">TRX-0151</t>
  </si>
  <si>
    <t xml:space="preserve">13:33</t>
  </si>
  <si>
    <t xml:space="preserve">TRX-0152</t>
  </si>
  <si>
    <t xml:space="preserve">TRX-0153</t>
  </si>
  <si>
    <t xml:space="preserve">14:40</t>
  </si>
  <si>
    <t xml:space="preserve">TRX-0154</t>
  </si>
  <si>
    <t xml:space="preserve">15:17</t>
  </si>
  <si>
    <t xml:space="preserve">TRX-0155</t>
  </si>
  <si>
    <t xml:space="preserve">16:04</t>
  </si>
  <si>
    <t xml:space="preserve">TRX-0156</t>
  </si>
  <si>
    <t xml:space="preserve">16:13</t>
  </si>
  <si>
    <t xml:space="preserve">TRX-0157</t>
  </si>
  <si>
    <t xml:space="preserve">16:27</t>
  </si>
  <si>
    <t xml:space="preserve">TRX-0158</t>
  </si>
  <si>
    <t xml:space="preserve">16:36</t>
  </si>
  <si>
    <t xml:space="preserve">TRX-0159</t>
  </si>
  <si>
    <t xml:space="preserve">TRX-0160</t>
  </si>
  <si>
    <t xml:space="preserve">TRX-0161</t>
  </si>
  <si>
    <t xml:space="preserve">17:39</t>
  </si>
  <si>
    <t xml:space="preserve">TRX-0162</t>
  </si>
  <si>
    <t xml:space="preserve">18:11</t>
  </si>
  <si>
    <t xml:space="preserve">TRX-0163</t>
  </si>
  <si>
    <t xml:space="preserve">18:13</t>
  </si>
  <si>
    <t xml:space="preserve">TRX-0164</t>
  </si>
  <si>
    <t xml:space="preserve">TRX-0165</t>
  </si>
  <si>
    <t xml:space="preserve">18:36</t>
  </si>
  <si>
    <t xml:space="preserve">TRX-0166</t>
  </si>
  <si>
    <t xml:space="preserve">18:50</t>
  </si>
  <si>
    <t xml:space="preserve">TRX-0167</t>
  </si>
  <si>
    <t xml:space="preserve">18:54</t>
  </si>
  <si>
    <t xml:space="preserve">TRX-0168</t>
  </si>
  <si>
    <t xml:space="preserve">19:11</t>
  </si>
  <si>
    <t xml:space="preserve">TRX-0169</t>
  </si>
  <si>
    <t xml:space="preserve">19:14</t>
  </si>
  <si>
    <t xml:space="preserve">TRX-0170</t>
  </si>
  <si>
    <t xml:space="preserve">19:22</t>
  </si>
  <si>
    <t xml:space="preserve">NASI GORENG</t>
  </si>
  <si>
    <t xml:space="preserve">TRX-0171</t>
  </si>
  <si>
    <t xml:space="preserve">TRX-0172</t>
  </si>
  <si>
    <t xml:space="preserve">TRX-0173</t>
  </si>
  <si>
    <t xml:space="preserve">20:03</t>
  </si>
  <si>
    <t xml:space="preserve">TRX-0174</t>
  </si>
  <si>
    <t xml:space="preserve">20:22</t>
  </si>
  <si>
    <t xml:space="preserve">TRX-0175</t>
  </si>
  <si>
    <t xml:space="preserve">Nasi  Uduk</t>
  </si>
  <si>
    <t xml:space="preserve">20:54</t>
  </si>
  <si>
    <t xml:space="preserve">TRX-0176</t>
  </si>
  <si>
    <t xml:space="preserve">TRX-0177</t>
  </si>
  <si>
    <t xml:space="preserve">08:15</t>
  </si>
  <si>
    <t xml:space="preserve">TRX-0178</t>
  </si>
  <si>
    <t xml:space="preserve">08:21</t>
  </si>
  <si>
    <t xml:space="preserve">TRX-0179</t>
  </si>
  <si>
    <t xml:space="preserve">09:11</t>
  </si>
  <si>
    <t xml:space="preserve">TRX-0180</t>
  </si>
  <si>
    <t xml:space="preserve">09:45</t>
  </si>
  <si>
    <t xml:space="preserve">TRX-0181</t>
  </si>
  <si>
    <t xml:space="preserve">TRX-0182</t>
  </si>
  <si>
    <t xml:space="preserve">09:53</t>
  </si>
  <si>
    <t xml:space="preserve">TRX-0183</t>
  </si>
  <si>
    <t xml:space="preserve">11:02</t>
  </si>
  <si>
    <t xml:space="preserve">TRX-0184</t>
  </si>
  <si>
    <t xml:space="preserve">TRX-0185</t>
  </si>
  <si>
    <t xml:space="preserve">11:07</t>
  </si>
  <si>
    <t xml:space="preserve">TRX-0186</t>
  </si>
  <si>
    <t xml:space="preserve">TRX-0187</t>
  </si>
  <si>
    <t xml:space="preserve">11:34</t>
  </si>
  <si>
    <t xml:space="preserve">TRX-0188</t>
  </si>
  <si>
    <t xml:space="preserve">11:40</t>
  </si>
  <si>
    <t xml:space="preserve">TRX-0189</t>
  </si>
  <si>
    <t xml:space="preserve">11:47</t>
  </si>
  <si>
    <t xml:space="preserve">TRX-0190</t>
  </si>
  <si>
    <t xml:space="preserve">12:01</t>
  </si>
  <si>
    <t xml:space="preserve">TRX-0191</t>
  </si>
  <si>
    <t xml:space="preserve">12:09</t>
  </si>
  <si>
    <t xml:space="preserve">TRX-0192</t>
  </si>
  <si>
    <t xml:space="preserve">12:10</t>
  </si>
  <si>
    <t xml:space="preserve">TRX-0193</t>
  </si>
  <si>
    <t xml:space="preserve">12:12</t>
  </si>
  <si>
    <t xml:space="preserve">TRX-0194</t>
  </si>
  <si>
    <t xml:space="preserve">12:18</t>
  </si>
  <si>
    <t xml:space="preserve">TRX-0195</t>
  </si>
  <si>
    <t xml:space="preserve">12:21</t>
  </si>
  <si>
    <t xml:space="preserve">TRX-0196</t>
  </si>
  <si>
    <t xml:space="preserve">12:26</t>
  </si>
  <si>
    <t xml:space="preserve">TRX-0197</t>
  </si>
  <si>
    <t xml:space="preserve">TRX-0198</t>
  </si>
  <si>
    <t xml:space="preserve">TRX-0199</t>
  </si>
  <si>
    <t xml:space="preserve">TRX-0200</t>
  </si>
  <si>
    <t xml:space="preserve">12:33</t>
  </si>
  <si>
    <t xml:space="preserve">TRX-0201</t>
  </si>
  <si>
    <t xml:space="preserve">12:49</t>
  </si>
  <si>
    <t xml:space="preserve">TRX-0202</t>
  </si>
  <si>
    <t xml:space="preserve">12:57</t>
  </si>
  <si>
    <t xml:space="preserve">TRX-0203</t>
  </si>
  <si>
    <t xml:space="preserve">13:01</t>
  </si>
  <si>
    <t xml:space="preserve">TRX-0204</t>
  </si>
  <si>
    <t xml:space="preserve">13:20</t>
  </si>
  <si>
    <t xml:space="preserve">TRX-0205</t>
  </si>
  <si>
    <t xml:space="preserve">TRX-0206</t>
  </si>
  <si>
    <t xml:space="preserve">13:29</t>
  </si>
  <si>
    <t xml:space="preserve">TRX-0207</t>
  </si>
  <si>
    <t xml:space="preserve">14:00</t>
  </si>
  <si>
    <t xml:space="preserve">TRX-0208</t>
  </si>
  <si>
    <t xml:space="preserve">14:14</t>
  </si>
  <si>
    <t xml:space="preserve">TRX-0209</t>
  </si>
  <si>
    <t xml:space="preserve">15:16</t>
  </si>
  <si>
    <t xml:space="preserve">TRX-0210</t>
  </si>
  <si>
    <t xml:space="preserve">15:38</t>
  </si>
  <si>
    <t xml:space="preserve">TRX-0211</t>
  </si>
  <si>
    <t xml:space="preserve">16:17</t>
  </si>
  <si>
    <t xml:space="preserve">TRX-0212</t>
  </si>
  <si>
    <t xml:space="preserve">16:22</t>
  </si>
  <si>
    <t xml:space="preserve">TRX-0213</t>
  </si>
  <si>
    <t xml:space="preserve">16:53</t>
  </si>
  <si>
    <t xml:space="preserve">TRX-0214</t>
  </si>
  <si>
    <t xml:space="preserve">16:56</t>
  </si>
  <si>
    <t xml:space="preserve">TRX-0215</t>
  </si>
  <si>
    <t xml:space="preserve">17:09</t>
  </si>
  <si>
    <t xml:space="preserve">TRX-0216</t>
  </si>
  <si>
    <t xml:space="preserve">17:35</t>
  </si>
  <si>
    <t xml:space="preserve">TRX-0217</t>
  </si>
  <si>
    <t xml:space="preserve">17:41</t>
  </si>
  <si>
    <t xml:space="preserve">TRX-0218</t>
  </si>
  <si>
    <t xml:space="preserve">17:49</t>
  </si>
  <si>
    <t xml:space="preserve">TRX-0219</t>
  </si>
  <si>
    <t xml:space="preserve">17:52</t>
  </si>
  <si>
    <t xml:space="preserve">TRX-0220</t>
  </si>
  <si>
    <t xml:space="preserve">17:55</t>
  </si>
  <si>
    <t xml:space="preserve">TRX-0221</t>
  </si>
  <si>
    <t xml:space="preserve">17:59</t>
  </si>
  <si>
    <t xml:space="preserve">TRX-0222</t>
  </si>
  <si>
    <t xml:space="preserve">18:07</t>
  </si>
  <si>
    <t xml:space="preserve">TRX-0223</t>
  </si>
  <si>
    <t xml:space="preserve">TRX-0224</t>
  </si>
  <si>
    <t xml:space="preserve">18:20</t>
  </si>
  <si>
    <t xml:space="preserve">TRX-0225</t>
  </si>
  <si>
    <t xml:space="preserve">18:23</t>
  </si>
  <si>
    <t xml:space="preserve">TRX-0226</t>
  </si>
  <si>
    <t xml:space="preserve">TRX-0227</t>
  </si>
  <si>
    <t xml:space="preserve">TRX-0228</t>
  </si>
  <si>
    <t xml:space="preserve">18:57</t>
  </si>
  <si>
    <t xml:space="preserve">18.57</t>
  </si>
  <si>
    <t xml:space="preserve">TRX-0229</t>
  </si>
  <si>
    <t xml:space="preserve">19:25</t>
  </si>
  <si>
    <t xml:space="preserve">TRX-0230</t>
  </si>
  <si>
    <t xml:space="preserve">19:43</t>
  </si>
  <si>
    <t xml:space="preserve">TRX-0231</t>
  </si>
  <si>
    <t xml:space="preserve">20:14</t>
  </si>
  <si>
    <t xml:space="preserve">TRX-0232</t>
  </si>
  <si>
    <t xml:space="preserve">TRX-0233</t>
  </si>
  <si>
    <t xml:space="preserve">TRX-0234</t>
  </si>
  <si>
    <t xml:space="preserve">TRX-0235</t>
  </si>
  <si>
    <t xml:space="preserve">Nasi Goreng </t>
  </si>
  <si>
    <t xml:space="preserve">09:37</t>
  </si>
  <si>
    <t xml:space="preserve">TRX-0236</t>
  </si>
  <si>
    <t xml:space="preserve">10:09</t>
  </si>
  <si>
    <t xml:space="preserve">TRX-0237</t>
  </si>
  <si>
    <t xml:space="preserve">11:01</t>
  </si>
  <si>
    <t xml:space="preserve">TRX-0238</t>
  </si>
  <si>
    <t xml:space="preserve">11:18</t>
  </si>
  <si>
    <t xml:space="preserve">TRX-0239</t>
  </si>
  <si>
    <t xml:space="preserve">TRX-0240</t>
  </si>
  <si>
    <t xml:space="preserve">11:32</t>
  </si>
  <si>
    <t xml:space="preserve">TRX-0241</t>
  </si>
  <si>
    <t xml:space="preserve">Teh  Hangat</t>
  </si>
  <si>
    <t xml:space="preserve">TRX-0242</t>
  </si>
  <si>
    <t xml:space="preserve">TRX-0243</t>
  </si>
  <si>
    <t xml:space="preserve">12:02</t>
  </si>
  <si>
    <t xml:space="preserve">TRX-0244</t>
  </si>
  <si>
    <t xml:space="preserve">12:04</t>
  </si>
  <si>
    <t xml:space="preserve">TRX-0245</t>
  </si>
  <si>
    <t xml:space="preserve">TRX-0246</t>
  </si>
  <si>
    <t xml:space="preserve">TRX-0247</t>
  </si>
  <si>
    <t xml:space="preserve">TRX-0248</t>
  </si>
  <si>
    <t xml:space="preserve">TRX-0249</t>
  </si>
  <si>
    <t xml:space="preserve">13:13</t>
  </si>
  <si>
    <t xml:space="preserve">TRX-0250</t>
  </si>
  <si>
    <t xml:space="preserve">TRX-0251</t>
  </si>
  <si>
    <t xml:space="preserve">13:39</t>
  </si>
  <si>
    <t xml:space="preserve">TRX-0252</t>
  </si>
  <si>
    <t xml:space="preserve">TRX-0253</t>
  </si>
  <si>
    <t xml:space="preserve">13:58</t>
  </si>
  <si>
    <t xml:space="preserve">TRX-0254</t>
  </si>
  <si>
    <t xml:space="preserve">14:35</t>
  </si>
  <si>
    <t xml:space="preserve">TRX-0255</t>
  </si>
  <si>
    <t xml:space="preserve">14:37</t>
  </si>
  <si>
    <t xml:space="preserve">TRX-0256</t>
  </si>
  <si>
    <t xml:space="preserve">14:55</t>
  </si>
  <si>
    <t xml:space="preserve">TRX-0257</t>
  </si>
  <si>
    <t xml:space="preserve">15:19</t>
  </si>
  <si>
    <t xml:space="preserve">TRX-0258</t>
  </si>
  <si>
    <t xml:space="preserve">15:33</t>
  </si>
  <si>
    <t xml:space="preserve">TRX-0259</t>
  </si>
  <si>
    <t xml:space="preserve">TRX-0260</t>
  </si>
  <si>
    <t xml:space="preserve">15:53</t>
  </si>
  <si>
    <t xml:space="preserve">TRX-0261</t>
  </si>
  <si>
    <t xml:space="preserve">TRX-0262</t>
  </si>
  <si>
    <t xml:space="preserve">17:00</t>
  </si>
  <si>
    <t xml:space="preserve">TRX-0263</t>
  </si>
  <si>
    <t xml:space="preserve">17:08</t>
  </si>
  <si>
    <t xml:space="preserve">TRX-0264</t>
  </si>
  <si>
    <t xml:space="preserve">17:10</t>
  </si>
  <si>
    <t xml:space="preserve">TRX-0265</t>
  </si>
  <si>
    <t xml:space="preserve">TRX-0266</t>
  </si>
  <si>
    <t xml:space="preserve">TRX-0267</t>
  </si>
  <si>
    <t xml:space="preserve">TRX-0268</t>
  </si>
  <si>
    <t xml:space="preserve">17:54</t>
  </si>
  <si>
    <t xml:space="preserve">TRX-0269</t>
  </si>
  <si>
    <t xml:space="preserve">18:01</t>
  </si>
  <si>
    <t xml:space="preserve">TRX-0270</t>
  </si>
  <si>
    <t xml:space="preserve">18:05</t>
  </si>
  <si>
    <t xml:space="preserve">TRX-0271</t>
  </si>
  <si>
    <t xml:space="preserve">18:06</t>
  </si>
  <si>
    <t xml:space="preserve">TRX-0272</t>
  </si>
  <si>
    <t xml:space="preserve">18:08</t>
  </si>
  <si>
    <t xml:space="preserve">TRX-0273</t>
  </si>
  <si>
    <t xml:space="preserve">18:21</t>
  </si>
  <si>
    <t xml:space="preserve">TRX-0274</t>
  </si>
  <si>
    <t xml:space="preserve">18:42</t>
  </si>
  <si>
    <t xml:space="preserve">TRX-0275</t>
  </si>
  <si>
    <t xml:space="preserve">18:49</t>
  </si>
  <si>
    <t xml:space="preserve">TRX-0276</t>
  </si>
  <si>
    <t xml:space="preserve">TRX-0277</t>
  </si>
  <si>
    <t xml:space="preserve">TRX-0278</t>
  </si>
  <si>
    <t xml:space="preserve">19:04</t>
  </si>
  <si>
    <t xml:space="preserve">TRX-0279</t>
  </si>
  <si>
    <t xml:space="preserve">TRX-0280</t>
  </si>
  <si>
    <t xml:space="preserve">19:32</t>
  </si>
  <si>
    <t xml:space="preserve">TRX-0281</t>
  </si>
  <si>
    <t xml:space="preserve">19:37</t>
  </si>
  <si>
    <t xml:space="preserve">TRX-0282</t>
  </si>
  <si>
    <t xml:space="preserve">TRX-0283</t>
  </si>
  <si>
    <t xml:space="preserve">TRX-0284</t>
  </si>
  <si>
    <t xml:space="preserve">TRX-0285</t>
  </si>
  <si>
    <t xml:space="preserve">TRX-0286</t>
  </si>
  <si>
    <t xml:space="preserve">08:48</t>
  </si>
  <si>
    <t xml:space="preserve">08:48 WIB</t>
  </si>
  <si>
    <t xml:space="preserve">TRX-0287</t>
  </si>
  <si>
    <t xml:space="preserve">TRX-0288</t>
  </si>
  <si>
    <t xml:space="preserve">11:17</t>
  </si>
  <si>
    <t xml:space="preserve">TRX-0289</t>
  </si>
  <si>
    <t xml:space="preserve">TRX-0290</t>
  </si>
  <si>
    <t xml:space="preserve">TRX-0291</t>
  </si>
  <si>
    <t xml:space="preserve">TRX-0292</t>
  </si>
  <si>
    <t xml:space="preserve">TRX-0293</t>
  </si>
  <si>
    <t xml:space="preserve">12:28</t>
  </si>
  <si>
    <t xml:space="preserve">TRX-0294</t>
  </si>
  <si>
    <t xml:space="preserve">12:29</t>
  </si>
  <si>
    <t xml:space="preserve">TRX-0295</t>
  </si>
  <si>
    <t xml:space="preserve">TRX-0296</t>
  </si>
  <si>
    <t xml:space="preserve">12:36</t>
  </si>
  <si>
    <t xml:space="preserve">TRX-0297</t>
  </si>
  <si>
    <t xml:space="preserve">12:44</t>
  </si>
  <si>
    <t xml:space="preserve">TRX-0298</t>
  </si>
  <si>
    <t xml:space="preserve">TRX-0299</t>
  </si>
  <si>
    <t xml:space="preserve">12:53</t>
  </si>
  <si>
    <t xml:space="preserve">TRX-0300</t>
  </si>
  <si>
    <t xml:space="preserve">12:58</t>
  </si>
  <si>
    <t xml:space="preserve">TRX-0301</t>
  </si>
  <si>
    <t xml:space="preserve">13:06</t>
  </si>
  <si>
    <t xml:space="preserve">TRX-0302</t>
  </si>
  <si>
    <t xml:space="preserve">13:21</t>
  </si>
  <si>
    <t xml:space="preserve">TRX-0303</t>
  </si>
  <si>
    <t xml:space="preserve">Es Teh Manis </t>
  </si>
  <si>
    <t xml:space="preserve">13:35</t>
  </si>
  <si>
    <t xml:space="preserve">TRX-0304</t>
  </si>
  <si>
    <t xml:space="preserve">TRX-0305</t>
  </si>
  <si>
    <t xml:space="preserve">TRX-0306</t>
  </si>
  <si>
    <t xml:space="preserve">13:50</t>
  </si>
  <si>
    <t xml:space="preserve">TRX-0307</t>
  </si>
  <si>
    <t xml:space="preserve">13:53</t>
  </si>
  <si>
    <t xml:space="preserve">TRX-0308</t>
  </si>
  <si>
    <t xml:space="preserve">14.25</t>
  </si>
  <si>
    <t xml:space="preserve">14:25</t>
  </si>
  <si>
    <t xml:space="preserve">TRX-0309</t>
  </si>
  <si>
    <t xml:space="preserve">14:43</t>
  </si>
  <si>
    <t xml:space="preserve">TRX-0310</t>
  </si>
  <si>
    <t xml:space="preserve">TRX-0311</t>
  </si>
  <si>
    <t xml:space="preserve">15:39</t>
  </si>
  <si>
    <t xml:space="preserve">TRX-0312</t>
  </si>
  <si>
    <t xml:space="preserve">16:07</t>
  </si>
  <si>
    <t xml:space="preserve">TRX-0313</t>
  </si>
  <si>
    <t xml:space="preserve">16:39</t>
  </si>
  <si>
    <t xml:space="preserve">TRX-0314</t>
  </si>
  <si>
    <t xml:space="preserve">17:14</t>
  </si>
  <si>
    <t xml:space="preserve">TRX-0315</t>
  </si>
  <si>
    <t xml:space="preserve">17:17</t>
  </si>
  <si>
    <t xml:space="preserve">TRX-0316</t>
  </si>
  <si>
    <t xml:space="preserve">17:34</t>
  </si>
  <si>
    <t xml:space="preserve">TRX-0317</t>
  </si>
  <si>
    <t xml:space="preserve">TRX-0318</t>
  </si>
  <si>
    <t xml:space="preserve">18:00</t>
  </si>
  <si>
    <t xml:space="preserve">TRX-0319</t>
  </si>
  <si>
    <t xml:space="preserve">18:14</t>
  </si>
  <si>
    <t xml:space="preserve">TRX-0320</t>
  </si>
  <si>
    <t xml:space="preserve">18:24</t>
  </si>
  <si>
    <t xml:space="preserve">TRX-0321</t>
  </si>
  <si>
    <t xml:space="preserve">TRX-0322</t>
  </si>
  <si>
    <t xml:space="preserve">TRX-0323</t>
  </si>
  <si>
    <t xml:space="preserve">18:43</t>
  </si>
  <si>
    <t xml:space="preserve">TRX-0324</t>
  </si>
  <si>
    <t xml:space="preserve">TRX-0325</t>
  </si>
  <si>
    <t xml:space="preserve">19:21</t>
  </si>
  <si>
    <t xml:space="preserve">TRX-0326</t>
  </si>
  <si>
    <t xml:space="preserve">TRX-0327</t>
  </si>
  <si>
    <t xml:space="preserve">19:28</t>
  </si>
  <si>
    <t xml:space="preserve">TRX-0328</t>
  </si>
  <si>
    <t xml:space="preserve">19:42</t>
  </si>
  <si>
    <t xml:space="preserve">TRX-0329</t>
  </si>
  <si>
    <t xml:space="preserve">19:53</t>
  </si>
  <si>
    <t xml:space="preserve">TRX-0330</t>
  </si>
  <si>
    <t xml:space="preserve">19:58</t>
  </si>
  <si>
    <t xml:space="preserve">TRX-0331</t>
  </si>
  <si>
    <t xml:space="preserve">09:15</t>
  </si>
  <si>
    <t xml:space="preserve">TRX-0332</t>
  </si>
  <si>
    <t xml:space="preserve">09:26</t>
  </si>
  <si>
    <t xml:space="preserve">TRX-0333</t>
  </si>
  <si>
    <t xml:space="preserve">09:31</t>
  </si>
  <si>
    <t xml:space="preserve">TRX-0334</t>
  </si>
  <si>
    <t xml:space="preserve">09:35</t>
  </si>
  <si>
    <t xml:space="preserve">TRX-0335</t>
  </si>
  <si>
    <t xml:space="preserve">11:14</t>
  </si>
  <si>
    <t xml:space="preserve">TRX-0336</t>
  </si>
  <si>
    <t xml:space="preserve">TRX-0337</t>
  </si>
  <si>
    <t xml:space="preserve">11:30</t>
  </si>
  <si>
    <t xml:space="preserve">TRX-0338</t>
  </si>
  <si>
    <t xml:space="preserve">TRX-0339</t>
  </si>
  <si>
    <t xml:space="preserve">12:16</t>
  </si>
  <si>
    <t xml:space="preserve">TRX-0340</t>
  </si>
  <si>
    <t xml:space="preserve">TRX-0341</t>
  </si>
  <si>
    <t xml:space="preserve">12:22</t>
  </si>
  <si>
    <t xml:space="preserve">TRX-0342</t>
  </si>
  <si>
    <t xml:space="preserve">TRX-0343</t>
  </si>
  <si>
    <t xml:space="preserve">TRX-0344</t>
  </si>
  <si>
    <t xml:space="preserve">TRX-0345</t>
  </si>
  <si>
    <t xml:space="preserve">12:55</t>
  </si>
  <si>
    <t xml:space="preserve">TRX-0346</t>
  </si>
  <si>
    <t xml:space="preserve">TRX-0347</t>
  </si>
  <si>
    <t xml:space="preserve">13:04</t>
  </si>
  <si>
    <t xml:space="preserve">TRX-0348</t>
  </si>
  <si>
    <t xml:space="preserve">TRX-0349</t>
  </si>
  <si>
    <t xml:space="preserve">TRX-0350</t>
  </si>
  <si>
    <t xml:space="preserve">TRX-0351</t>
  </si>
  <si>
    <t xml:space="preserve">TRX-0352</t>
  </si>
  <si>
    <t xml:space="preserve">14:42</t>
  </si>
  <si>
    <t xml:space="preserve">TRX-0353</t>
  </si>
  <si>
    <t xml:space="preserve">TRX-0354</t>
  </si>
  <si>
    <t xml:space="preserve">15:37</t>
  </si>
  <si>
    <t xml:space="preserve">TRX-0355</t>
  </si>
  <si>
    <t xml:space="preserve">TRX-0356</t>
  </si>
  <si>
    <t xml:space="preserve">TRX-0357</t>
  </si>
  <si>
    <t xml:space="preserve">TRX-0358</t>
  </si>
  <si>
    <t xml:space="preserve">TRX-0359</t>
  </si>
  <si>
    <t xml:space="preserve">16:06</t>
  </si>
  <si>
    <t xml:space="preserve">TRX-0360</t>
  </si>
  <si>
    <t xml:space="preserve">TRX-0361</t>
  </si>
  <si>
    <t xml:space="preserve">16:45</t>
  </si>
  <si>
    <t xml:space="preserve">TRX-0362</t>
  </si>
  <si>
    <t xml:space="preserve">16:52</t>
  </si>
  <si>
    <t xml:space="preserve">TRX-0363</t>
  </si>
  <si>
    <t xml:space="preserve">TRX-0364</t>
  </si>
  <si>
    <t xml:space="preserve">17:43</t>
  </si>
  <si>
    <t xml:space="preserve">TRX-0365</t>
  </si>
  <si>
    <t xml:space="preserve">TRX-0366</t>
  </si>
  <si>
    <t xml:space="preserve">TRX-0367</t>
  </si>
  <si>
    <t xml:space="preserve">TRX-0368</t>
  </si>
  <si>
    <t xml:space="preserve">TRX-0369</t>
  </si>
  <si>
    <t xml:space="preserve">18:16</t>
  </si>
  <si>
    <t xml:space="preserve">TRX-0370</t>
  </si>
  <si>
    <t xml:space="preserve">TRX-0371</t>
  </si>
  <si>
    <t xml:space="preserve">18:41</t>
  </si>
  <si>
    <t xml:space="preserve">TRX-0372</t>
  </si>
  <si>
    <t xml:space="preserve">18:48</t>
  </si>
  <si>
    <t xml:space="preserve">TRX-0373</t>
  </si>
  <si>
    <t xml:space="preserve">19:08</t>
  </si>
  <si>
    <t xml:space="preserve">TRX-0374</t>
  </si>
  <si>
    <t xml:space="preserve">19:13</t>
  </si>
  <si>
    <t xml:space="preserve">TRX-0375</t>
  </si>
  <si>
    <t xml:space="preserve">TRX-0376</t>
  </si>
  <si>
    <t xml:space="preserve">TRX-0377</t>
  </si>
  <si>
    <t xml:space="preserve">19:49</t>
  </si>
  <si>
    <t xml:space="preserve">TRX-0378</t>
  </si>
  <si>
    <t xml:space="preserve">20:13</t>
  </si>
  <si>
    <t xml:space="preserve">TRX-0379</t>
  </si>
  <si>
    <t xml:space="preserve">20:55</t>
  </si>
  <si>
    <t xml:space="preserve">TRX-0380</t>
  </si>
  <si>
    <t xml:space="preserve">20:58</t>
  </si>
  <si>
    <t xml:space="preserve">TRX-0381</t>
  </si>
  <si>
    <t xml:space="preserve">TRX-0382</t>
  </si>
  <si>
    <t xml:space="preserve">09:50</t>
  </si>
  <si>
    <t xml:space="preserve">TRX-0383</t>
  </si>
  <si>
    <t xml:space="preserve">10:37 WIB</t>
  </si>
  <si>
    <t xml:space="preserve">10:37</t>
  </si>
  <si>
    <t xml:space="preserve">TRX-0384</t>
  </si>
  <si>
    <t xml:space="preserve">10:43</t>
  </si>
  <si>
    <t xml:space="preserve">TRX-0385</t>
  </si>
  <si>
    <t xml:space="preserve">11:12</t>
  </si>
  <si>
    <t xml:space="preserve">TRX-0386</t>
  </si>
  <si>
    <t xml:space="preserve">TRX-0387</t>
  </si>
  <si>
    <t xml:space="preserve">TRX-0388</t>
  </si>
  <si>
    <t xml:space="preserve">11:35</t>
  </si>
  <si>
    <t xml:space="preserve">TRX-0389</t>
  </si>
  <si>
    <t xml:space="preserve">TRX-0390</t>
  </si>
  <si>
    <t xml:space="preserve">11:53</t>
  </si>
  <si>
    <t xml:space="preserve">TRX-0391</t>
  </si>
  <si>
    <t xml:space="preserve">TRX-0392</t>
  </si>
  <si>
    <t xml:space="preserve">TRX-0393</t>
  </si>
  <si>
    <t xml:space="preserve">TRX-0394</t>
  </si>
  <si>
    <t xml:space="preserve">12:52</t>
  </si>
  <si>
    <t xml:space="preserve">TRX-0395</t>
  </si>
  <si>
    <t xml:space="preserve">TRX-0396</t>
  </si>
  <si>
    <t xml:space="preserve">TRX-0397</t>
  </si>
  <si>
    <t xml:space="preserve">TRX-0398</t>
  </si>
  <si>
    <t xml:space="preserve">TRX-0399</t>
  </si>
  <si>
    <t xml:space="preserve">nasi uduk</t>
  </si>
  <si>
    <t xml:space="preserve">TRX-0400</t>
  </si>
  <si>
    <t xml:space="preserve">13:41</t>
  </si>
  <si>
    <t xml:space="preserve">TRX-0401</t>
  </si>
  <si>
    <t xml:space="preserve">14:03</t>
  </si>
  <si>
    <t xml:space="preserve">TRX-0402</t>
  </si>
  <si>
    <t xml:space="preserve">14:23</t>
  </si>
  <si>
    <t xml:space="preserve">TRX-0403</t>
  </si>
  <si>
    <t xml:space="preserve">TRX-0404</t>
  </si>
  <si>
    <t xml:space="preserve">17:03</t>
  </si>
  <si>
    <t xml:space="preserve">TRX-0405</t>
  </si>
  <si>
    <t xml:space="preserve">17:05</t>
  </si>
  <si>
    <t xml:space="preserve">TRX-0406</t>
  </si>
  <si>
    <t xml:space="preserve">17:26</t>
  </si>
  <si>
    <t xml:space="preserve">TRX-0407</t>
  </si>
  <si>
    <t xml:space="preserve">17:28</t>
  </si>
  <si>
    <t xml:space="preserve">TRX-0408</t>
  </si>
  <si>
    <t xml:space="preserve">17:31</t>
  </si>
  <si>
    <t xml:space="preserve">TRX-0409</t>
  </si>
  <si>
    <t xml:space="preserve">TRX-0410</t>
  </si>
  <si>
    <t xml:space="preserve">18:02</t>
  </si>
  <si>
    <t xml:space="preserve">TRX-0411</t>
  </si>
  <si>
    <t xml:space="preserve">TRX-0412</t>
  </si>
  <si>
    <t xml:space="preserve">18:09</t>
  </si>
  <si>
    <t xml:space="preserve">TRX-0413</t>
  </si>
  <si>
    <t xml:space="preserve">TRX-0414</t>
  </si>
  <si>
    <t xml:space="preserve">18:12</t>
  </si>
  <si>
    <t xml:space="preserve">TRX-0415</t>
  </si>
  <si>
    <t xml:space="preserve">TRX-0416</t>
  </si>
  <si>
    <t xml:space="preserve">18:19</t>
  </si>
  <si>
    <t xml:space="preserve">TRX-0417</t>
  </si>
  <si>
    <t xml:space="preserve">18:51</t>
  </si>
  <si>
    <t xml:space="preserve">TRX-0418</t>
  </si>
  <si>
    <t xml:space="preserve">TRX-0419</t>
  </si>
  <si>
    <t xml:space="preserve">19:01</t>
  </si>
  <si>
    <t xml:space="preserve">TRX-0420</t>
  </si>
  <si>
    <t xml:space="preserve">TRX-0421</t>
  </si>
  <si>
    <t xml:space="preserve">19:09</t>
  </si>
  <si>
    <t xml:space="preserve">TRX-0422</t>
  </si>
  <si>
    <t xml:space="preserve">TRX-0423</t>
  </si>
  <si>
    <t xml:space="preserve">19:35</t>
  </si>
  <si>
    <t xml:space="preserve">TRX-0424</t>
  </si>
  <si>
    <t xml:space="preserve">19:44</t>
  </si>
  <si>
    <t xml:space="preserve">TRX-0425</t>
  </si>
  <si>
    <t xml:space="preserve">Es  Jeruk</t>
  </si>
  <si>
    <t xml:space="preserve">20:44</t>
  </si>
  <si>
    <t xml:space="preserve">TRX-0426</t>
  </si>
  <si>
    <t xml:space="preserve">08:02</t>
  </si>
  <si>
    <t xml:space="preserve">TRX-0427</t>
  </si>
  <si>
    <t xml:space="preserve">09:09</t>
  </si>
  <si>
    <t xml:space="preserve">TRX-0428</t>
  </si>
  <si>
    <t xml:space="preserve">09:33</t>
  </si>
  <si>
    <t xml:space="preserve">TRX-0429</t>
  </si>
  <si>
    <t xml:space="preserve">TRX-0430</t>
  </si>
  <si>
    <t xml:space="preserve">10:29</t>
  </si>
  <si>
    <t xml:space="preserve">TRX-0431</t>
  </si>
  <si>
    <t xml:space="preserve">10:45</t>
  </si>
  <si>
    <t xml:space="preserve">TRX-0432</t>
  </si>
  <si>
    <t xml:space="preserve">11:06</t>
  </si>
  <si>
    <t xml:space="preserve">TRX-0433</t>
  </si>
  <si>
    <t xml:space="preserve">11:09</t>
  </si>
  <si>
    <t xml:space="preserve">TRX-0434</t>
  </si>
  <si>
    <t xml:space="preserve">TRX-0435</t>
  </si>
  <si>
    <t xml:space="preserve">TRX-0436</t>
  </si>
  <si>
    <t xml:space="preserve">TRX-0437</t>
  </si>
  <si>
    <t xml:space="preserve">11:27</t>
  </si>
  <si>
    <t xml:space="preserve">TRX-0438</t>
  </si>
  <si>
    <t xml:space="preserve">TRX-0439</t>
  </si>
  <si>
    <t xml:space="preserve">11:48</t>
  </si>
  <si>
    <t xml:space="preserve">TRX-0440</t>
  </si>
  <si>
    <t xml:space="preserve">TRX-0441</t>
  </si>
  <si>
    <t xml:space="preserve">11:54</t>
  </si>
  <si>
    <t xml:space="preserve">TRX-0442</t>
  </si>
  <si>
    <t xml:space="preserve">TRX-0443</t>
  </si>
  <si>
    <t xml:space="preserve">12:15</t>
  </si>
  <si>
    <t xml:space="preserve">TRX-0444</t>
  </si>
  <si>
    <t xml:space="preserve">TRX-0445</t>
  </si>
  <si>
    <t xml:space="preserve">12:23</t>
  </si>
  <si>
    <t xml:space="preserve">TRX-0446</t>
  </si>
  <si>
    <t xml:space="preserve">TRX-0447</t>
  </si>
  <si>
    <t xml:space="preserve">12:43</t>
  </si>
  <si>
    <t xml:space="preserve">TRX-0448</t>
  </si>
  <si>
    <t xml:space="preserve">12:45</t>
  </si>
  <si>
    <t xml:space="preserve">TRX-0449</t>
  </si>
  <si>
    <t xml:space="preserve">13:10</t>
  </si>
  <si>
    <t xml:space="preserve">TRX-0450</t>
  </si>
  <si>
    <t xml:space="preserve">13:30</t>
  </si>
  <si>
    <t xml:space="preserve">TRX-0451</t>
  </si>
  <si>
    <t xml:space="preserve">TRX-0452</t>
  </si>
  <si>
    <t xml:space="preserve">14:01</t>
  </si>
  <si>
    <t xml:space="preserve">TRX-0453</t>
  </si>
  <si>
    <t xml:space="preserve">14:08</t>
  </si>
  <si>
    <t xml:space="preserve">TRX-0454</t>
  </si>
  <si>
    <t xml:space="preserve">14:38</t>
  </si>
  <si>
    <t xml:space="preserve">TRX-0455</t>
  </si>
  <si>
    <t xml:space="preserve">TRX-0456</t>
  </si>
  <si>
    <t xml:space="preserve">15:06</t>
  </si>
  <si>
    <t xml:space="preserve">TRX-0457</t>
  </si>
  <si>
    <t xml:space="preserve">TRX-0458</t>
  </si>
  <si>
    <t xml:space="preserve">TRX-0459</t>
  </si>
  <si>
    <t xml:space="preserve">15:56</t>
  </si>
  <si>
    <t xml:space="preserve">TRX-0460</t>
  </si>
  <si>
    <t xml:space="preserve">TRX-0461</t>
  </si>
  <si>
    <t xml:space="preserve">16:48</t>
  </si>
  <si>
    <t xml:space="preserve">TRX-0462</t>
  </si>
  <si>
    <t xml:space="preserve">TRX-0463</t>
  </si>
  <si>
    <t xml:space="preserve">TRX-0464</t>
  </si>
  <si>
    <t xml:space="preserve">TRX-0465</t>
  </si>
  <si>
    <t xml:space="preserve">17:44</t>
  </si>
  <si>
    <t xml:space="preserve">TRX-0466</t>
  </si>
  <si>
    <t xml:space="preserve">nasi goreng</t>
  </si>
  <si>
    <t xml:space="preserve">17:58</t>
  </si>
  <si>
    <t xml:space="preserve">TRX-0467</t>
  </si>
  <si>
    <t xml:space="preserve">18:04</t>
  </si>
  <si>
    <t xml:space="preserve">TRX-0468</t>
  </si>
  <si>
    <t xml:space="preserve">TRX-0469</t>
  </si>
  <si>
    <t xml:space="preserve">18:33</t>
  </si>
  <si>
    <t xml:space="preserve">TRX-0470</t>
  </si>
  <si>
    <t xml:space="preserve">TRX-0471</t>
  </si>
  <si>
    <t xml:space="preserve">18:52</t>
  </si>
  <si>
    <t xml:space="preserve">TRX-0472</t>
  </si>
  <si>
    <t xml:space="preserve">19:36</t>
  </si>
  <si>
    <t xml:space="preserve">TRX-0473</t>
  </si>
  <si>
    <t xml:space="preserve">TRX-0474</t>
  </si>
  <si>
    <t xml:space="preserve">TRX-0475</t>
  </si>
  <si>
    <t xml:space="preserve">19:45</t>
  </si>
  <si>
    <t xml:space="preserve">TRX-0476</t>
  </si>
  <si>
    <t xml:space="preserve">20:39</t>
  </si>
  <si>
    <t xml:space="preserve">TRX-0477</t>
  </si>
  <si>
    <t xml:space="preserve">09:05</t>
  </si>
  <si>
    <t xml:space="preserve">TRX-0478</t>
  </si>
  <si>
    <t xml:space="preserve">TRX-0479</t>
  </si>
  <si>
    <t xml:space="preserve">09:59</t>
  </si>
  <si>
    <t xml:space="preserve">TRX-0480</t>
  </si>
  <si>
    <t xml:space="preserve">10:10</t>
  </si>
  <si>
    <t xml:space="preserve">TRX-0481</t>
  </si>
  <si>
    <t xml:space="preserve">11:04</t>
  </si>
  <si>
    <t xml:space="preserve">TRX-0482</t>
  </si>
  <si>
    <t xml:space="preserve">TRX-0483</t>
  </si>
  <si>
    <t xml:space="preserve">TRX-0484</t>
  </si>
  <si>
    <t xml:space="preserve">TRX-0485</t>
  </si>
  <si>
    <t xml:space="preserve">11:28</t>
  </si>
  <si>
    <t xml:space="preserve">TRX-0486</t>
  </si>
  <si>
    <t xml:space="preserve">TRX-0487</t>
  </si>
  <si>
    <t xml:space="preserve">12:00</t>
  </si>
  <si>
    <t xml:space="preserve">TRX-0488</t>
  </si>
  <si>
    <t xml:space="preserve">12:03</t>
  </si>
  <si>
    <t xml:space="preserve">TRX-0489</t>
  </si>
  <si>
    <t xml:space="preserve">TRX-0490</t>
  </si>
  <si>
    <t xml:space="preserve">12:41</t>
  </si>
  <si>
    <t xml:space="preserve">TRX-0491</t>
  </si>
  <si>
    <t xml:space="preserve">12:51</t>
  </si>
  <si>
    <t xml:space="preserve">TRX-0492</t>
  </si>
  <si>
    <t xml:space="preserve">TRX-0493</t>
  </si>
  <si>
    <t xml:space="preserve">AYAM GEPREK</t>
  </si>
  <si>
    <t xml:space="preserve">TRX-0494</t>
  </si>
  <si>
    <t xml:space="preserve">TRX-0495</t>
  </si>
  <si>
    <t xml:space="preserve">TRX-0496</t>
  </si>
  <si>
    <t xml:space="preserve">TRX-0497</t>
  </si>
  <si>
    <t xml:space="preserve">13:55</t>
  </si>
  <si>
    <t xml:space="preserve">TRX-0498</t>
  </si>
  <si>
    <t xml:space="preserve">13:56</t>
  </si>
  <si>
    <t xml:space="preserve">TRX-0499</t>
  </si>
  <si>
    <t xml:space="preserve">TRX-0500</t>
  </si>
  <si>
    <t xml:space="preserve">TRX-0501</t>
  </si>
  <si>
    <t xml:space="preserve">TRX-0502</t>
  </si>
  <si>
    <t xml:space="preserve">TRX-0503</t>
  </si>
  <si>
    <t xml:space="preserve">15:31</t>
  </si>
  <si>
    <t xml:space="preserve">TRX-0504</t>
  </si>
  <si>
    <t xml:space="preserve">TRX-0505</t>
  </si>
  <si>
    <t xml:space="preserve">15:34</t>
  </si>
  <si>
    <t xml:space="preserve">TRX-0506</t>
  </si>
  <si>
    <t xml:space="preserve">16:02</t>
  </si>
  <si>
    <t xml:space="preserve">TRX-0507</t>
  </si>
  <si>
    <t xml:space="preserve">16:30</t>
  </si>
  <si>
    <t xml:space="preserve">TRX-0508</t>
  </si>
  <si>
    <t xml:space="preserve">TRX-0509</t>
  </si>
  <si>
    <t xml:space="preserve">TRX-0510</t>
  </si>
  <si>
    <t xml:space="preserve">TRX-0511</t>
  </si>
  <si>
    <t xml:space="preserve">TRX-0512</t>
  </si>
  <si>
    <t xml:space="preserve">TRX-0513</t>
  </si>
  <si>
    <t xml:space="preserve">TRX-0514</t>
  </si>
  <si>
    <t xml:space="preserve">TRX-0515</t>
  </si>
  <si>
    <t xml:space="preserve">TRX-0516</t>
  </si>
  <si>
    <t xml:space="preserve">18:40</t>
  </si>
  <si>
    <t xml:space="preserve">TRX-0517</t>
  </si>
  <si>
    <t xml:space="preserve">TRX-0518</t>
  </si>
  <si>
    <t xml:space="preserve">TRX-0519</t>
  </si>
  <si>
    <t xml:space="preserve">19:12</t>
  </si>
  <si>
    <t xml:space="preserve">TRX-0520</t>
  </si>
  <si>
    <t xml:space="preserve">TRX-0521</t>
  </si>
  <si>
    <t xml:space="preserve">TRX-0522</t>
  </si>
  <si>
    <t xml:space="preserve">TRX-0523</t>
  </si>
  <si>
    <t xml:space="preserve">20:57</t>
  </si>
  <si>
    <t xml:space="preserve">TRX-0524</t>
  </si>
  <si>
    <t xml:space="preserve">08:01</t>
  </si>
  <si>
    <t xml:space="preserve">TRX-0525</t>
  </si>
  <si>
    <t xml:space="preserve">08:24</t>
  </si>
  <si>
    <t xml:space="preserve">TRX-0526</t>
  </si>
  <si>
    <t xml:space="preserve">TRX-0527</t>
  </si>
  <si>
    <t xml:space="preserve">08:37</t>
  </si>
  <si>
    <t xml:space="preserve">TRX-0528</t>
  </si>
  <si>
    <t xml:space="preserve">08:38</t>
  </si>
  <si>
    <t xml:space="preserve">TRX-0529</t>
  </si>
  <si>
    <t xml:space="preserve">10:00</t>
  </si>
  <si>
    <t xml:space="preserve">TRX-0530</t>
  </si>
  <si>
    <t xml:space="preserve">10:02</t>
  </si>
  <si>
    <t xml:space="preserve">TRX-0531</t>
  </si>
  <si>
    <t xml:space="preserve">10:22</t>
  </si>
  <si>
    <t xml:space="preserve">TRX-0532</t>
  </si>
  <si>
    <t xml:space="preserve">10:35</t>
  </si>
  <si>
    <t xml:space="preserve">TRX-0533</t>
  </si>
  <si>
    <t xml:space="preserve">TRX-0534</t>
  </si>
  <si>
    <t xml:space="preserve">TRX-0535</t>
  </si>
  <si>
    <t xml:space="preserve">10:48</t>
  </si>
  <si>
    <t xml:space="preserve">TRX-0536</t>
  </si>
  <si>
    <t xml:space="preserve">11:10</t>
  </si>
  <si>
    <t xml:space="preserve">TRX-0537</t>
  </si>
  <si>
    <t xml:space="preserve">TRX-0538</t>
  </si>
  <si>
    <t xml:space="preserve">TRX-0539</t>
  </si>
  <si>
    <t xml:space="preserve">11:29</t>
  </si>
  <si>
    <t xml:space="preserve">TRX-0540</t>
  </si>
  <si>
    <t xml:space="preserve">11:36</t>
  </si>
  <si>
    <t xml:space="preserve">TRX-0541</t>
  </si>
  <si>
    <t xml:space="preserve">TRX-0542</t>
  </si>
  <si>
    <t xml:space="preserve">TRX-0543</t>
  </si>
  <si>
    <t xml:space="preserve">TRX-0544</t>
  </si>
  <si>
    <t xml:space="preserve">TRX-0545</t>
  </si>
  <si>
    <t xml:space="preserve">TRX-0546</t>
  </si>
  <si>
    <t xml:space="preserve">TRX-0547</t>
  </si>
  <si>
    <t xml:space="preserve">TRX-0548</t>
  </si>
  <si>
    <t xml:space="preserve">TRX-0549</t>
  </si>
  <si>
    <t xml:space="preserve">12:47</t>
  </si>
  <si>
    <t xml:space="preserve">TRX-0550</t>
  </si>
  <si>
    <t xml:space="preserve">TRX-0551</t>
  </si>
  <si>
    <t xml:space="preserve">13:15</t>
  </si>
  <si>
    <t xml:space="preserve">TRX-0552</t>
  </si>
  <si>
    <t xml:space="preserve">13:17</t>
  </si>
  <si>
    <t xml:space="preserve">TRX-0553</t>
  </si>
  <si>
    <t xml:space="preserve">bakso</t>
  </si>
  <si>
    <t xml:space="preserve">13:28</t>
  </si>
  <si>
    <t xml:space="preserve">TRX-0554</t>
  </si>
  <si>
    <t xml:space="preserve">13:40</t>
  </si>
  <si>
    <t xml:space="preserve">TRX-0555</t>
  </si>
  <si>
    <t xml:space="preserve">14:26</t>
  </si>
  <si>
    <t xml:space="preserve">TRX-0556</t>
  </si>
  <si>
    <t xml:space="preserve">14:44</t>
  </si>
  <si>
    <t xml:space="preserve">TRX-0557</t>
  </si>
  <si>
    <t xml:space="preserve">TRX-0558</t>
  </si>
  <si>
    <t xml:space="preserve">15:22</t>
  </si>
  <si>
    <t xml:space="preserve">TRX-0559</t>
  </si>
  <si>
    <t xml:space="preserve">16:08</t>
  </si>
  <si>
    <t xml:space="preserve">TRX-0560</t>
  </si>
  <si>
    <t xml:space="preserve">16:15</t>
  </si>
  <si>
    <t xml:space="preserve">TRX-0561</t>
  </si>
  <si>
    <t xml:space="preserve">16:28</t>
  </si>
  <si>
    <t xml:space="preserve">TRX-0562</t>
  </si>
  <si>
    <t xml:space="preserve">TRX-0563</t>
  </si>
  <si>
    <t xml:space="preserve">16:41</t>
  </si>
  <si>
    <t xml:space="preserve">TRX-0564</t>
  </si>
  <si>
    <t xml:space="preserve">TRX-0565</t>
  </si>
  <si>
    <t xml:space="preserve">TRX-0566</t>
  </si>
  <si>
    <t xml:space="preserve">TRX-0567</t>
  </si>
  <si>
    <t xml:space="preserve">17:21</t>
  </si>
  <si>
    <t xml:space="preserve">TRX-0568</t>
  </si>
  <si>
    <t xml:space="preserve">TRX-0569</t>
  </si>
  <si>
    <t xml:space="preserve">TRX-0570</t>
  </si>
  <si>
    <t xml:space="preserve">17:48</t>
  </si>
  <si>
    <t xml:space="preserve">TRX-0571</t>
  </si>
  <si>
    <t xml:space="preserve">TRX-0572</t>
  </si>
  <si>
    <t xml:space="preserve">TRX-0573</t>
  </si>
  <si>
    <t xml:space="preserve">18:53</t>
  </si>
  <si>
    <t xml:space="preserve">TRX-0574</t>
  </si>
  <si>
    <t xml:space="preserve">TRX-0575</t>
  </si>
  <si>
    <t xml:space="preserve">TRX-0576</t>
  </si>
  <si>
    <t xml:space="preserve">TRX-0577</t>
  </si>
  <si>
    <t xml:space="preserve">20:11</t>
  </si>
  <si>
    <t xml:space="preserve">TRX-0578</t>
  </si>
  <si>
    <t xml:space="preserve">20:38</t>
  </si>
  <si>
    <t xml:space="preserve">TRX-0579</t>
  </si>
  <si>
    <t xml:space="preserve">TRX-0580</t>
  </si>
  <si>
    <t xml:space="preserve">TRX-0581</t>
  </si>
  <si>
    <t xml:space="preserve">08:33</t>
  </si>
  <si>
    <t xml:space="preserve">TRX-0582</t>
  </si>
  <si>
    <t xml:space="preserve">TRX-0583</t>
  </si>
  <si>
    <t xml:space="preserve">09:19</t>
  </si>
  <si>
    <t xml:space="preserve">TRX-0584</t>
  </si>
  <si>
    <t xml:space="preserve">10:06</t>
  </si>
  <si>
    <t xml:space="preserve">TRX-0585</t>
  </si>
  <si>
    <t xml:space="preserve">10:24</t>
  </si>
  <si>
    <t xml:space="preserve">TRX-0586</t>
  </si>
  <si>
    <t xml:space="preserve">11:21</t>
  </si>
  <si>
    <t xml:space="preserve">TRX-0587</t>
  </si>
  <si>
    <t xml:space="preserve">11:24</t>
  </si>
  <si>
    <t xml:space="preserve">TRX-0588</t>
  </si>
  <si>
    <t xml:space="preserve">11:25</t>
  </si>
  <si>
    <t xml:space="preserve">TRX-0589</t>
  </si>
  <si>
    <t xml:space="preserve">11:38</t>
  </si>
  <si>
    <t xml:space="preserve">TRX-0590</t>
  </si>
  <si>
    <t xml:space="preserve">TRX-0591</t>
  </si>
  <si>
    <t xml:space="preserve">TRX-0592</t>
  </si>
  <si>
    <t xml:space="preserve">TRX-0593</t>
  </si>
  <si>
    <t xml:space="preserve">TRX-0594</t>
  </si>
  <si>
    <t xml:space="preserve">12:37 WIB</t>
  </si>
  <si>
    <t xml:space="preserve">TRX-0595</t>
  </si>
  <si>
    <t xml:space="preserve">12:42</t>
  </si>
  <si>
    <t xml:space="preserve">TRX-0596</t>
  </si>
  <si>
    <t xml:space="preserve">TRX-0597</t>
  </si>
  <si>
    <t xml:space="preserve">TRX-0598</t>
  </si>
  <si>
    <t xml:space="preserve">TRX-0599</t>
  </si>
  <si>
    <t xml:space="preserve">TRX-0600</t>
  </si>
  <si>
    <t xml:space="preserve">12:54</t>
  </si>
  <si>
    <t xml:space="preserve">TRX-0601</t>
  </si>
  <si>
    <t xml:space="preserve">TRX-0602</t>
  </si>
  <si>
    <t xml:space="preserve">13:14</t>
  </si>
  <si>
    <t xml:space="preserve">TRX-0603</t>
  </si>
  <si>
    <t xml:space="preserve">TRX-0604</t>
  </si>
  <si>
    <t xml:space="preserve">TRX-0605</t>
  </si>
  <si>
    <t xml:space="preserve">13:37</t>
  </si>
  <si>
    <t xml:space="preserve">TRX-0606</t>
  </si>
  <si>
    <t xml:space="preserve">TRX-0607</t>
  </si>
  <si>
    <t xml:space="preserve">13:44</t>
  </si>
  <si>
    <t xml:space="preserve">TRX-0608</t>
  </si>
  <si>
    <t xml:space="preserve">TRX-0609</t>
  </si>
  <si>
    <t xml:space="preserve">15:24</t>
  </si>
  <si>
    <t xml:space="preserve">TRX-0610</t>
  </si>
  <si>
    <t xml:space="preserve">TRX-0611</t>
  </si>
  <si>
    <t xml:space="preserve">16:21</t>
  </si>
  <si>
    <t xml:space="preserve">TRX-0612</t>
  </si>
  <si>
    <t xml:space="preserve">TRX-0613</t>
  </si>
  <si>
    <t xml:space="preserve">TRX-0614</t>
  </si>
  <si>
    <t xml:space="preserve">17:25</t>
  </si>
  <si>
    <t xml:space="preserve">TRX-0615</t>
  </si>
  <si>
    <t xml:space="preserve">TRX-0616</t>
  </si>
  <si>
    <t xml:space="preserve">TRX-0617</t>
  </si>
  <si>
    <t xml:space="preserve">TRX-0618</t>
  </si>
  <si>
    <t xml:space="preserve">TRX-0619</t>
  </si>
  <si>
    <t xml:space="preserve">TRX-0620</t>
  </si>
  <si>
    <t xml:space="preserve">TRX-0621</t>
  </si>
  <si>
    <t xml:space="preserve">TRX-0622</t>
  </si>
  <si>
    <t xml:space="preserve">TRX-0623</t>
  </si>
  <si>
    <t xml:space="preserve">TRX-0624</t>
  </si>
  <si>
    <t xml:space="preserve">19:39</t>
  </si>
  <si>
    <t xml:space="preserve">TRX-0625</t>
  </si>
  <si>
    <t xml:space="preserve">TRX-0626</t>
  </si>
  <si>
    <t xml:space="preserve">19:51</t>
  </si>
  <si>
    <t xml:space="preserve">TRX-0627</t>
  </si>
  <si>
    <t xml:space="preserve">TRX-0628</t>
  </si>
  <si>
    <t xml:space="preserve">TRX-0629</t>
  </si>
  <si>
    <t xml:space="preserve">20:40</t>
  </si>
  <si>
    <t xml:space="preserve">TRX-0630</t>
  </si>
  <si>
    <t xml:space="preserve">20:48</t>
  </si>
  <si>
    <t xml:space="preserve">mie goreng</t>
  </si>
  <si>
    <t xml:space="preserve">TRX-0631</t>
  </si>
  <si>
    <t xml:space="preserve">08:09</t>
  </si>
  <si>
    <t xml:space="preserve">TRX-0632</t>
  </si>
  <si>
    <t xml:space="preserve">08:29</t>
  </si>
  <si>
    <t xml:space="preserve">TRX-0633</t>
  </si>
  <si>
    <t xml:space="preserve">10:04</t>
  </si>
  <si>
    <t xml:space="preserve">TRX-0634</t>
  </si>
  <si>
    <t xml:space="preserve">10:14:00</t>
  </si>
  <si>
    <t xml:space="preserve">TRX-0635</t>
  </si>
  <si>
    <t xml:space="preserve">10:52</t>
  </si>
  <si>
    <t xml:space="preserve">TRX-0636</t>
  </si>
  <si>
    <t xml:space="preserve">10:56</t>
  </si>
  <si>
    <t xml:space="preserve">TRX-0637</t>
  </si>
  <si>
    <t xml:space="preserve">11:22</t>
  </si>
  <si>
    <t xml:space="preserve">TRX-0638</t>
  </si>
  <si>
    <t xml:space="preserve">11:26</t>
  </si>
  <si>
    <t xml:space="preserve">TRX-0639</t>
  </si>
  <si>
    <t xml:space="preserve">TRX-0640</t>
  </si>
  <si>
    <t xml:space="preserve">TRX-0641</t>
  </si>
  <si>
    <t xml:space="preserve">TRX-0642</t>
  </si>
  <si>
    <t xml:space="preserve">TRX-0643</t>
  </si>
  <si>
    <t xml:space="preserve">TRX-0644</t>
  </si>
  <si>
    <t xml:space="preserve">TRX-0645</t>
  </si>
  <si>
    <t xml:space="preserve">TRX-0646</t>
  </si>
  <si>
    <t xml:space="preserve">TRX-0647</t>
  </si>
  <si>
    <t xml:space="preserve">TRX-0648</t>
  </si>
  <si>
    <t xml:space="preserve">13:03</t>
  </si>
  <si>
    <t xml:space="preserve">TRX-0649</t>
  </si>
  <si>
    <t xml:space="preserve">13.04</t>
  </si>
  <si>
    <t xml:space="preserve">TRX-0650</t>
  </si>
  <si>
    <t xml:space="preserve">TRX-0651</t>
  </si>
  <si>
    <t xml:space="preserve">TRX-0652</t>
  </si>
  <si>
    <t xml:space="preserve">TRX-0653</t>
  </si>
  <si>
    <t xml:space="preserve">TRX-0654</t>
  </si>
  <si>
    <t xml:space="preserve">TRX-0655</t>
  </si>
  <si>
    <t xml:space="preserve">13:48</t>
  </si>
  <si>
    <t xml:space="preserve">TRX-0656</t>
  </si>
  <si>
    <t xml:space="preserve">14:54</t>
  </si>
  <si>
    <t xml:space="preserve">TRX-0657</t>
  </si>
  <si>
    <t xml:space="preserve">TRX-0658</t>
  </si>
  <si>
    <t xml:space="preserve">17:16</t>
  </si>
  <si>
    <t xml:space="preserve">TRX-0659</t>
  </si>
  <si>
    <t xml:space="preserve">TRX-0660</t>
  </si>
  <si>
    <t xml:space="preserve">17:37</t>
  </si>
  <si>
    <t xml:space="preserve">TRX-0661</t>
  </si>
  <si>
    <t xml:space="preserve">17:50</t>
  </si>
  <si>
    <t xml:space="preserve">TRX-0662</t>
  </si>
  <si>
    <t xml:space="preserve">18:03</t>
  </si>
  <si>
    <t xml:space="preserve">TRX-0663</t>
  </si>
  <si>
    <t xml:space="preserve">TRX-0664</t>
  </si>
  <si>
    <t xml:space="preserve">TRX-0665</t>
  </si>
  <si>
    <t xml:space="preserve">TRX-0666</t>
  </si>
  <si>
    <t xml:space="preserve">TRX-0667</t>
  </si>
  <si>
    <t xml:space="preserve">19:33</t>
  </si>
  <si>
    <t xml:space="preserve">TRX-0668</t>
  </si>
  <si>
    <t xml:space="preserve">TRX-0669</t>
  </si>
  <si>
    <t xml:space="preserve">20:05</t>
  </si>
  <si>
    <t xml:space="preserve">TRX-0670</t>
  </si>
  <si>
    <t xml:space="preserve">TRX-0671</t>
  </si>
  <si>
    <t xml:space="preserve">20:50</t>
  </si>
  <si>
    <t xml:space="preserve">TRX-0672</t>
  </si>
  <si>
    <t xml:space="preserve">08:26</t>
  </si>
  <si>
    <t xml:space="preserve">TRX-0673</t>
  </si>
  <si>
    <t xml:space="preserve">08:45 WIB</t>
  </si>
  <si>
    <t xml:space="preserve">TRX-0674</t>
  </si>
  <si>
    <t xml:space="preserve">09:08</t>
  </si>
  <si>
    <t xml:space="preserve">TRX-0675</t>
  </si>
  <si>
    <t xml:space="preserve">09:39</t>
  </si>
  <si>
    <t xml:space="preserve">TRX-0676</t>
  </si>
  <si>
    <t xml:space="preserve">TRX-0677</t>
  </si>
  <si>
    <t xml:space="preserve">Nasi  Ayam  Bakar</t>
  </si>
  <si>
    <t xml:space="preserve">TRX-0678</t>
  </si>
  <si>
    <t xml:space="preserve">TRX-0679</t>
  </si>
  <si>
    <t xml:space="preserve">TRX-0680</t>
  </si>
  <si>
    <t xml:space="preserve">TRX-0681</t>
  </si>
  <si>
    <t xml:space="preserve">TRX-0682</t>
  </si>
  <si>
    <t xml:space="preserve">TRX-0683</t>
  </si>
  <si>
    <t xml:space="preserve">12:19</t>
  </si>
  <si>
    <t xml:space="preserve">TRX-0684</t>
  </si>
  <si>
    <t xml:space="preserve">TRX-0685</t>
  </si>
  <si>
    <t xml:space="preserve">TRX-0686</t>
  </si>
  <si>
    <t xml:space="preserve">TRX-0687</t>
  </si>
  <si>
    <t xml:space="preserve">TRX-0688</t>
  </si>
  <si>
    <t xml:space="preserve">TRX-0689</t>
  </si>
  <si>
    <t xml:space="preserve">TRX-0690</t>
  </si>
  <si>
    <t xml:space="preserve">TRX-0691</t>
  </si>
  <si>
    <t xml:space="preserve">TRX-0692</t>
  </si>
  <si>
    <t xml:space="preserve">TRX-0693</t>
  </si>
  <si>
    <t xml:space="preserve">TRX-0694</t>
  </si>
  <si>
    <t xml:space="preserve">TRX-0695</t>
  </si>
  <si>
    <t xml:space="preserve">TRX-0696</t>
  </si>
  <si>
    <t xml:space="preserve">TRX-0697</t>
  </si>
  <si>
    <t xml:space="preserve">TRX-0698</t>
  </si>
  <si>
    <t xml:space="preserve">TRX-0699</t>
  </si>
  <si>
    <t xml:space="preserve">TRX-0700</t>
  </si>
  <si>
    <t xml:space="preserve">17:38</t>
  </si>
  <si>
    <t xml:space="preserve">TRX-0701</t>
  </si>
  <si>
    <t xml:space="preserve">TRX-0702</t>
  </si>
  <si>
    <t xml:space="preserve">TRX-0703</t>
  </si>
  <si>
    <t xml:space="preserve">TRX-0704</t>
  </si>
  <si>
    <t xml:space="preserve">TRX-0705</t>
  </si>
  <si>
    <t xml:space="preserve">TRX-0706</t>
  </si>
  <si>
    <t xml:space="preserve">TRX-0707</t>
  </si>
  <si>
    <t xml:space="preserve">TRX-0708</t>
  </si>
  <si>
    <t xml:space="preserve">TRX-0709</t>
  </si>
  <si>
    <t xml:space="preserve">19:16</t>
  </si>
  <si>
    <t xml:space="preserve">TRX-0710</t>
  </si>
  <si>
    <t xml:space="preserve">19:19</t>
  </si>
  <si>
    <t xml:space="preserve">TRX-0711</t>
  </si>
  <si>
    <t xml:space="preserve">TRX-0712</t>
  </si>
  <si>
    <t xml:space="preserve">TRX-0713</t>
  </si>
  <si>
    <t xml:space="preserve">TRX-0714</t>
  </si>
  <si>
    <t xml:space="preserve">20:19</t>
  </si>
  <si>
    <t xml:space="preserve">TRX-0715</t>
  </si>
  <si>
    <t xml:space="preserve">TRX-0716</t>
  </si>
  <si>
    <t xml:space="preserve">09:29</t>
  </si>
  <si>
    <t xml:space="preserve">TRX-0717</t>
  </si>
  <si>
    <t xml:space="preserve">TRX-0718</t>
  </si>
  <si>
    <t xml:space="preserve">TRX-0719</t>
  </si>
  <si>
    <t xml:space="preserve">TRX-0720</t>
  </si>
  <si>
    <t xml:space="preserve">TRX-0721</t>
  </si>
  <si>
    <t xml:space="preserve">TRX-0722</t>
  </si>
  <si>
    <t xml:space="preserve">TRX-0723</t>
  </si>
  <si>
    <t xml:space="preserve">TRX-0724</t>
  </si>
  <si>
    <t xml:space="preserve">TRX-0725</t>
  </si>
  <si>
    <t xml:space="preserve">TRX-0726</t>
  </si>
  <si>
    <t xml:space="preserve">Ayam Geprek </t>
  </si>
  <si>
    <t xml:space="preserve">TRX-0727</t>
  </si>
  <si>
    <t xml:space="preserve">TRX-0728</t>
  </si>
  <si>
    <t xml:space="preserve">TRX-0729</t>
  </si>
  <si>
    <t xml:space="preserve">13:08</t>
  </si>
  <si>
    <t xml:space="preserve">TRX-0730</t>
  </si>
  <si>
    <t xml:space="preserve">13:09</t>
  </si>
  <si>
    <t xml:space="preserve">TRX-0731</t>
  </si>
  <si>
    <t xml:space="preserve">13:42</t>
  </si>
  <si>
    <t xml:space="preserve">TRX-0732</t>
  </si>
  <si>
    <t xml:space="preserve">13:43</t>
  </si>
  <si>
    <t xml:space="preserve">TRX-0733</t>
  </si>
  <si>
    <t xml:space="preserve">TRX-0734</t>
  </si>
  <si>
    <t xml:space="preserve">14:04</t>
  </si>
  <si>
    <t xml:space="preserve">TRX-0735</t>
  </si>
  <si>
    <t xml:space="preserve">14:39</t>
  </si>
  <si>
    <t xml:space="preserve">TRX-0736</t>
  </si>
  <si>
    <t xml:space="preserve">15:07</t>
  </si>
  <si>
    <t xml:space="preserve">TRX-0737</t>
  </si>
  <si>
    <t xml:space="preserve">TRX-0738</t>
  </si>
  <si>
    <t xml:space="preserve">TRX-0739</t>
  </si>
  <si>
    <t xml:space="preserve">16:50</t>
  </si>
  <si>
    <t xml:space="preserve">TRX-0740</t>
  </si>
  <si>
    <t xml:space="preserve">TRX-0741</t>
  </si>
  <si>
    <t xml:space="preserve">TRX-0742</t>
  </si>
  <si>
    <t xml:space="preserve">TRX-0743</t>
  </si>
  <si>
    <t xml:space="preserve">TRX-0744</t>
  </si>
  <si>
    <t xml:space="preserve">TRX-0745</t>
  </si>
  <si>
    <t xml:space="preserve">TRX-0746</t>
  </si>
  <si>
    <t xml:space="preserve">TRX-0747</t>
  </si>
  <si>
    <t xml:space="preserve">18:29</t>
  </si>
  <si>
    <t xml:space="preserve">TRX-0748</t>
  </si>
  <si>
    <t xml:space="preserve">TRX-0749</t>
  </si>
  <si>
    <t xml:space="preserve">TRX-0750</t>
  </si>
  <si>
    <t xml:space="preserve">TRX-0751</t>
  </si>
  <si>
    <t xml:space="preserve">TRX-0752</t>
  </si>
  <si>
    <t xml:space="preserve">TRX-0753</t>
  </si>
  <si>
    <t xml:space="preserve">TRX-0754</t>
  </si>
  <si>
    <t xml:space="preserve">TRX-0755</t>
  </si>
  <si>
    <t xml:space="preserve">19:46</t>
  </si>
  <si>
    <t xml:space="preserve">TRX-0756</t>
  </si>
  <si>
    <t xml:space="preserve">19:50</t>
  </si>
  <si>
    <t xml:space="preserve">TRX-0757</t>
  </si>
  <si>
    <t xml:space="preserve">TRX-0758</t>
  </si>
  <si>
    <t xml:space="preserve">20:26</t>
  </si>
  <si>
    <t xml:space="preserve">TRX-0759</t>
  </si>
  <si>
    <t xml:space="preserve">08:20</t>
  </si>
  <si>
    <t xml:space="preserve">TRX-0760</t>
  </si>
  <si>
    <t xml:space="preserve">09.19</t>
  </si>
  <si>
    <t xml:space="preserve">TRX-0761</t>
  </si>
  <si>
    <t xml:space="preserve">TRX-0762</t>
  </si>
  <si>
    <t xml:space="preserve">TRX-0763</t>
  </si>
  <si>
    <t xml:space="preserve">TRX-0764</t>
  </si>
  <si>
    <t xml:space="preserve">TRX-0765</t>
  </si>
  <si>
    <t xml:space="preserve">TRX-0766</t>
  </si>
  <si>
    <t xml:space="preserve">TRX-0767</t>
  </si>
  <si>
    <t xml:space="preserve">TRX-0768</t>
  </si>
  <si>
    <t xml:space="preserve">12:17</t>
  </si>
  <si>
    <t xml:space="preserve">TRX-0769</t>
  </si>
  <si>
    <t xml:space="preserve">TRX-0770</t>
  </si>
  <si>
    <t xml:space="preserve">TRX-0771</t>
  </si>
  <si>
    <t xml:space="preserve">TRX-0772</t>
  </si>
  <si>
    <t xml:space="preserve">TRX-0773</t>
  </si>
  <si>
    <t xml:space="preserve">TRX-0774</t>
  </si>
  <si>
    <t xml:space="preserve">TRX-0775</t>
  </si>
  <si>
    <t xml:space="preserve">TRX-0776</t>
  </si>
  <si>
    <t xml:space="preserve">14:18</t>
  </si>
  <si>
    <t xml:space="preserve">TRX-0777</t>
  </si>
  <si>
    <t xml:space="preserve">TRX-0778</t>
  </si>
  <si>
    <t xml:space="preserve">TRX-0779</t>
  </si>
  <si>
    <t xml:space="preserve">TRX-0780</t>
  </si>
  <si>
    <t xml:space="preserve">15:35</t>
  </si>
  <si>
    <t xml:space="preserve">TRX-0781</t>
  </si>
  <si>
    <t xml:space="preserve">TRX-0782</t>
  </si>
  <si>
    <t xml:space="preserve">16:33</t>
  </si>
  <si>
    <t xml:space="preserve">TRX-0783</t>
  </si>
  <si>
    <t xml:space="preserve">TRX-0784</t>
  </si>
  <si>
    <t xml:space="preserve">TRX-0785</t>
  </si>
  <si>
    <t xml:space="preserve">17:18</t>
  </si>
  <si>
    <t xml:space="preserve">TRX-0786</t>
  </si>
  <si>
    <t xml:space="preserve">TRX-0787</t>
  </si>
  <si>
    <t xml:space="preserve">17:23</t>
  </si>
  <si>
    <t xml:space="preserve">TRX-0788</t>
  </si>
  <si>
    <t xml:space="preserve">TRX-0789</t>
  </si>
  <si>
    <t xml:space="preserve">TRX-0790</t>
  </si>
  <si>
    <t xml:space="preserve">TRX-0791</t>
  </si>
  <si>
    <t xml:space="preserve">TRX-0792</t>
  </si>
  <si>
    <t xml:space="preserve">TRX-0793</t>
  </si>
  <si>
    <t xml:space="preserve">TRX-0794</t>
  </si>
  <si>
    <t xml:space="preserve">TRX-0795</t>
  </si>
  <si>
    <t xml:space="preserve">19:18</t>
  </si>
  <si>
    <t xml:space="preserve">TRX-0796</t>
  </si>
  <si>
    <t xml:space="preserve">TRX-0797</t>
  </si>
  <si>
    <t xml:space="preserve">TRX-0798</t>
  </si>
  <si>
    <t xml:space="preserve">TRX-0799</t>
  </si>
  <si>
    <t xml:space="preserve">20:45</t>
  </si>
  <si>
    <t xml:space="preserve">TRX-0800</t>
  </si>
  <si>
    <t xml:space="preserve">TRX-0801</t>
  </si>
  <si>
    <t xml:space="preserve">10:11</t>
  </si>
  <si>
    <t xml:space="preserve">TRX-0802</t>
  </si>
  <si>
    <t xml:space="preserve">10:12</t>
  </si>
  <si>
    <t xml:space="preserve">TRX-0803</t>
  </si>
  <si>
    <t xml:space="preserve">TRX-0804</t>
  </si>
  <si>
    <t xml:space="preserve">11:42</t>
  </si>
  <si>
    <t xml:space="preserve">TRX-0805</t>
  </si>
  <si>
    <t xml:space="preserve">TRX-0806</t>
  </si>
  <si>
    <t xml:space="preserve">TRX-0807</t>
  </si>
  <si>
    <t xml:space="preserve">TRX-0808</t>
  </si>
  <si>
    <t xml:space="preserve">TRX-0809</t>
  </si>
  <si>
    <t xml:space="preserve">TRX-0810</t>
  </si>
  <si>
    <t xml:space="preserve">TRX-0811</t>
  </si>
  <si>
    <t xml:space="preserve">TRX-0812</t>
  </si>
  <si>
    <t xml:space="preserve">13:23</t>
  </si>
  <si>
    <t xml:space="preserve">TRX-0813</t>
  </si>
  <si>
    <t xml:space="preserve">TRX-0814</t>
  </si>
  <si>
    <t xml:space="preserve">TRX-0815</t>
  </si>
  <si>
    <t xml:space="preserve">TRX-0816</t>
  </si>
  <si>
    <t xml:space="preserve">TRX-0817</t>
  </si>
  <si>
    <t xml:space="preserve">14:07</t>
  </si>
  <si>
    <t xml:space="preserve">TRX-0818</t>
  </si>
  <si>
    <t xml:space="preserve">14:11</t>
  </si>
  <si>
    <t xml:space="preserve">TRX-0819</t>
  </si>
  <si>
    <t xml:space="preserve">TRX-0820</t>
  </si>
  <si>
    <t xml:space="preserve">TRX-0821</t>
  </si>
  <si>
    <t xml:space="preserve">TRX-0822</t>
  </si>
  <si>
    <t xml:space="preserve">TRX-0823</t>
  </si>
  <si>
    <t xml:space="preserve">TRX-0824</t>
  </si>
  <si>
    <t xml:space="preserve">TRX-0825</t>
  </si>
  <si>
    <t xml:space="preserve">17:56</t>
  </si>
  <si>
    <t xml:space="preserve">TRX-0826</t>
  </si>
  <si>
    <t xml:space="preserve">TRX-0827</t>
  </si>
  <si>
    <t xml:space="preserve">TRX-0828</t>
  </si>
  <si>
    <t xml:space="preserve">18:33 WIB</t>
  </si>
  <si>
    <t xml:space="preserve">TRX-0829</t>
  </si>
  <si>
    <t xml:space="preserve">TRX-0830</t>
  </si>
  <si>
    <t xml:space="preserve">Ayam  Geprek</t>
  </si>
  <si>
    <t xml:space="preserve">TRX-0831</t>
  </si>
  <si>
    <t xml:space="preserve">TRX-0832</t>
  </si>
  <si>
    <t xml:space="preserve">TRX-0833</t>
  </si>
  <si>
    <t xml:space="preserve">18:45</t>
  </si>
  <si>
    <t xml:space="preserve">TRX-0834</t>
  </si>
  <si>
    <t xml:space="preserve">TRX-0835</t>
  </si>
  <si>
    <t xml:space="preserve">19:02</t>
  </si>
  <si>
    <t xml:space="preserve">TRX-0836</t>
  </si>
  <si>
    <t xml:space="preserve">TRX-0837</t>
  </si>
  <si>
    <t xml:space="preserve">19:07</t>
  </si>
  <si>
    <t xml:space="preserve">TRX-0838</t>
  </si>
  <si>
    <t xml:space="preserve">19:38</t>
  </si>
  <si>
    <t xml:space="preserve">TRX-0839</t>
  </si>
  <si>
    <t xml:space="preserve">TRX-0840</t>
  </si>
  <si>
    <t xml:space="preserve">TRX-0841</t>
  </si>
  <si>
    <t xml:space="preserve">20:08</t>
  </si>
  <si>
    <t xml:space="preserve">TRX-0842</t>
  </si>
  <si>
    <t xml:space="preserve">20:16</t>
  </si>
  <si>
    <t xml:space="preserve">TRX-0843</t>
  </si>
  <si>
    <t xml:space="preserve">20:54 WIB</t>
  </si>
  <si>
    <t xml:space="preserve">TRX-0844</t>
  </si>
  <si>
    <t xml:space="preserve">TRX-0845</t>
  </si>
  <si>
    <t xml:space="preserve">08:03</t>
  </si>
  <si>
    <t xml:space="preserve">TRX-0846</t>
  </si>
  <si>
    <t xml:space="preserve">TRX-0847</t>
  </si>
  <si>
    <t xml:space="preserve">08:35</t>
  </si>
  <si>
    <t xml:space="preserve">TRX-0848</t>
  </si>
  <si>
    <t xml:space="preserve">09:20</t>
  </si>
  <si>
    <t xml:space="preserve">TRX-0849</t>
  </si>
  <si>
    <t xml:space="preserve">09:32</t>
  </si>
  <si>
    <t xml:space="preserve">TRX-0850</t>
  </si>
  <si>
    <t xml:space="preserve">09:55</t>
  </si>
  <si>
    <t xml:space="preserve">TRX-0851</t>
  </si>
  <si>
    <t xml:space="preserve">TRX-0852</t>
  </si>
  <si>
    <t xml:space="preserve">10:25</t>
  </si>
  <si>
    <t xml:space="preserve">TRX-0853</t>
  </si>
  <si>
    <t xml:space="preserve">TRX-0854</t>
  </si>
  <si>
    <t xml:space="preserve">TRX-0855</t>
  </si>
  <si>
    <t xml:space="preserve">11:05</t>
  </si>
  <si>
    <t xml:space="preserve">TRX-0856</t>
  </si>
  <si>
    <t xml:space="preserve">TRX-0857</t>
  </si>
  <si>
    <t xml:space="preserve">11:19</t>
  </si>
  <si>
    <t xml:space="preserve">TRX-0858</t>
  </si>
  <si>
    <t xml:space="preserve">TRX-0859</t>
  </si>
  <si>
    <t xml:space="preserve">TRX-0860</t>
  </si>
  <si>
    <t xml:space="preserve">TRX-0861</t>
  </si>
  <si>
    <t xml:space="preserve">TRX-0862</t>
  </si>
  <si>
    <t xml:space="preserve">TRX-0863</t>
  </si>
  <si>
    <t xml:space="preserve">12:05</t>
  </si>
  <si>
    <t xml:space="preserve">TRX-0864</t>
  </si>
  <si>
    <t xml:space="preserve">TRX-0865</t>
  </si>
  <si>
    <t xml:space="preserve">TRX-0866</t>
  </si>
  <si>
    <t xml:space="preserve">12:14</t>
  </si>
  <si>
    <t xml:space="preserve">TRX-0867</t>
  </si>
  <si>
    <t xml:space="preserve">TRX-0868</t>
  </si>
  <si>
    <t xml:space="preserve">TRX-0869</t>
  </si>
  <si>
    <t xml:space="preserve">12.45</t>
  </si>
  <si>
    <t xml:space="preserve">TRX-0870</t>
  </si>
  <si>
    <t xml:space="preserve">13:02</t>
  </si>
  <si>
    <t xml:space="preserve">TRX-0871</t>
  </si>
  <si>
    <t xml:space="preserve">TRX-0872</t>
  </si>
  <si>
    <t xml:space="preserve">14:33</t>
  </si>
  <si>
    <t xml:space="preserve">TRX-0873</t>
  </si>
  <si>
    <t xml:space="preserve">TRX-0874</t>
  </si>
  <si>
    <t xml:space="preserve">TRX-0875</t>
  </si>
  <si>
    <t xml:space="preserve">15:32</t>
  </si>
  <si>
    <t xml:space="preserve">TRX-0876</t>
  </si>
  <si>
    <t xml:space="preserve">15:47</t>
  </si>
  <si>
    <t xml:space="preserve">TRX-0877</t>
  </si>
  <si>
    <t xml:space="preserve">15:49</t>
  </si>
  <si>
    <t xml:space="preserve">TRX-0878</t>
  </si>
  <si>
    <t xml:space="preserve">TRX-0879</t>
  </si>
  <si>
    <t xml:space="preserve">17:01</t>
  </si>
  <si>
    <t xml:space="preserve">TRX-0880</t>
  </si>
  <si>
    <t xml:space="preserve">TRX-0881</t>
  </si>
  <si>
    <t xml:space="preserve">TRX-0882</t>
  </si>
  <si>
    <t xml:space="preserve">TRX-0883</t>
  </si>
  <si>
    <t xml:space="preserve">18:17</t>
  </si>
  <si>
    <t xml:space="preserve">TRX-0884</t>
  </si>
  <si>
    <t xml:space="preserve">TRX-0885</t>
  </si>
  <si>
    <t xml:space="preserve">18:38</t>
  </si>
  <si>
    <t xml:space="preserve">TRX-0886</t>
  </si>
  <si>
    <t xml:space="preserve">18:44</t>
  </si>
  <si>
    <t xml:space="preserve">TRX-0887</t>
  </si>
  <si>
    <t xml:space="preserve">18:47</t>
  </si>
  <si>
    <t xml:space="preserve">TRX-0888</t>
  </si>
  <si>
    <t xml:space="preserve">TRX-0889</t>
  </si>
  <si>
    <t xml:space="preserve">TRX-0890</t>
  </si>
  <si>
    <t xml:space="preserve">19:45 WIB</t>
  </si>
  <si>
    <t xml:space="preserve">TRX-0891</t>
  </si>
  <si>
    <t xml:space="preserve">TRX-0892</t>
  </si>
  <si>
    <t xml:space="preserve">TRX-0893</t>
  </si>
  <si>
    <t xml:space="preserve">20:02</t>
  </si>
  <si>
    <t xml:space="preserve">TRX-0894</t>
  </si>
  <si>
    <t xml:space="preserve">20:25</t>
  </si>
  <si>
    <t xml:space="preserve">TRX-0895</t>
  </si>
  <si>
    <t xml:space="preserve">20:28</t>
  </si>
  <si>
    <t xml:space="preserve">TRX-0896</t>
  </si>
  <si>
    <t xml:space="preserve">TRX-0897</t>
  </si>
  <si>
    <t xml:space="preserve">TRX-0898</t>
  </si>
  <si>
    <t xml:space="preserve">09:56</t>
  </si>
  <si>
    <t xml:space="preserve">TRX-0899</t>
  </si>
  <si>
    <t xml:space="preserve">10:58</t>
  </si>
  <si>
    <t xml:space="preserve">TRX-0900</t>
  </si>
  <si>
    <t xml:space="preserve">TRX-0901</t>
  </si>
  <si>
    <t xml:space="preserve">TRX-0902</t>
  </si>
  <si>
    <t xml:space="preserve">11:31</t>
  </si>
  <si>
    <t xml:space="preserve">TRX-0903</t>
  </si>
  <si>
    <t xml:space="preserve">TRX-0904</t>
  </si>
  <si>
    <t xml:space="preserve">TRX-0905</t>
  </si>
  <si>
    <t xml:space="preserve">TRX-0906</t>
  </si>
  <si>
    <t xml:space="preserve">11:57</t>
  </si>
  <si>
    <t xml:space="preserve">TRX-0907</t>
  </si>
  <si>
    <t xml:space="preserve">TRX-0908</t>
  </si>
  <si>
    <t xml:space="preserve">TRX-0909</t>
  </si>
  <si>
    <t xml:space="preserve">TRX-0910</t>
  </si>
  <si>
    <t xml:space="preserve">TRX-0911</t>
  </si>
  <si>
    <t xml:space="preserve">TRX-0912</t>
  </si>
  <si>
    <t xml:space="preserve">13:26</t>
  </si>
  <si>
    <t xml:space="preserve">TRX-0913</t>
  </si>
  <si>
    <t xml:space="preserve">13:32</t>
  </si>
  <si>
    <t xml:space="preserve">TRX-0914</t>
  </si>
  <si>
    <t xml:space="preserve">TRX-0915</t>
  </si>
  <si>
    <t xml:space="preserve">TRX-0916</t>
  </si>
  <si>
    <t xml:space="preserve">14:16</t>
  </si>
  <si>
    <t xml:space="preserve">TRX-0917</t>
  </si>
  <si>
    <t xml:space="preserve">TRX-0918</t>
  </si>
  <si>
    <t xml:space="preserve">14:57</t>
  </si>
  <si>
    <t xml:space="preserve">TRX-0919</t>
  </si>
  <si>
    <t xml:space="preserve">TRX-0920</t>
  </si>
  <si>
    <t xml:space="preserve">16:05</t>
  </si>
  <si>
    <t xml:space="preserve">TRX-0921</t>
  </si>
  <si>
    <t xml:space="preserve">TRX-0922</t>
  </si>
  <si>
    <t xml:space="preserve">TRX-0923</t>
  </si>
  <si>
    <t xml:space="preserve">16:58</t>
  </si>
  <si>
    <t xml:space="preserve">TRX-0924</t>
  </si>
  <si>
    <t xml:space="preserve">TRX-0925</t>
  </si>
  <si>
    <t xml:space="preserve">TRX-0926</t>
  </si>
  <si>
    <t xml:space="preserve">TRX-0927</t>
  </si>
  <si>
    <t xml:space="preserve">TRX-0928</t>
  </si>
  <si>
    <t xml:space="preserve">TRX-0929</t>
  </si>
  <si>
    <t xml:space="preserve">TRX-0930</t>
  </si>
  <si>
    <t xml:space="preserve">TRX-0931</t>
  </si>
  <si>
    <t xml:space="preserve">TRX-0932</t>
  </si>
  <si>
    <t xml:space="preserve">TRX-0933</t>
  </si>
  <si>
    <t xml:space="preserve">TRX-0934</t>
  </si>
  <si>
    <t xml:space="preserve">TRX-0935</t>
  </si>
  <si>
    <t xml:space="preserve">TRX-0936</t>
  </si>
  <si>
    <t xml:space="preserve">TRX-0937</t>
  </si>
  <si>
    <t xml:space="preserve">TRX-0938</t>
  </si>
  <si>
    <t xml:space="preserve">TRX-0939</t>
  </si>
  <si>
    <t xml:space="preserve">TRX-0940</t>
  </si>
  <si>
    <t xml:space="preserve">TRX-0941</t>
  </si>
  <si>
    <t xml:space="preserve">TRX-0942</t>
  </si>
  <si>
    <t xml:space="preserve">TRX-0943</t>
  </si>
  <si>
    <t xml:space="preserve">TRX-0944</t>
  </si>
  <si>
    <t xml:space="preserve">TRX-0945</t>
  </si>
  <si>
    <t xml:space="preserve">20:43</t>
  </si>
  <si>
    <t xml:space="preserve">TRX-0946</t>
  </si>
  <si>
    <t xml:space="preserve">08:08</t>
  </si>
  <si>
    <t xml:space="preserve">TRX-0947</t>
  </si>
  <si>
    <t xml:space="preserve">08:42</t>
  </si>
  <si>
    <t xml:space="preserve">TRX-0948</t>
  </si>
  <si>
    <t xml:space="preserve">09:02</t>
  </si>
  <si>
    <t xml:space="preserve">TRX-0949</t>
  </si>
  <si>
    <t xml:space="preserve">09:06</t>
  </si>
  <si>
    <t xml:space="preserve">TRX-0950</t>
  </si>
  <si>
    <t xml:space="preserve">09:18</t>
  </si>
  <si>
    <t xml:space="preserve">09:18:00</t>
  </si>
  <si>
    <t xml:space="preserve">TRX-0951</t>
  </si>
  <si>
    <t xml:space="preserve">TRX-0952</t>
  </si>
  <si>
    <t xml:space="preserve">10:33</t>
  </si>
  <si>
    <t xml:space="preserve">TRX-0953</t>
  </si>
  <si>
    <t xml:space="preserve">10:55</t>
  </si>
  <si>
    <t xml:space="preserve">TRX-0954</t>
  </si>
  <si>
    <t xml:space="preserve">TRX-0955</t>
  </si>
  <si>
    <t xml:space="preserve">TRX-0956</t>
  </si>
  <si>
    <t xml:space="preserve">TRX-0957</t>
  </si>
  <si>
    <t xml:space="preserve">TRX-0958</t>
  </si>
  <si>
    <t xml:space="preserve">12:08</t>
  </si>
  <si>
    <t xml:space="preserve">TRX-0959</t>
  </si>
  <si>
    <t xml:space="preserve">TRX-0960</t>
  </si>
  <si>
    <t xml:space="preserve">TRX-0961</t>
  </si>
  <si>
    <t xml:space="preserve">13:19</t>
  </si>
  <si>
    <t xml:space="preserve">TRX-0962</t>
  </si>
  <si>
    <t xml:space="preserve">TRX-0963</t>
  </si>
  <si>
    <t xml:space="preserve">TRX-0964</t>
  </si>
  <si>
    <t xml:space="preserve">14:34</t>
  </si>
  <si>
    <t xml:space="preserve">TRX-0965</t>
  </si>
  <si>
    <t xml:space="preserve">TRX-0966</t>
  </si>
  <si>
    <t xml:space="preserve">14:49</t>
  </si>
  <si>
    <t xml:space="preserve">TRX-0967</t>
  </si>
  <si>
    <t xml:space="preserve">14:52</t>
  </si>
  <si>
    <t xml:space="preserve">TRX-0968</t>
  </si>
  <si>
    <t xml:space="preserve">15:29</t>
  </si>
  <si>
    <t xml:space="preserve">TRX-0969</t>
  </si>
  <si>
    <t xml:space="preserve">TRX-0970</t>
  </si>
  <si>
    <t xml:space="preserve">15:57</t>
  </si>
  <si>
    <t xml:space="preserve">TRX-0971</t>
  </si>
  <si>
    <t xml:space="preserve">TRX-0972</t>
  </si>
  <si>
    <t xml:space="preserve">16:38</t>
  </si>
  <si>
    <t xml:space="preserve">TRX-0973</t>
  </si>
  <si>
    <t xml:space="preserve">TRX-0974</t>
  </si>
  <si>
    <t xml:space="preserve">TRX-0975</t>
  </si>
  <si>
    <t xml:space="preserve">TRX-0976</t>
  </si>
  <si>
    <t xml:space="preserve">TRX-0977</t>
  </si>
  <si>
    <t xml:space="preserve">TRX-0978</t>
  </si>
  <si>
    <t xml:space="preserve">TRX-0979</t>
  </si>
  <si>
    <t xml:space="preserve">TRX-0980</t>
  </si>
  <si>
    <t xml:space="preserve">TRX-0981</t>
  </si>
  <si>
    <t xml:space="preserve">TRX-0982</t>
  </si>
  <si>
    <t xml:space="preserve">TRX-0983</t>
  </si>
  <si>
    <t xml:space="preserve">TRX-0984</t>
  </si>
  <si>
    <t xml:space="preserve">18:46</t>
  </si>
  <si>
    <t xml:space="preserve">TRX-0985</t>
  </si>
  <si>
    <t xml:space="preserve">TRX-0986</t>
  </si>
  <si>
    <t xml:space="preserve">TRX-0987</t>
  </si>
  <si>
    <t xml:space="preserve">TRX-0988</t>
  </si>
  <si>
    <t xml:space="preserve">19:24</t>
  </si>
  <si>
    <t xml:space="preserve">TRX-0989</t>
  </si>
  <si>
    <t xml:space="preserve">TRX-0990</t>
  </si>
  <si>
    <t xml:space="preserve">TRX-0991</t>
  </si>
  <si>
    <t xml:space="preserve">20:00</t>
  </si>
  <si>
    <t xml:space="preserve">TRX-0992</t>
  </si>
  <si>
    <t xml:space="preserve">20:07</t>
  </si>
  <si>
    <t xml:space="preserve">TRX-0993</t>
  </si>
  <si>
    <t xml:space="preserve">TRX-0994</t>
  </si>
  <si>
    <t xml:space="preserve">TRX-0995</t>
  </si>
  <si>
    <t xml:space="preserve">20:41 WIB</t>
  </si>
  <si>
    <t xml:space="preserve">TRX-0996</t>
  </si>
  <si>
    <t xml:space="preserve">TRX-0997</t>
  </si>
  <si>
    <t xml:space="preserve">TRX-0998</t>
  </si>
  <si>
    <t xml:space="preserve">09:12</t>
  </si>
  <si>
    <t xml:space="preserve">TRX-0999</t>
  </si>
  <si>
    <t xml:space="preserve">TRX-1000</t>
  </si>
  <si>
    <t xml:space="preserve">10:41</t>
  </si>
  <si>
    <t xml:space="preserve">TRX-1001</t>
  </si>
  <si>
    <t xml:space="preserve">TRX-1002</t>
  </si>
  <si>
    <t xml:space="preserve">TRX-1003</t>
  </si>
  <si>
    <t xml:space="preserve">11:13</t>
  </si>
  <si>
    <t xml:space="preserve">TRX-1004</t>
  </si>
  <si>
    <t xml:space="preserve">TRX-1005</t>
  </si>
  <si>
    <t xml:space="preserve">TRX-1006</t>
  </si>
  <si>
    <t xml:space="preserve">TRX-1007</t>
  </si>
  <si>
    <t xml:space="preserve">11:46</t>
  </si>
  <si>
    <t xml:space="preserve">TRX-1008</t>
  </si>
  <si>
    <t xml:space="preserve">TRX-1009</t>
  </si>
  <si>
    <t xml:space="preserve">TRX-1010</t>
  </si>
  <si>
    <t xml:space="preserve">TRX-1011</t>
  </si>
  <si>
    <t xml:space="preserve">TRX-1012</t>
  </si>
  <si>
    <t xml:space="preserve">TRX-1013</t>
  </si>
  <si>
    <t xml:space="preserve">12:24</t>
  </si>
  <si>
    <t xml:space="preserve">TRX-1014</t>
  </si>
  <si>
    <t xml:space="preserve">TRX-1015</t>
  </si>
  <si>
    <t xml:space="preserve">12:40</t>
  </si>
  <si>
    <t xml:space="preserve">TRX-1016</t>
  </si>
  <si>
    <t xml:space="preserve">TRX-1017</t>
  </si>
  <si>
    <t xml:space="preserve">TRX-1018</t>
  </si>
  <si>
    <t xml:space="preserve">TRX-1019</t>
  </si>
  <si>
    <t xml:space="preserve">TRX-1020</t>
  </si>
  <si>
    <t xml:space="preserve">13:31</t>
  </si>
  <si>
    <t xml:space="preserve">TRX-1021</t>
  </si>
  <si>
    <t xml:space="preserve">13:45</t>
  </si>
  <si>
    <t xml:space="preserve">TRX-1022</t>
  </si>
  <si>
    <t xml:space="preserve">TRX-1023</t>
  </si>
  <si>
    <t xml:space="preserve">15:08</t>
  </si>
  <si>
    <t xml:space="preserve">TRX-1024</t>
  </si>
  <si>
    <t xml:space="preserve">15:13</t>
  </si>
  <si>
    <t xml:space="preserve">TRX-1025</t>
  </si>
  <si>
    <t xml:space="preserve">TRX-1026</t>
  </si>
  <si>
    <t xml:space="preserve">TRX-1027</t>
  </si>
  <si>
    <t xml:space="preserve">16:16</t>
  </si>
  <si>
    <t xml:space="preserve">TRX-1028</t>
  </si>
  <si>
    <t xml:space="preserve">16:26</t>
  </si>
  <si>
    <t xml:space="preserve">TRX-1029</t>
  </si>
  <si>
    <t xml:space="preserve">TRX-1030</t>
  </si>
  <si>
    <t xml:space="preserve">TRX-1031</t>
  </si>
  <si>
    <t xml:space="preserve">TRX-1032</t>
  </si>
  <si>
    <t xml:space="preserve">TRX-1033</t>
  </si>
  <si>
    <t xml:space="preserve">TRX-1034</t>
  </si>
  <si>
    <t xml:space="preserve">TRX-1035</t>
  </si>
  <si>
    <t xml:space="preserve">TRX-1036</t>
  </si>
  <si>
    <t xml:space="preserve">TRX-1037</t>
  </si>
  <si>
    <t xml:space="preserve">TRX-1038</t>
  </si>
  <si>
    <t xml:space="preserve">TRX-1039</t>
  </si>
  <si>
    <t xml:space="preserve">19:17</t>
  </si>
  <si>
    <t xml:space="preserve">TRX-1040</t>
  </si>
  <si>
    <t xml:space="preserve">TRX-1041</t>
  </si>
  <si>
    <t xml:space="preserve">TRX-1042</t>
  </si>
  <si>
    <t xml:space="preserve">TRX-1043</t>
  </si>
  <si>
    <t xml:space="preserve">TRX-1044</t>
  </si>
  <si>
    <t xml:space="preserve">TRX-1045</t>
  </si>
  <si>
    <t xml:space="preserve">TRX-1046</t>
  </si>
  <si>
    <t xml:space="preserve">Es Teh</t>
  </si>
  <si>
    <t xml:space="preserve">TRX-1047</t>
  </si>
  <si>
    <t xml:space="preserve">TRX-1048</t>
  </si>
  <si>
    <t xml:space="preserve">TRX-1049</t>
  </si>
  <si>
    <t xml:space="preserve">TRX-1050</t>
  </si>
  <si>
    <t xml:space="preserve">08:36</t>
  </si>
  <si>
    <t xml:space="preserve">TRX-1051</t>
  </si>
  <si>
    <t xml:space="preserve">TRX-1052</t>
  </si>
  <si>
    <t xml:space="preserve">09:27</t>
  </si>
  <si>
    <t xml:space="preserve">TRX-1053</t>
  </si>
  <si>
    <t xml:space="preserve">10:46</t>
  </si>
  <si>
    <t xml:space="preserve">TRX-1054</t>
  </si>
  <si>
    <t xml:space="preserve">TRX-1055</t>
  </si>
  <si>
    <t xml:space="preserve">TRX-1056</t>
  </si>
  <si>
    <t xml:space="preserve">11:39</t>
  </si>
  <si>
    <t xml:space="preserve">TRX-1057</t>
  </si>
  <si>
    <t xml:space="preserve">TRX-1058</t>
  </si>
  <si>
    <t xml:space="preserve">TRX-1059</t>
  </si>
  <si>
    <t xml:space="preserve">TRX-1060</t>
  </si>
  <si>
    <t xml:space="preserve">TRX-1061</t>
  </si>
  <si>
    <t xml:space="preserve">TRX-1062</t>
  </si>
  <si>
    <t xml:space="preserve">TRX-1063</t>
  </si>
  <si>
    <t xml:space="preserve">12:46</t>
  </si>
  <si>
    <t xml:space="preserve">TRX-1064</t>
  </si>
  <si>
    <t xml:space="preserve">TRX-1065</t>
  </si>
  <si>
    <t xml:space="preserve">TRX-1066</t>
  </si>
  <si>
    <t xml:space="preserve">13:16</t>
  </si>
  <si>
    <t xml:space="preserve">TRX-1067</t>
  </si>
  <si>
    <t xml:space="preserve">TRX-1068</t>
  </si>
  <si>
    <t xml:space="preserve">TRX-1069</t>
  </si>
  <si>
    <t xml:space="preserve">TRX-1070</t>
  </si>
  <si>
    <t xml:space="preserve">TRX-1071</t>
  </si>
  <si>
    <t xml:space="preserve">TRX-1072</t>
  </si>
  <si>
    <t xml:space="preserve">14:50</t>
  </si>
  <si>
    <t xml:space="preserve">TRX-1073</t>
  </si>
  <si>
    <t xml:space="preserve">15:52</t>
  </si>
  <si>
    <t xml:space="preserve">TRX-1074</t>
  </si>
  <si>
    <t xml:space="preserve">TRX-1075</t>
  </si>
  <si>
    <t xml:space="preserve">TRX-1076</t>
  </si>
  <si>
    <t xml:space="preserve">TRX-1077</t>
  </si>
  <si>
    <t xml:space="preserve">TRX-1078</t>
  </si>
  <si>
    <t xml:space="preserve">TRX-1079</t>
  </si>
  <si>
    <t xml:space="preserve">TRX-1080</t>
  </si>
  <si>
    <t xml:space="preserve">18:39</t>
  </si>
  <si>
    <t xml:space="preserve">TRX-1081</t>
  </si>
  <si>
    <t xml:space="preserve">TRX-1082</t>
  </si>
  <si>
    <t xml:space="preserve">TRX-1083</t>
  </si>
  <si>
    <t xml:space="preserve">TRX-1084</t>
  </si>
  <si>
    <t xml:space="preserve">TRX-1085</t>
  </si>
  <si>
    <t xml:space="preserve">TRX-1086</t>
  </si>
  <si>
    <t xml:space="preserve">19:40</t>
  </si>
  <si>
    <t xml:space="preserve">teh hangat</t>
  </si>
  <si>
    <t xml:space="preserve">TRX-1087</t>
  </si>
  <si>
    <t xml:space="preserve">TRX-1088</t>
  </si>
  <si>
    <t xml:space="preserve">TRX-1089</t>
  </si>
  <si>
    <t xml:space="preserve">20.15</t>
  </si>
  <si>
    <t xml:space="preserve">TRX-1090</t>
  </si>
  <si>
    <t xml:space="preserve">TRX-1091</t>
  </si>
  <si>
    <t xml:space="preserve">TRX-1092</t>
  </si>
  <si>
    <t xml:space="preserve">09:13</t>
  </si>
  <si>
    <t xml:space="preserve">TRX-1093</t>
  </si>
  <si>
    <t xml:space="preserve">09:48</t>
  </si>
  <si>
    <t xml:space="preserve">TRX-1094</t>
  </si>
  <si>
    <t xml:space="preserve">TRX-1095</t>
  </si>
  <si>
    <t xml:space="preserve">TRX-1096</t>
  </si>
  <si>
    <t xml:space="preserve">TRX-1097</t>
  </si>
  <si>
    <t xml:space="preserve">TRX-1098</t>
  </si>
  <si>
    <t xml:space="preserve">TRX-1099</t>
  </si>
  <si>
    <t xml:space="preserve">TRX-1100</t>
  </si>
  <si>
    <t xml:space="preserve">TRX-1101</t>
  </si>
  <si>
    <t xml:space="preserve">TRX-1102</t>
  </si>
  <si>
    <t xml:space="preserve">TRX-1103</t>
  </si>
  <si>
    <t xml:space="preserve">TRX-1104</t>
  </si>
  <si>
    <t xml:space="preserve">TRX-1105</t>
  </si>
  <si>
    <t xml:space="preserve">TRX-1106</t>
  </si>
  <si>
    <t xml:space="preserve">TRX-1107</t>
  </si>
  <si>
    <t xml:space="preserve">TRX-1108</t>
  </si>
  <si>
    <t xml:space="preserve">TRX-1109</t>
  </si>
  <si>
    <t xml:space="preserve">13.08</t>
  </si>
  <si>
    <t xml:space="preserve">TRX-1110</t>
  </si>
  <si>
    <t xml:space="preserve">TRX-1111</t>
  </si>
  <si>
    <t xml:space="preserve">TRX-1112</t>
  </si>
  <si>
    <t xml:space="preserve">TRX-1113</t>
  </si>
  <si>
    <t xml:space="preserve">TRX-1114</t>
  </si>
  <si>
    <t xml:space="preserve">TRX-1115</t>
  </si>
  <si>
    <t xml:space="preserve">TRX-1116</t>
  </si>
  <si>
    <t xml:space="preserve">TRX-1117</t>
  </si>
  <si>
    <t xml:space="preserve">TRX-1118</t>
  </si>
  <si>
    <t xml:space="preserve">TRX-1119</t>
  </si>
  <si>
    <t xml:space="preserve">TRX-1120</t>
  </si>
  <si>
    <t xml:space="preserve">TRX-1121</t>
  </si>
  <si>
    <t xml:space="preserve">TRX-1122</t>
  </si>
  <si>
    <t xml:space="preserve">TRX-1123</t>
  </si>
  <si>
    <t xml:space="preserve">17:42</t>
  </si>
  <si>
    <t xml:space="preserve">TRX-1124</t>
  </si>
  <si>
    <t xml:space="preserve">TRX-1125</t>
  </si>
  <si>
    <t xml:space="preserve">TRX-1126</t>
  </si>
  <si>
    <t xml:space="preserve">es jeruk</t>
  </si>
  <si>
    <t xml:space="preserve">TRX-1127</t>
  </si>
  <si>
    <t xml:space="preserve">TRX-1128</t>
  </si>
  <si>
    <t xml:space="preserve">TRX-1129</t>
  </si>
  <si>
    <t xml:space="preserve">TRX-1130</t>
  </si>
  <si>
    <t xml:space="preserve">TRX-1131</t>
  </si>
  <si>
    <t xml:space="preserve">TRX-1132</t>
  </si>
  <si>
    <t xml:space="preserve">TRX-1133</t>
  </si>
  <si>
    <t xml:space="preserve">TRX-1134</t>
  </si>
  <si>
    <t xml:space="preserve">19:48</t>
  </si>
  <si>
    <t xml:space="preserve">TRX-1135</t>
  </si>
  <si>
    <t xml:space="preserve">TRX-1136</t>
  </si>
  <si>
    <t xml:space="preserve">20:09</t>
  </si>
  <si>
    <t xml:space="preserve">TRX-1137</t>
  </si>
  <si>
    <t xml:space="preserve">TRX-1138</t>
  </si>
  <si>
    <t xml:space="preserve">TRX-1139</t>
  </si>
  <si>
    <t xml:space="preserve">TRX-1140</t>
  </si>
  <si>
    <t xml:space="preserve">TRX-1141</t>
  </si>
  <si>
    <t xml:space="preserve">09:40</t>
  </si>
  <si>
    <t xml:space="preserve">TRX-1142</t>
  </si>
  <si>
    <t xml:space="preserve">TRX-1143</t>
  </si>
  <si>
    <t xml:space="preserve">10:23</t>
  </si>
  <si>
    <t xml:space="preserve">TRX-1144</t>
  </si>
  <si>
    <t xml:space="preserve">10:50</t>
  </si>
  <si>
    <t xml:space="preserve">TRX-1145</t>
  </si>
  <si>
    <t xml:space="preserve">TRX-1146</t>
  </si>
  <si>
    <t xml:space="preserve">TRX-1147</t>
  </si>
  <si>
    <t xml:space="preserve">11:55</t>
  </si>
  <si>
    <t xml:space="preserve">TRX-1148</t>
  </si>
  <si>
    <t xml:space="preserve">TRX-1149</t>
  </si>
  <si>
    <t xml:space="preserve">TRX-1150</t>
  </si>
  <si>
    <t xml:space="preserve">TRX-1151</t>
  </si>
  <si>
    <t xml:space="preserve">TRX-1152</t>
  </si>
  <si>
    <t xml:space="preserve">TRX-1153</t>
  </si>
  <si>
    <t xml:space="preserve">TRX-1154</t>
  </si>
  <si>
    <t xml:space="preserve">TRX-1155</t>
  </si>
  <si>
    <t xml:space="preserve">TRX-1156</t>
  </si>
  <si>
    <t xml:space="preserve">TRX-1157</t>
  </si>
  <si>
    <t xml:space="preserve">TRX-1158</t>
  </si>
  <si>
    <t xml:space="preserve">TRX-1159</t>
  </si>
  <si>
    <t xml:space="preserve">TRX-1160</t>
  </si>
  <si>
    <t xml:space="preserve">TRX-1161</t>
  </si>
  <si>
    <t xml:space="preserve">TRX-1162</t>
  </si>
  <si>
    <t xml:space="preserve">13:46</t>
  </si>
  <si>
    <t xml:space="preserve">TRX-1163</t>
  </si>
  <si>
    <t xml:space="preserve">14:05</t>
  </si>
  <si>
    <t xml:space="preserve">TRX-1164</t>
  </si>
  <si>
    <t xml:space="preserve">14:10</t>
  </si>
  <si>
    <t xml:space="preserve">TRX-1165</t>
  </si>
  <si>
    <t xml:space="preserve">TRX-1166</t>
  </si>
  <si>
    <t xml:space="preserve">TRX-1167</t>
  </si>
  <si>
    <t xml:space="preserve">TRX-1168</t>
  </si>
  <si>
    <t xml:space="preserve">TRX-1169</t>
  </si>
  <si>
    <t xml:space="preserve">TRX-1170</t>
  </si>
  <si>
    <t xml:space="preserve">TRX-1171</t>
  </si>
  <si>
    <t xml:space="preserve">TRX-1172</t>
  </si>
  <si>
    <t xml:space="preserve">TRX-1173</t>
  </si>
  <si>
    <t xml:space="preserve">17:57</t>
  </si>
  <si>
    <t xml:space="preserve">TRX-1174</t>
  </si>
  <si>
    <t xml:space="preserve">TRX-1175</t>
  </si>
  <si>
    <t xml:space="preserve">TRX-1176</t>
  </si>
  <si>
    <t xml:space="preserve">TRX-1177</t>
  </si>
  <si>
    <t xml:space="preserve">TRX-1178</t>
  </si>
  <si>
    <t xml:space="preserve">TRX-1179</t>
  </si>
  <si>
    <t xml:space="preserve">20:04</t>
  </si>
  <si>
    <t xml:space="preserve">TRX-1180</t>
  </si>
  <si>
    <t xml:space="preserve">TRX-1181</t>
  </si>
  <si>
    <t xml:space="preserve">TRX-1182</t>
  </si>
  <si>
    <t xml:space="preserve">TRX-1183</t>
  </si>
  <si>
    <t xml:space="preserve">09:10</t>
  </si>
  <si>
    <t xml:space="preserve">TRX-1184</t>
  </si>
  <si>
    <t xml:space="preserve">TRX-1185</t>
  </si>
  <si>
    <t xml:space="preserve">TRX-1186</t>
  </si>
  <si>
    <t xml:space="preserve">10:07</t>
  </si>
  <si>
    <t xml:space="preserve">TRX-1187</t>
  </si>
  <si>
    <t xml:space="preserve">TRX-1188</t>
  </si>
  <si>
    <t xml:space="preserve">10:22:00</t>
  </si>
  <si>
    <t xml:space="preserve">TRX-1189</t>
  </si>
  <si>
    <t xml:space="preserve">TRX-1190</t>
  </si>
  <si>
    <t xml:space="preserve">TRX-1191</t>
  </si>
  <si>
    <t xml:space="preserve">TRX-1192</t>
  </si>
  <si>
    <t xml:space="preserve">TRX-1193</t>
  </si>
  <si>
    <t xml:space="preserve">TRX-1194</t>
  </si>
  <si>
    <t xml:space="preserve">12:38</t>
  </si>
  <si>
    <t xml:space="preserve">TRX-1195</t>
  </si>
  <si>
    <t xml:space="preserve">TRX-1196</t>
  </si>
  <si>
    <t xml:space="preserve">TRX-1197</t>
  </si>
  <si>
    <t xml:space="preserve">TRX-1198</t>
  </si>
  <si>
    <t xml:space="preserve">TRX-1199</t>
  </si>
  <si>
    <t xml:space="preserve">TRX-1200</t>
  </si>
  <si>
    <t xml:space="preserve">TRX-1201</t>
  </si>
  <si>
    <t xml:space="preserve">TRX-1202</t>
  </si>
  <si>
    <t xml:space="preserve">TRX-1203</t>
  </si>
  <si>
    <t xml:space="preserve">15:21</t>
  </si>
  <si>
    <t xml:space="preserve">TRX-1204</t>
  </si>
  <si>
    <t xml:space="preserve">TRX-1205</t>
  </si>
  <si>
    <t xml:space="preserve">TRX-1206</t>
  </si>
  <si>
    <t xml:space="preserve">TRX-1207</t>
  </si>
  <si>
    <t xml:space="preserve">TRX-1208</t>
  </si>
  <si>
    <t xml:space="preserve">16:54</t>
  </si>
  <si>
    <t xml:space="preserve">TRX-1209</t>
  </si>
  <si>
    <t xml:space="preserve">TRX-1210</t>
  </si>
  <si>
    <t xml:space="preserve">TRX-1211</t>
  </si>
  <si>
    <t xml:space="preserve">17:40</t>
  </si>
  <si>
    <t xml:space="preserve">TRX-1212</t>
  </si>
  <si>
    <t xml:space="preserve">TRX-1213</t>
  </si>
  <si>
    <t xml:space="preserve">TRX-1214</t>
  </si>
  <si>
    <t xml:space="preserve">17:53</t>
  </si>
  <si>
    <t xml:space="preserve">TRX-1215</t>
  </si>
  <si>
    <t xml:space="preserve">TRX-1216</t>
  </si>
  <si>
    <t xml:space="preserve">18:10</t>
  </si>
  <si>
    <t xml:space="preserve">TRX-1217</t>
  </si>
  <si>
    <t xml:space="preserve">TRX-1218</t>
  </si>
  <si>
    <t xml:space="preserve">18:15</t>
  </si>
  <si>
    <t xml:space="preserve">TRX-1219</t>
  </si>
  <si>
    <t xml:space="preserve">TRX-1220</t>
  </si>
  <si>
    <t xml:space="preserve">TRX-1221</t>
  </si>
  <si>
    <t xml:space="preserve">19.02</t>
  </si>
  <si>
    <t xml:space="preserve">TRX-1222</t>
  </si>
  <si>
    <t xml:space="preserve">TRX-1223</t>
  </si>
  <si>
    <t xml:space="preserve">19.18</t>
  </si>
  <si>
    <t xml:space="preserve">TRX-1224</t>
  </si>
  <si>
    <t xml:space="preserve">TRX-1225</t>
  </si>
  <si>
    <t xml:space="preserve">19:26</t>
  </si>
  <si>
    <t xml:space="preserve">TRX-1226</t>
  </si>
  <si>
    <t xml:space="preserve">TRX-1227</t>
  </si>
  <si>
    <t xml:space="preserve">TRX-1228</t>
  </si>
  <si>
    <t xml:space="preserve">19:47</t>
  </si>
  <si>
    <t xml:space="preserve">TRX-1229</t>
  </si>
  <si>
    <t xml:space="preserve">TRX-1230</t>
  </si>
  <si>
    <t xml:space="preserve">TRX-1231</t>
  </si>
  <si>
    <t xml:space="preserve">TRX-1232</t>
  </si>
  <si>
    <t xml:space="preserve">TRX-1233</t>
  </si>
  <si>
    <t xml:space="preserve">20:53</t>
  </si>
  <si>
    <t xml:space="preserve">TRX-1234</t>
  </si>
  <si>
    <t xml:space="preserve">TRX-1235</t>
  </si>
  <si>
    <t xml:space="preserve">08:47</t>
  </si>
  <si>
    <t xml:space="preserve">TRX-1236</t>
  </si>
  <si>
    <t xml:space="preserve">10:17</t>
  </si>
  <si>
    <t xml:space="preserve">TRX-1237</t>
  </si>
  <si>
    <t xml:space="preserve">TRX-1238</t>
  </si>
  <si>
    <t xml:space="preserve">TRX-1239</t>
  </si>
  <si>
    <t xml:space="preserve">TRX-1240</t>
  </si>
  <si>
    <t xml:space="preserve">TRX-1241</t>
  </si>
  <si>
    <t xml:space="preserve">TRX-1242</t>
  </si>
  <si>
    <t xml:space="preserve">TRX-1243</t>
  </si>
  <si>
    <t xml:space="preserve">TRX-1244</t>
  </si>
  <si>
    <t xml:space="preserve">TRX-1245</t>
  </si>
  <si>
    <t xml:space="preserve">TRX-1246</t>
  </si>
  <si>
    <t xml:space="preserve">TRX-1247</t>
  </si>
  <si>
    <t xml:space="preserve">TRX-1248</t>
  </si>
  <si>
    <t xml:space="preserve">13:07</t>
  </si>
  <si>
    <t xml:space="preserve">TRX-1249</t>
  </si>
  <si>
    <t xml:space="preserve">TRX-1250</t>
  </si>
  <si>
    <t xml:space="preserve">TRX-1251</t>
  </si>
  <si>
    <t xml:space="preserve">TRX-1252</t>
  </si>
  <si>
    <t xml:space="preserve">BAKSO</t>
  </si>
  <si>
    <t xml:space="preserve">TRX-1253</t>
  </si>
  <si>
    <t xml:space="preserve">14:17</t>
  </si>
  <si>
    <t xml:space="preserve">TRX-1254</t>
  </si>
  <si>
    <t xml:space="preserve">TRX-1255</t>
  </si>
  <si>
    <t xml:space="preserve">TRX-1256</t>
  </si>
  <si>
    <t xml:space="preserve">TRX-1257</t>
  </si>
  <si>
    <t xml:space="preserve">TRX-1258</t>
  </si>
  <si>
    <t xml:space="preserve">TRX-1259</t>
  </si>
  <si>
    <t xml:space="preserve">TRX-1260</t>
  </si>
  <si>
    <t xml:space="preserve">TRX-1261</t>
  </si>
  <si>
    <t xml:space="preserve">16:25</t>
  </si>
  <si>
    <t xml:space="preserve">TRX-1262</t>
  </si>
  <si>
    <t xml:space="preserve">16:34</t>
  </si>
  <si>
    <t xml:space="preserve">TRX-1263</t>
  </si>
  <si>
    <t xml:space="preserve">TRX-1264</t>
  </si>
  <si>
    <t xml:space="preserve">17:27</t>
  </si>
  <si>
    <t xml:space="preserve">TRX-1265</t>
  </si>
  <si>
    <t xml:space="preserve">TRX-1266</t>
  </si>
  <si>
    <t xml:space="preserve">TRX-1267</t>
  </si>
  <si>
    <t xml:space="preserve">TRX-1268</t>
  </si>
  <si>
    <t xml:space="preserve">TRX-1269</t>
  </si>
  <si>
    <t xml:space="preserve">TRX-1270</t>
  </si>
  <si>
    <t xml:space="preserve">TRX-1271</t>
  </si>
  <si>
    <t xml:space="preserve">TRX-1272</t>
  </si>
  <si>
    <t xml:space="preserve">TRX-1273</t>
  </si>
  <si>
    <t xml:space="preserve">TRX-1274</t>
  </si>
  <si>
    <t xml:space="preserve">18.33</t>
  </si>
  <si>
    <t xml:space="preserve">TRX-1275</t>
  </si>
  <si>
    <t xml:space="preserve">TRX-1276</t>
  </si>
  <si>
    <t xml:space="preserve">TRX-1277</t>
  </si>
  <si>
    <t xml:space="preserve">TRX-1278</t>
  </si>
  <si>
    <t xml:space="preserve">TRX-1279</t>
  </si>
  <si>
    <t xml:space="preserve">TRX-1280</t>
  </si>
  <si>
    <t xml:space="preserve">TRX-1281</t>
  </si>
  <si>
    <t xml:space="preserve">TRX-1282</t>
  </si>
  <si>
    <t xml:space="preserve">TRX-1283</t>
  </si>
  <si>
    <t xml:space="preserve">TRX-1284</t>
  </si>
  <si>
    <t xml:space="preserve">TRX-1285</t>
  </si>
  <si>
    <t xml:space="preserve">TRX-1286</t>
  </si>
  <si>
    <t xml:space="preserve">20:06</t>
  </si>
  <si>
    <t xml:space="preserve">TRX-1287</t>
  </si>
  <si>
    <t xml:space="preserve">20:12</t>
  </si>
  <si>
    <t xml:space="preserve">TRX-1288</t>
  </si>
  <si>
    <t xml:space="preserve">20:17</t>
  </si>
  <si>
    <t xml:space="preserve">TRX-1289</t>
  </si>
  <si>
    <t xml:space="preserve">20:46</t>
  </si>
  <si>
    <t xml:space="preserve">TRX-1290</t>
  </si>
  <si>
    <t xml:space="preserve">08:23</t>
  </si>
  <si>
    <t xml:space="preserve">TRX-1291</t>
  </si>
  <si>
    <t xml:space="preserve">TRX-1292</t>
  </si>
  <si>
    <t xml:space="preserve">TRX-1293</t>
  </si>
  <si>
    <t xml:space="preserve">TRX-1294</t>
  </si>
  <si>
    <t xml:space="preserve">09:49</t>
  </si>
  <si>
    <t xml:space="preserve">TRX-1295</t>
  </si>
  <si>
    <t xml:space="preserve">09:52</t>
  </si>
  <si>
    <t xml:space="preserve">TRX-1296</t>
  </si>
  <si>
    <t xml:space="preserve">TRX-1297</t>
  </si>
  <si>
    <t xml:space="preserve">TRX-1298</t>
  </si>
  <si>
    <t xml:space="preserve">10:28</t>
  </si>
  <si>
    <t xml:space="preserve">TRX-1299</t>
  </si>
  <si>
    <t xml:space="preserve">10:30</t>
  </si>
  <si>
    <t xml:space="preserve">TRX-1300</t>
  </si>
  <si>
    <t xml:space="preserve">TRX-1301</t>
  </si>
  <si>
    <t xml:space="preserve">TRX-1302</t>
  </si>
  <si>
    <t xml:space="preserve">TRX-1303</t>
  </si>
  <si>
    <t xml:space="preserve">TRX-1304</t>
  </si>
  <si>
    <t xml:space="preserve">TRX-1305</t>
  </si>
  <si>
    <t xml:space="preserve">TRX-1306</t>
  </si>
  <si>
    <t xml:space="preserve">TRX-1307</t>
  </si>
  <si>
    <t xml:space="preserve">TRX-1308</t>
  </si>
  <si>
    <t xml:space="preserve">TRX-1309</t>
  </si>
  <si>
    <t xml:space="preserve">TRX-1310</t>
  </si>
  <si>
    <t xml:space="preserve">TRX-1311</t>
  </si>
  <si>
    <t xml:space="preserve">TRX-1312</t>
  </si>
  <si>
    <t xml:space="preserve">TRX-1313</t>
  </si>
  <si>
    <t xml:space="preserve">TRX-1314</t>
  </si>
  <si>
    <t xml:space="preserve">13:11</t>
  </si>
  <si>
    <t xml:space="preserve">TRX-1315</t>
  </si>
  <si>
    <t xml:space="preserve">TRX-1316</t>
  </si>
  <si>
    <t xml:space="preserve">TRX-1317</t>
  </si>
  <si>
    <t xml:space="preserve">13:57</t>
  </si>
  <si>
    <t xml:space="preserve">TRX-1318</t>
  </si>
  <si>
    <t xml:space="preserve">TRX-1319</t>
  </si>
  <si>
    <t xml:space="preserve">TRX-1320</t>
  </si>
  <si>
    <t xml:space="preserve">TRX-1321</t>
  </si>
  <si>
    <t xml:space="preserve">TRX-1322</t>
  </si>
  <si>
    <t xml:space="preserve">TRX-1323</t>
  </si>
  <si>
    <t xml:space="preserve">TRX-1324</t>
  </si>
  <si>
    <t xml:space="preserve">TRX-1325</t>
  </si>
  <si>
    <t xml:space="preserve">TRX-1326</t>
  </si>
  <si>
    <t xml:space="preserve">TRX-1327</t>
  </si>
  <si>
    <t xml:space="preserve">17:47</t>
  </si>
  <si>
    <t xml:space="preserve">TRX-1328</t>
  </si>
  <si>
    <t xml:space="preserve">TRX-1329</t>
  </si>
  <si>
    <t xml:space="preserve">TRX-1330</t>
  </si>
  <si>
    <t xml:space="preserve">18:42 WIB</t>
  </si>
  <si>
    <t xml:space="preserve">TRX-1331</t>
  </si>
  <si>
    <t xml:space="preserve">TRX-1332</t>
  </si>
  <si>
    <t xml:space="preserve">TRX-1333</t>
  </si>
  <si>
    <t xml:space="preserve">TRX-1334</t>
  </si>
  <si>
    <t xml:space="preserve">TRX-1335</t>
  </si>
  <si>
    <t xml:space="preserve">TRX-1336</t>
  </si>
  <si>
    <t xml:space="preserve">TRX-1337</t>
  </si>
  <si>
    <t xml:space="preserve">TRX-1338</t>
  </si>
  <si>
    <t xml:space="preserve">TRX-1339</t>
  </si>
  <si>
    <t xml:space="preserve">TRX-1340</t>
  </si>
  <si>
    <t xml:space="preserve">20:51</t>
  </si>
  <si>
    <t xml:space="preserve">TRX-1341</t>
  </si>
  <si>
    <t xml:space="preserve">TRX-1342</t>
  </si>
  <si>
    <t xml:space="preserve">08:46</t>
  </si>
  <si>
    <t xml:space="preserve">TRX-1343</t>
  </si>
  <si>
    <t xml:space="preserve">10:08</t>
  </si>
  <si>
    <t xml:space="preserve">TRX-1344</t>
  </si>
  <si>
    <t xml:space="preserve">TRX-1345</t>
  </si>
  <si>
    <t xml:space="preserve">TRX-1346</t>
  </si>
  <si>
    <t xml:space="preserve">TRX-1347</t>
  </si>
  <si>
    <t xml:space="preserve">TRX-1348</t>
  </si>
  <si>
    <t xml:space="preserve">TRX-1349</t>
  </si>
  <si>
    <t xml:space="preserve">TRX-1350</t>
  </si>
  <si>
    <t xml:space="preserve">11:59</t>
  </si>
  <si>
    <t xml:space="preserve">TRX-1351</t>
  </si>
  <si>
    <t xml:space="preserve">TRX-1352</t>
  </si>
  <si>
    <t xml:space="preserve">TRX-1353</t>
  </si>
  <si>
    <t xml:space="preserve">TRX-1354</t>
  </si>
  <si>
    <t xml:space="preserve">TRX-1355</t>
  </si>
  <si>
    <t xml:space="preserve">TRX-1356</t>
  </si>
  <si>
    <t xml:space="preserve">12:50</t>
  </si>
  <si>
    <t xml:space="preserve">TRX-1357</t>
  </si>
  <si>
    <t xml:space="preserve">TRX-1358</t>
  </si>
  <si>
    <t xml:space="preserve">TRX-1359</t>
  </si>
  <si>
    <t xml:space="preserve">TRX-1360</t>
  </si>
  <si>
    <t xml:space="preserve">13:25</t>
  </si>
  <si>
    <t xml:space="preserve">TRX-1361</t>
  </si>
  <si>
    <t xml:space="preserve">TRX-1362</t>
  </si>
  <si>
    <t xml:space="preserve">TRX-1363</t>
  </si>
  <si>
    <t xml:space="preserve">14:19</t>
  </si>
  <si>
    <t xml:space="preserve">TRX-1364</t>
  </si>
  <si>
    <t xml:space="preserve">TRX-1365</t>
  </si>
  <si>
    <t xml:space="preserve">TRX-1366</t>
  </si>
  <si>
    <t xml:space="preserve">TRX-1367</t>
  </si>
  <si>
    <t xml:space="preserve">TRX-1368</t>
  </si>
  <si>
    <t xml:space="preserve">TRX-1369</t>
  </si>
  <si>
    <t xml:space="preserve">TRX-1370</t>
  </si>
  <si>
    <t xml:space="preserve">TRX-1371</t>
  </si>
  <si>
    <t xml:space="preserve">TRX-1372</t>
  </si>
  <si>
    <t xml:space="preserve">TRX-1373</t>
  </si>
  <si>
    <t xml:space="preserve">TRX-1374</t>
  </si>
  <si>
    <t xml:space="preserve">TRX-1375</t>
  </si>
  <si>
    <t xml:space="preserve">TRX-1376</t>
  </si>
  <si>
    <t xml:space="preserve">TRX-1377</t>
  </si>
  <si>
    <t xml:space="preserve">TRX-1378</t>
  </si>
  <si>
    <t xml:space="preserve">TRX-1379</t>
  </si>
  <si>
    <t xml:space="preserve">TRX-1380</t>
  </si>
  <si>
    <t xml:space="preserve">TRX-1381</t>
  </si>
  <si>
    <t xml:space="preserve">TRX-1382</t>
  </si>
  <si>
    <t xml:space="preserve">TRX-1383</t>
  </si>
  <si>
    <t xml:space="preserve">TRX-1384</t>
  </si>
  <si>
    <t xml:space="preserve">TRX-1385</t>
  </si>
  <si>
    <t xml:space="preserve">TRX-1386</t>
  </si>
  <si>
    <t xml:space="preserve">TRX-1387</t>
  </si>
  <si>
    <t xml:space="preserve">TRX-1388</t>
  </si>
  <si>
    <t xml:space="preserve">TRX-1389</t>
  </si>
  <si>
    <t xml:space="preserve">TRX-1390</t>
  </si>
  <si>
    <t xml:space="preserve">TRX-1391</t>
  </si>
  <si>
    <t xml:space="preserve">TRX-1392</t>
  </si>
  <si>
    <t xml:space="preserve">20:21</t>
  </si>
  <si>
    <t xml:space="preserve">TRX-1393</t>
  </si>
  <si>
    <t xml:space="preserve">20:49</t>
  </si>
  <si>
    <t xml:space="preserve">TRX-1394</t>
  </si>
  <si>
    <t xml:space="preserve">TRX-1395</t>
  </si>
  <si>
    <t xml:space="preserve">TRX-1396</t>
  </si>
  <si>
    <t xml:space="preserve">09:54</t>
  </si>
  <si>
    <t xml:space="preserve">TRX-1397</t>
  </si>
  <si>
    <t xml:space="preserve">TRX-1398</t>
  </si>
  <si>
    <t xml:space="preserve">TRX-1399</t>
  </si>
  <si>
    <t xml:space="preserve">TRX-1400</t>
  </si>
  <si>
    <t xml:space="preserve">TRX-1401</t>
  </si>
  <si>
    <t xml:space="preserve">ayam geprek</t>
  </si>
  <si>
    <t xml:space="preserve">TRX-1402</t>
  </si>
  <si>
    <t xml:space="preserve">TRX-1403</t>
  </si>
  <si>
    <t xml:space="preserve">TRX-1404</t>
  </si>
  <si>
    <t xml:space="preserve">TRX-1405</t>
  </si>
  <si>
    <t xml:space="preserve">TRX-1406</t>
  </si>
  <si>
    <t xml:space="preserve">TRX-1407</t>
  </si>
  <si>
    <t xml:space="preserve">TRX-1408</t>
  </si>
  <si>
    <t xml:space="preserve">TRX-1409</t>
  </si>
  <si>
    <t xml:space="preserve">TRX-1410</t>
  </si>
  <si>
    <t xml:space="preserve">TRX-1411</t>
  </si>
  <si>
    <t xml:space="preserve">TRX-1412</t>
  </si>
  <si>
    <t xml:space="preserve">15:14</t>
  </si>
  <si>
    <t xml:space="preserve">TRX-1413</t>
  </si>
  <si>
    <t xml:space="preserve">15:59</t>
  </si>
  <si>
    <t xml:space="preserve">TRX-1414</t>
  </si>
  <si>
    <t xml:space="preserve">TRX-1415</t>
  </si>
  <si>
    <t xml:space="preserve">TRX-1416</t>
  </si>
  <si>
    <t xml:space="preserve">TRX-1417</t>
  </si>
  <si>
    <t xml:space="preserve">16:57</t>
  </si>
  <si>
    <t xml:space="preserve">TRX-1418</t>
  </si>
  <si>
    <t xml:space="preserve">TRX-1419</t>
  </si>
  <si>
    <t xml:space="preserve">TRX-1420</t>
  </si>
  <si>
    <t xml:space="preserve">TRX-1421</t>
  </si>
  <si>
    <t xml:space="preserve">TRX-1422</t>
  </si>
  <si>
    <t xml:space="preserve">TRX-1423</t>
  </si>
  <si>
    <t xml:space="preserve">TRX-1424</t>
  </si>
  <si>
    <t xml:space="preserve">TRX-1425</t>
  </si>
  <si>
    <t xml:space="preserve">TRX-1426</t>
  </si>
  <si>
    <t xml:space="preserve">TRX-1427</t>
  </si>
  <si>
    <t xml:space="preserve">TRX-1428</t>
  </si>
  <si>
    <t xml:space="preserve">TRX-1429</t>
  </si>
  <si>
    <t xml:space="preserve">TRX-1430</t>
  </si>
  <si>
    <t xml:space="preserve">TRX-1431</t>
  </si>
  <si>
    <t xml:space="preserve">TRX-1432</t>
  </si>
  <si>
    <t xml:space="preserve">TRX-1433</t>
  </si>
  <si>
    <t xml:space="preserve">TRX-1434</t>
  </si>
  <si>
    <t xml:space="preserve">TRX-1435</t>
  </si>
  <si>
    <t xml:space="preserve">TRX-1436</t>
  </si>
  <si>
    <t xml:space="preserve">TRX-1437</t>
  </si>
  <si>
    <t xml:space="preserve">TRX-1438</t>
  </si>
  <si>
    <t xml:space="preserve">No</t>
  </si>
  <si>
    <t xml:space="preserve">Baris_di_Data_Mentah</t>
  </si>
  <si>
    <t xml:space="preserve">Masalah</t>
  </si>
  <si>
    <t xml:space="preserve">Nilai_Awal</t>
  </si>
  <si>
    <t xml:space="preserve">Tindakan</t>
  </si>
  <si>
    <t xml:space="preserve">Nilai_Akhir</t>
  </si>
  <si>
    <t xml:space="preserve">Langkah_Charter</t>
  </si>
  <si>
    <t xml:space="preserve">(kosong)</t>
  </si>
  <si>
    <t xml:space="preserve">Diisi dari baris lain pada transaksi yang sama</t>
  </si>
  <si>
    <t xml:space="preserve">Langkah 5</t>
  </si>
  <si>
    <t xml:space="preserve">Diseragamkan ke HH:MM</t>
  </si>
  <si>
    <t xml:space="preserve">Langkah 3</t>
  </si>
  <si>
    <t xml:space="preserve">'MIE GORENG'</t>
  </si>
  <si>
    <t xml:space="preserve">Diseragamkan ke nama baku</t>
  </si>
  <si>
    <t xml:space="preserve">Diisi dari harga baku menu</t>
  </si>
  <si>
    <t xml:space="preserve">18.000</t>
  </si>
  <si>
    <t xml:space="preserve">'Soto Ayam '</t>
  </si>
  <si>
    <t xml:space="preserve">Dihapus: menu tidak dapat dipulihkan</t>
  </si>
  <si>
    <t xml:space="preserve">(baris dikeluarkan)</t>
  </si>
  <si>
    <t xml:space="preserve">'NASI GORENG'</t>
  </si>
  <si>
    <t xml:space="preserve">'Nasi  Uduk'</t>
  </si>
  <si>
    <t xml:space="preserve">150.000</t>
  </si>
  <si>
    <t xml:space="preserve">Dikoreksi ke harga baku menu</t>
  </si>
  <si>
    <t xml:space="preserve">15.000</t>
  </si>
  <si>
    <t xml:space="preserve">Langkah 4</t>
  </si>
  <si>
    <t xml:space="preserve">Es Teh Manis | 1 | 14:14</t>
  </si>
  <si>
    <t xml:space="preserve">Dihapus (baris pertama dipertahankan)</t>
  </si>
  <si>
    <t xml:space="preserve">Langkah 2</t>
  </si>
  <si>
    <t xml:space="preserve">'Nasi Goreng '</t>
  </si>
  <si>
    <t xml:space="preserve">'Teh  Hangat'</t>
  </si>
  <si>
    <t xml:space="preserve">'Es Teh Manis '</t>
  </si>
  <si>
    <t xml:space="preserve">0</t>
  </si>
  <si>
    <t xml:space="preserve">4.000</t>
  </si>
  <si>
    <t xml:space="preserve">'nasi uduk'</t>
  </si>
  <si>
    <t xml:space="preserve">Dihapus: jumlah tidak dapat dipulihkan</t>
  </si>
  <si>
    <t xml:space="preserve">'Es  Jeruk'</t>
  </si>
  <si>
    <t xml:space="preserve">'nasi goreng'</t>
  </si>
  <si>
    <t xml:space="preserve">20.000</t>
  </si>
  <si>
    <t xml:space="preserve">Soto Ayam | 1 | 12:41</t>
  </si>
  <si>
    <t xml:space="preserve">'AYAM GEPREK'</t>
  </si>
  <si>
    <t xml:space="preserve">'bakso'</t>
  </si>
  <si>
    <t xml:space="preserve">Nasi Goreng | 1 | 17:12</t>
  </si>
  <si>
    <t xml:space="preserve">Es Teh Manis | 1 | 18:22</t>
  </si>
  <si>
    <t xml:space="preserve">'mie goreng'</t>
  </si>
  <si>
    <t xml:space="preserve">14.000</t>
  </si>
  <si>
    <t xml:space="preserve">10:14</t>
  </si>
  <si>
    <t xml:space="preserve">08:45</t>
  </si>
  <si>
    <t xml:space="preserve">'Nasi  Ayam  Bakar'</t>
  </si>
  <si>
    <t xml:space="preserve">Es Jeruk | 1 | 15:06</t>
  </si>
  <si>
    <t xml:space="preserve">'Ayam Geprek '</t>
  </si>
  <si>
    <t xml:space="preserve">200.000</t>
  </si>
  <si>
    <t xml:space="preserve">Dihapus: jumlah tidak valid</t>
  </si>
  <si>
    <t xml:space="preserve">16.000</t>
  </si>
  <si>
    <t xml:space="preserve">Ayam Geprek | 2 | 14:11</t>
  </si>
  <si>
    <t xml:space="preserve">'Ayam  Geprek'</t>
  </si>
  <si>
    <t xml:space="preserve">Es Teh Manis | 3 | 19:38</t>
  </si>
  <si>
    <t xml:space="preserve">70.000</t>
  </si>
  <si>
    <t xml:space="preserve">7.000</t>
  </si>
  <si>
    <t xml:space="preserve">Mie Goreng | 1 | 13:33</t>
  </si>
  <si>
    <t xml:space="preserve">-1</t>
  </si>
  <si>
    <t xml:space="preserve">Nasi Goreng | 1 | 14:44</t>
  </si>
  <si>
    <t xml:space="preserve">Nasi Ayam Bakar | 3 | 19:24</t>
  </si>
  <si>
    <t xml:space="preserve">5.000</t>
  </si>
  <si>
    <t xml:space="preserve">'Es Teh'</t>
  </si>
  <si>
    <t xml:space="preserve">'teh hangat'</t>
  </si>
  <si>
    <t xml:space="preserve">20:15</t>
  </si>
  <si>
    <t xml:space="preserve">'es jeruk'</t>
  </si>
  <si>
    <t xml:space="preserve">Es Jeruk | 2 | 19:45</t>
  </si>
  <si>
    <t xml:space="preserve">Es Teh Manis | 1 | 12:20</t>
  </si>
  <si>
    <t xml:space="preserve">Nasi Goreng | 3 | 12:59</t>
  </si>
  <si>
    <t xml:space="preserve">'BAKSO'</t>
  </si>
  <si>
    <t xml:space="preserve">Es Teh Manis | 1 | 19:01</t>
  </si>
  <si>
    <t xml:space="preserve">Nasi Goreng | 2 | 19:14</t>
  </si>
  <si>
    <t xml:space="preserve">Nasi Goreng | 1 | 12:55</t>
  </si>
  <si>
    <t xml:space="preserve">'ayam geprek'</t>
  </si>
  <si>
    <t xml:space="preserve">Soto Ayam | 1 | 17:05</t>
  </si>
  <si>
    <t xml:space="preserve">Mie Goreng | 1 | 19:19</t>
  </si>
  <si>
    <t xml:space="preserve">Jumlah_Terjual</t>
  </si>
  <si>
    <t xml:space="preserve">Total_Pendapatan (Rp)</t>
  </si>
  <si>
    <t xml:space="preserve">Kontribusi_Pendapatan</t>
  </si>
  <si>
    <t xml:space="preserve">Peringkat_Terjual</t>
  </si>
  <si>
    <t xml:space="preserve">Peringkat_Pendapatan</t>
  </si>
  <si>
    <t xml:space="preserve">TOTAL</t>
  </si>
  <si>
    <t xml:space="preserve">Cek konsistensi: total ringkasan - total Data_Bersih (harus 0)</t>
  </si>
  <si>
    <t xml:space="preserve">Catatan: tabel ini dihitung dengan rumus dari Data_Bersih. Angkanya hanya berlaku untuk data simulasi ini.</t>
  </si>
  <si>
    <t xml:space="preserve">Jumlah_Transaksi</t>
  </si>
  <si>
    <t xml:space="preserve">Jumlah_Item_Terjual</t>
  </si>
  <si>
    <t xml:space="preserve">Peringkat_Transaksi</t>
  </si>
  <si>
    <t xml:space="preserve">08:00-08:59</t>
  </si>
  <si>
    <t xml:space="preserve">09:00-09:59</t>
  </si>
  <si>
    <t xml:space="preserve">10:00-10:59</t>
  </si>
  <si>
    <t xml:space="preserve">11:00-11:59</t>
  </si>
  <si>
    <t xml:space="preserve">12:00-12:59</t>
  </si>
  <si>
    <t xml:space="preserve">13:00-13:59</t>
  </si>
  <si>
    <t xml:space="preserve">14:00-14:59</t>
  </si>
  <si>
    <t xml:space="preserve">15:00-15:59</t>
  </si>
  <si>
    <t xml:space="preserve">16:00-16:59</t>
  </si>
  <si>
    <t xml:space="preserve">17:00-17:59</t>
  </si>
  <si>
    <t xml:space="preserve">18:00-18:59</t>
  </si>
  <si>
    <t xml:space="preserve">19:00-19:59</t>
  </si>
  <si>
    <t xml:space="preserve">20:00-20:59</t>
  </si>
  <si>
    <t xml:space="preserve">Cek konsistensi: total pendapatan per jam - total Data_Bersih (harus 0)</t>
  </si>
  <si>
    <t xml:space="preserve">Catatan: Jumlah_Transaksi = jumlah ID transaksi unik pada jam tersebut (kolom Transaksi_Baru).</t>
  </si>
  <si>
    <t xml:space="preserve">Harga_Baku (Rp)</t>
  </si>
  <si>
    <t xml:space="preserve">Alias_Penulisan_Dikenali</t>
  </si>
  <si>
    <t xml:space="preserve">Makanan</t>
  </si>
  <si>
    <t xml:space="preserve">-</t>
  </si>
  <si>
    <t xml:space="preserve">Ayam Bakar</t>
  </si>
  <si>
    <t xml:space="preserve">Minuman</t>
  </si>
  <si>
    <t xml:space="preserve">Catatan: harga baku (biru) adalah masukan simulasi dan dianggap tetap selama 30 hari. Dipakai untuk mengisi/mengoreksi harga saat pembersihan.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</si>
</sst>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yyyy\-mm\-dd"/>
    <numFmt numFmtId="167" formatCode="@"/>
    <numFmt numFmtId="168" formatCode="hh:mm"/>
    <numFmt numFmtId="169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3668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2F3668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3668"/>
        <bgColor rgb="FF333333"/>
      </patternFill>
    </fill>
    <fill>
      <patternFill patternType="solid">
        <fgColor rgb="FFE8EAF4"/>
        <bgColor rgb="FFFFF2CC"/>
      </patternFill>
    </fill>
    <fill>
      <patternFill patternType="solid">
        <fgColor rgb="FFFFF2CC"/>
        <bgColor rgb="FFE8EA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EE6"/>
      </left>
      <right style="thin">
        <color rgb="FFC9CEE6"/>
      </right>
      <top style="thin">
        <color rgb="FFC9CEE6"/>
      </top>
      <bottom style="thin">
        <color rgb="FFC9CE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F366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EAF4"/>
      <rgbColor rgb="FF660066"/>
      <rgbColor rgb="FFFF8080"/>
      <rgbColor rgb="FF0066CC"/>
      <rgbColor rgb="FFC9CE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366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7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true" outlineLevel="0" collapsed="false">
      <c r="A5" s="4" t="s">
        <v>3</v>
      </c>
      <c r="B5" s="5" t="s">
        <v>4</v>
      </c>
      <c r="C5" s="5"/>
    </row>
    <row r="6" customFormat="false" ht="15" hidden="false" customHeight="true" outlineLevel="0" collapsed="false">
      <c r="A6" s="4" t="s">
        <v>5</v>
      </c>
      <c r="B6" s="5" t="s">
        <v>6</v>
      </c>
      <c r="C6" s="5"/>
    </row>
    <row r="7" customFormat="false" ht="27.75" hidden="false" customHeight="true" outlineLevel="0" collapsed="false">
      <c r="A7" s="4" t="s">
        <v>7</v>
      </c>
      <c r="B7" s="5" t="s">
        <v>8</v>
      </c>
      <c r="C7" s="5"/>
    </row>
    <row r="8" customFormat="false" ht="42" hidden="false" customHeight="true" outlineLevel="0" collapsed="false">
      <c r="A8" s="4" t="s">
        <v>9</v>
      </c>
      <c r="B8" s="5" t="s">
        <v>10</v>
      </c>
      <c r="C8" s="5"/>
    </row>
    <row r="9" customFormat="false" ht="42" hidden="false" customHeight="true" outlineLevel="0" collapsed="false">
      <c r="A9" s="4" t="s">
        <v>11</v>
      </c>
      <c r="B9" s="5" t="s">
        <v>12</v>
      </c>
      <c r="C9" s="5"/>
    </row>
    <row r="10" customFormat="false" ht="27.75" hidden="false" customHeight="true" outlineLevel="0" collapsed="false">
      <c r="A10" s="4" t="s">
        <v>13</v>
      </c>
      <c r="B10" s="5" t="s">
        <v>14</v>
      </c>
      <c r="C10" s="5"/>
    </row>
    <row r="12" customFormat="false" ht="15" hidden="false" customHeight="false" outlineLevel="0" collapsed="false">
      <c r="A12" s="3" t="s">
        <v>15</v>
      </c>
    </row>
    <row r="13" customFormat="false" ht="15" hidden="false" customHeight="false" outlineLevel="0" collapsed="false">
      <c r="A13" s="6" t="s">
        <v>16</v>
      </c>
      <c r="B13" s="7" t="n">
        <f aca="false">COUNTA(Data_Mentah!A2:A2431)</f>
        <v>2430</v>
      </c>
    </row>
    <row r="14" customFormat="false" ht="15" hidden="false" customHeight="false" outlineLevel="0" collapsed="false">
      <c r="A14" s="6" t="s">
        <v>17</v>
      </c>
      <c r="B14" s="7" t="n">
        <f aca="false">COUNTA(Data_Bersih!A2:A2398)</f>
        <v>2397</v>
      </c>
    </row>
    <row r="15" customFormat="false" ht="15" hidden="false" customHeight="false" outlineLevel="0" collapsed="false">
      <c r="A15" s="6" t="s">
        <v>18</v>
      </c>
      <c r="B15" s="7" t="n">
        <f aca="false">B13-B14</f>
        <v>33</v>
      </c>
    </row>
    <row r="16" customFormat="false" ht="15" hidden="false" customHeight="false" outlineLevel="0" collapsed="false">
      <c r="A16" s="6" t="s">
        <v>19</v>
      </c>
      <c r="B16" s="7" t="n">
        <f aca="false">SUM(Data_Bersih!$L$2:$L$2398)</f>
        <v>1433</v>
      </c>
    </row>
    <row r="17" customFormat="false" ht="15" hidden="false" customHeight="false" outlineLevel="0" collapsed="false">
      <c r="A17" s="6" t="s">
        <v>20</v>
      </c>
      <c r="B17" s="7" t="n">
        <f aca="false">SUM(Data_Bersih!$G$2:$G$2398)</f>
        <v>38349000</v>
      </c>
    </row>
    <row r="19" customFormat="false" ht="15" hidden="false" customHeight="false" outlineLevel="0" collapsed="false">
      <c r="A19" s="3" t="s">
        <v>21</v>
      </c>
    </row>
    <row r="20" customFormat="false" ht="15" hidden="false" customHeight="false" outlineLevel="0" collapsed="false">
      <c r="A20" s="6" t="s">
        <v>22</v>
      </c>
      <c r="B20" s="7" t="n">
        <f aca="false">COUNTIF(Log_Pembersihan!$D$2:$D$110,"Pencatatan ganda (duplikat)")</f>
        <v>18</v>
      </c>
    </row>
    <row r="21" customFormat="false" ht="15" hidden="false" customHeight="false" outlineLevel="0" collapsed="false">
      <c r="A21" s="6" t="s">
        <v>23</v>
      </c>
      <c r="B21" s="7" t="n">
        <f aca="false">COUNTIF(Log_Pembersihan!$D$2:$D$110,"Nama menu tidak seragam")</f>
        <v>25</v>
      </c>
    </row>
    <row r="22" customFormat="false" ht="15" hidden="false" customHeight="false" outlineLevel="0" collapsed="false">
      <c r="A22" s="6" t="s">
        <v>24</v>
      </c>
      <c r="B22" s="7" t="n">
        <f aca="false">COUNTIF(Log_Pembersihan!$D$2:$D$110,"Format jam tidak seragam")</f>
        <v>25</v>
      </c>
    </row>
    <row r="23" customFormat="false" ht="15" hidden="false" customHeight="false" outlineLevel="0" collapsed="false">
      <c r="A23" s="6" t="s">
        <v>25</v>
      </c>
      <c r="B23" s="7" t="n">
        <f aca="false">COUNTIF(Log_Pembersihan!$D$2:$D$110,"Jam kosong")</f>
        <v>4</v>
      </c>
    </row>
    <row r="24" customFormat="false" ht="15" hidden="false" customHeight="false" outlineLevel="0" collapsed="false">
      <c r="A24" s="6" t="s">
        <v>26</v>
      </c>
      <c r="B24" s="7" t="n">
        <f aca="false">COUNTIF(Log_Pembersihan!$D$2:$D$110,"Harga kosong")</f>
        <v>12</v>
      </c>
    </row>
    <row r="25" customFormat="false" ht="15" hidden="false" customHeight="false" outlineLevel="0" collapsed="false">
      <c r="A25" s="6" t="s">
        <v>27</v>
      </c>
      <c r="B25" s="7" t="n">
        <f aca="false">COUNTIF(Log_Pembersihan!$D$2:$D$110,"Harga nol atau tidak wajar")</f>
        <v>10</v>
      </c>
    </row>
    <row r="26" customFormat="false" ht="15" hidden="false" customHeight="false" outlineLevel="0" collapsed="false">
      <c r="A26" s="6" t="s">
        <v>28</v>
      </c>
      <c r="B26" s="7" t="n">
        <f aca="false">COUNTIF(Log_Pembersihan!$D$2:$D$110,"Jumlah kosong")</f>
        <v>6</v>
      </c>
    </row>
    <row r="27" customFormat="false" ht="15" hidden="false" customHeight="false" outlineLevel="0" collapsed="false">
      <c r="A27" s="6" t="s">
        <v>29</v>
      </c>
      <c r="B27" s="7" t="n">
        <f aca="false">COUNTIF(Log_Pembersihan!$D$2:$D$110,"Jumlah nol atau negatif")</f>
        <v>6</v>
      </c>
    </row>
    <row r="28" customFormat="false" ht="15" hidden="false" customHeight="false" outlineLevel="0" collapsed="false">
      <c r="A28" s="6" t="s">
        <v>30</v>
      </c>
      <c r="B28" s="7" t="n">
        <f aca="false">COUNTIF(Log_Pembersihan!$D$2:$D$110,"Menu kosong")</f>
        <v>3</v>
      </c>
    </row>
    <row r="29" customFormat="false" ht="15" hidden="false" customHeight="false" outlineLevel="0" collapsed="false">
      <c r="A29" s="6" t="s">
        <v>31</v>
      </c>
      <c r="B29" s="8" t="n">
        <f aca="false">SUM(B20:B28)</f>
        <v>109</v>
      </c>
    </row>
    <row r="31" customFormat="false" ht="15" hidden="false" customHeight="false" outlineLevel="0" collapsed="false">
      <c r="A31" s="3" t="s">
        <v>32</v>
      </c>
    </row>
    <row r="32" customFormat="false" ht="15" hidden="false" customHeight="false" outlineLevel="0" collapsed="false">
      <c r="A32" s="9" t="s">
        <v>33</v>
      </c>
      <c r="B32" s="9" t="s">
        <v>34</v>
      </c>
      <c r="C32" s="9" t="s">
        <v>35</v>
      </c>
    </row>
    <row r="33" customFormat="false" ht="15" hidden="false" customHeight="false" outlineLevel="0" collapsed="false">
      <c r="A33" s="10" t="s">
        <v>36</v>
      </c>
      <c r="B33" s="10" t="s">
        <v>37</v>
      </c>
      <c r="C33" s="10" t="s">
        <v>38</v>
      </c>
    </row>
    <row r="34" customFormat="false" ht="15" hidden="false" customHeight="false" outlineLevel="0" collapsed="false">
      <c r="A34" s="10" t="s">
        <v>39</v>
      </c>
      <c r="B34" s="10" t="s">
        <v>39</v>
      </c>
      <c r="C34" s="10" t="s">
        <v>40</v>
      </c>
    </row>
    <row r="35" customFormat="false" ht="15" hidden="false" customHeight="false" outlineLevel="0" collapsed="false">
      <c r="A35" s="10" t="s">
        <v>41</v>
      </c>
      <c r="B35" s="10" t="s">
        <v>37</v>
      </c>
      <c r="C35" s="10" t="s">
        <v>42</v>
      </c>
    </row>
    <row r="36" customFormat="false" ht="15" hidden="false" customHeight="false" outlineLevel="0" collapsed="false">
      <c r="A36" s="10" t="s">
        <v>43</v>
      </c>
      <c r="B36" s="10" t="s">
        <v>44</v>
      </c>
      <c r="C36" s="10" t="s">
        <v>45</v>
      </c>
    </row>
    <row r="37" customFormat="false" ht="15" hidden="false" customHeight="false" outlineLevel="0" collapsed="false">
      <c r="A37" s="10" t="s">
        <v>46</v>
      </c>
      <c r="B37" s="10" t="s">
        <v>47</v>
      </c>
      <c r="C37" s="10" t="s">
        <v>48</v>
      </c>
    </row>
    <row r="38" customFormat="false" ht="15" hidden="false" customHeight="false" outlineLevel="0" collapsed="false">
      <c r="A38" s="10" t="s">
        <v>49</v>
      </c>
      <c r="B38" s="10" t="s">
        <v>44</v>
      </c>
      <c r="C38" s="10" t="s">
        <v>50</v>
      </c>
    </row>
    <row r="39" customFormat="false" ht="15" hidden="false" customHeight="false" outlineLevel="0" collapsed="false">
      <c r="A39" s="10" t="s">
        <v>51</v>
      </c>
      <c r="B39" s="10" t="s">
        <v>52</v>
      </c>
      <c r="C39" s="10" t="s">
        <v>53</v>
      </c>
    </row>
    <row r="40" customFormat="false" ht="15" hidden="false" customHeight="false" outlineLevel="0" collapsed="false">
      <c r="A40" s="10" t="s">
        <v>54</v>
      </c>
      <c r="B40" s="10" t="s">
        <v>55</v>
      </c>
      <c r="C40" s="10" t="s">
        <v>56</v>
      </c>
    </row>
    <row r="41" customFormat="false" ht="15" hidden="false" customHeight="false" outlineLevel="0" collapsed="false">
      <c r="A41" s="10" t="s">
        <v>57</v>
      </c>
      <c r="B41" s="10" t="s">
        <v>55</v>
      </c>
      <c r="C41" s="10" t="s">
        <v>58</v>
      </c>
    </row>
    <row r="42" customFormat="false" ht="15" hidden="false" customHeight="false" outlineLevel="0" collapsed="false">
      <c r="A42" s="10" t="s">
        <v>59</v>
      </c>
      <c r="B42" s="10" t="s">
        <v>52</v>
      </c>
      <c r="C42" s="10" t="s">
        <v>60</v>
      </c>
    </row>
    <row r="43" customFormat="false" ht="15" hidden="false" customHeight="false" outlineLevel="0" collapsed="false">
      <c r="A43" s="10" t="s">
        <v>61</v>
      </c>
      <c r="B43" s="10" t="s">
        <v>55</v>
      </c>
      <c r="C43" s="10" t="s">
        <v>62</v>
      </c>
    </row>
    <row r="44" customFormat="false" ht="15" hidden="false" customHeight="false" outlineLevel="0" collapsed="false">
      <c r="A44" s="10" t="s">
        <v>63</v>
      </c>
      <c r="B44" s="10" t="s">
        <v>52</v>
      </c>
      <c r="C44" s="10" t="s">
        <v>64</v>
      </c>
    </row>
    <row r="46" customFormat="false" ht="15" hidden="false" customHeight="false" outlineLevel="0" collapsed="false">
      <c r="A46" s="3" t="s">
        <v>65</v>
      </c>
    </row>
    <row r="47" customFormat="false" ht="15" hidden="false" customHeight="false" outlineLevel="0" collapsed="false">
      <c r="A47" s="6" t="s">
        <v>66</v>
      </c>
      <c r="B47" s="11" t="s">
        <v>67</v>
      </c>
      <c r="C47" s="11"/>
    </row>
    <row r="48" customFormat="false" ht="15" hidden="false" customHeight="false" outlineLevel="0" collapsed="false">
      <c r="A48" s="6" t="s">
        <v>68</v>
      </c>
      <c r="B48" s="11" t="s">
        <v>69</v>
      </c>
      <c r="C48" s="11"/>
    </row>
    <row r="49" customFormat="false" ht="15" hidden="false" customHeight="false" outlineLevel="0" collapsed="false">
      <c r="A49" s="6" t="s">
        <v>70</v>
      </c>
      <c r="B49" s="11" t="s">
        <v>71</v>
      </c>
      <c r="C49" s="11"/>
    </row>
    <row r="50" customFormat="false" ht="15" hidden="false" customHeight="false" outlineLevel="0" collapsed="false">
      <c r="A50" s="6" t="s">
        <v>72</v>
      </c>
      <c r="B50" s="11" t="s">
        <v>73</v>
      </c>
      <c r="C50" s="11"/>
    </row>
    <row r="51" customFormat="false" ht="15" hidden="false" customHeight="false" outlineLevel="0" collapsed="false">
      <c r="A51" s="6" t="s">
        <v>74</v>
      </c>
      <c r="B51" s="11" t="s">
        <v>75</v>
      </c>
      <c r="C51" s="11"/>
    </row>
    <row r="52" customFormat="false" ht="15" hidden="false" customHeight="false" outlineLevel="0" collapsed="false">
      <c r="A52" s="6" t="s">
        <v>76</v>
      </c>
      <c r="B52" s="11" t="s">
        <v>77</v>
      </c>
      <c r="C52" s="11"/>
    </row>
  </sheetData>
  <mergeCells count="12">
    <mergeCell ref="B5:C5"/>
    <mergeCell ref="B6:C6"/>
    <mergeCell ref="B7:C7"/>
    <mergeCell ref="B8:C8"/>
    <mergeCell ref="B9:C9"/>
    <mergeCell ref="B10:C10"/>
    <mergeCell ref="B47:C47"/>
    <mergeCell ref="B48:C48"/>
    <mergeCell ref="B49:C49"/>
    <mergeCell ref="B50:C50"/>
    <mergeCell ref="B51:C51"/>
    <mergeCell ref="B52:C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11"/>
  </cols>
  <sheetData>
    <row r="1" customFormat="false" ht="15" hidden="false" customHeight="false" outlineLevel="0" collapsed="false">
      <c r="A1" s="12" t="s">
        <v>36</v>
      </c>
      <c r="B1" s="12" t="s">
        <v>39</v>
      </c>
      <c r="C1" s="12" t="s">
        <v>41</v>
      </c>
      <c r="D1" s="12" t="s">
        <v>43</v>
      </c>
      <c r="E1" s="12" t="s">
        <v>46</v>
      </c>
      <c r="F1" s="12" t="s">
        <v>49</v>
      </c>
    </row>
    <row r="2" customFormat="false" ht="15" hidden="false" customHeight="false" outlineLevel="0" collapsed="false">
      <c r="A2" s="2" t="s">
        <v>78</v>
      </c>
      <c r="B2" s="13" t="n">
        <v>46266</v>
      </c>
      <c r="C2" s="2" t="s">
        <v>79</v>
      </c>
      <c r="D2" s="2" t="n">
        <v>2</v>
      </c>
      <c r="E2" s="14" t="s">
        <v>80</v>
      </c>
      <c r="F2" s="7" t="n">
        <v>16000</v>
      </c>
    </row>
    <row r="3" customFormat="false" ht="15" hidden="false" customHeight="false" outlineLevel="0" collapsed="false">
      <c r="A3" s="2" t="s">
        <v>78</v>
      </c>
      <c r="B3" s="13" t="n">
        <v>46266</v>
      </c>
      <c r="C3" s="2" t="s">
        <v>81</v>
      </c>
      <c r="D3" s="2" t="n">
        <v>1</v>
      </c>
      <c r="E3" s="14" t="s">
        <v>80</v>
      </c>
      <c r="F3" s="7" t="n">
        <v>15000</v>
      </c>
    </row>
    <row r="4" customFormat="false" ht="15" hidden="false" customHeight="false" outlineLevel="0" collapsed="false">
      <c r="A4" s="2" t="s">
        <v>78</v>
      </c>
      <c r="B4" s="13" t="n">
        <v>46266</v>
      </c>
      <c r="C4" s="2" t="s">
        <v>82</v>
      </c>
      <c r="D4" s="2" t="n">
        <v>2</v>
      </c>
      <c r="E4" s="14" t="s">
        <v>80</v>
      </c>
      <c r="F4" s="7" t="n">
        <v>13000</v>
      </c>
    </row>
    <row r="5" customFormat="false" ht="15" hidden="false" customHeight="false" outlineLevel="0" collapsed="false">
      <c r="A5" s="2" t="s">
        <v>83</v>
      </c>
      <c r="B5" s="13" t="n">
        <v>46266</v>
      </c>
      <c r="C5" s="2" t="s">
        <v>84</v>
      </c>
      <c r="D5" s="2" t="n">
        <v>1</v>
      </c>
      <c r="E5" s="14" t="s">
        <v>85</v>
      </c>
      <c r="F5" s="7" t="n">
        <v>5000</v>
      </c>
    </row>
    <row r="6" customFormat="false" ht="15" hidden="false" customHeight="false" outlineLevel="0" collapsed="false">
      <c r="A6" s="2" t="s">
        <v>86</v>
      </c>
      <c r="B6" s="13" t="n">
        <v>46266</v>
      </c>
      <c r="C6" s="2" t="s">
        <v>84</v>
      </c>
      <c r="D6" s="2" t="n">
        <v>1</v>
      </c>
      <c r="E6" s="14" t="s">
        <v>87</v>
      </c>
      <c r="F6" s="7" t="n">
        <v>5000</v>
      </c>
    </row>
    <row r="7" customFormat="false" ht="15" hidden="false" customHeight="false" outlineLevel="0" collapsed="false">
      <c r="A7" s="2" t="s">
        <v>88</v>
      </c>
      <c r="B7" s="13" t="n">
        <v>46266</v>
      </c>
      <c r="C7" s="2" t="s">
        <v>89</v>
      </c>
      <c r="D7" s="2" t="n">
        <v>1</v>
      </c>
      <c r="E7" s="14" t="s">
        <v>90</v>
      </c>
      <c r="F7" s="7" t="n">
        <v>14000</v>
      </c>
    </row>
    <row r="8" customFormat="false" ht="15" hidden="false" customHeight="false" outlineLevel="0" collapsed="false">
      <c r="A8" s="2" t="s">
        <v>91</v>
      </c>
      <c r="B8" s="13" t="n">
        <v>46266</v>
      </c>
      <c r="C8" s="2" t="s">
        <v>92</v>
      </c>
      <c r="D8" s="2" t="n">
        <v>2</v>
      </c>
      <c r="E8" s="14" t="s">
        <v>93</v>
      </c>
      <c r="F8" s="7" t="n">
        <v>4000</v>
      </c>
    </row>
    <row r="9" customFormat="false" ht="15" hidden="false" customHeight="false" outlineLevel="0" collapsed="false">
      <c r="A9" s="2" t="s">
        <v>91</v>
      </c>
      <c r="B9" s="13" t="n">
        <v>46266</v>
      </c>
      <c r="C9" s="2" t="s">
        <v>84</v>
      </c>
      <c r="D9" s="2" t="n">
        <v>1</v>
      </c>
      <c r="E9" s="14" t="s">
        <v>93</v>
      </c>
      <c r="F9" s="7" t="n">
        <v>5000</v>
      </c>
    </row>
    <row r="10" customFormat="false" ht="15" hidden="false" customHeight="false" outlineLevel="0" collapsed="false">
      <c r="A10" s="2" t="s">
        <v>94</v>
      </c>
      <c r="B10" s="13" t="n">
        <v>46266</v>
      </c>
      <c r="C10" s="2" t="s">
        <v>79</v>
      </c>
      <c r="D10" s="2" t="n">
        <v>1</v>
      </c>
      <c r="E10" s="14" t="s">
        <v>95</v>
      </c>
      <c r="F10" s="7" t="n">
        <v>16000</v>
      </c>
    </row>
    <row r="11" customFormat="false" ht="15" hidden="false" customHeight="false" outlineLevel="0" collapsed="false">
      <c r="A11" s="2" t="s">
        <v>94</v>
      </c>
      <c r="B11" s="13" t="n">
        <v>46266</v>
      </c>
      <c r="C11" s="2" t="s">
        <v>84</v>
      </c>
      <c r="D11" s="2" t="n">
        <v>1</v>
      </c>
      <c r="E11" s="14" t="s">
        <v>95</v>
      </c>
      <c r="F11" s="7" t="n">
        <v>5000</v>
      </c>
    </row>
    <row r="12" customFormat="false" ht="15" hidden="false" customHeight="false" outlineLevel="0" collapsed="false">
      <c r="A12" s="2" t="s">
        <v>96</v>
      </c>
      <c r="B12" s="13" t="n">
        <v>46266</v>
      </c>
      <c r="C12" s="2" t="s">
        <v>81</v>
      </c>
      <c r="D12" s="2" t="n">
        <v>1</v>
      </c>
      <c r="E12" s="14" t="s">
        <v>97</v>
      </c>
      <c r="F12" s="7" t="n">
        <v>15000</v>
      </c>
    </row>
    <row r="13" customFormat="false" ht="15" hidden="false" customHeight="false" outlineLevel="0" collapsed="false">
      <c r="A13" s="2" t="s">
        <v>98</v>
      </c>
      <c r="B13" s="13" t="n">
        <v>46266</v>
      </c>
      <c r="C13" s="2" t="s">
        <v>79</v>
      </c>
      <c r="D13" s="2" t="n">
        <v>1</v>
      </c>
      <c r="E13" s="14" t="s">
        <v>99</v>
      </c>
      <c r="F13" s="7" t="n">
        <v>16000</v>
      </c>
    </row>
    <row r="14" customFormat="false" ht="15" hidden="false" customHeight="false" outlineLevel="0" collapsed="false">
      <c r="A14" s="2" t="s">
        <v>100</v>
      </c>
      <c r="B14" s="13" t="n">
        <v>46266</v>
      </c>
      <c r="C14" s="2" t="s">
        <v>101</v>
      </c>
      <c r="D14" s="2" t="n">
        <v>1</v>
      </c>
      <c r="E14" s="14" t="s">
        <v>102</v>
      </c>
      <c r="F14" s="7" t="n">
        <v>18000</v>
      </c>
    </row>
    <row r="15" customFormat="false" ht="15" hidden="false" customHeight="false" outlineLevel="0" collapsed="false">
      <c r="A15" s="2" t="s">
        <v>103</v>
      </c>
      <c r="B15" s="13" t="n">
        <v>46266</v>
      </c>
      <c r="C15" s="2" t="s">
        <v>101</v>
      </c>
      <c r="D15" s="2" t="n">
        <v>1</v>
      </c>
      <c r="E15" s="14" t="s">
        <v>104</v>
      </c>
      <c r="F15" s="7" t="n">
        <v>18000</v>
      </c>
    </row>
    <row r="16" customFormat="false" ht="15" hidden="false" customHeight="false" outlineLevel="0" collapsed="false">
      <c r="A16" s="2" t="s">
        <v>105</v>
      </c>
      <c r="B16" s="13" t="n">
        <v>46266</v>
      </c>
      <c r="C16" s="2" t="s">
        <v>101</v>
      </c>
      <c r="D16" s="2" t="n">
        <v>1</v>
      </c>
      <c r="E16" s="14" t="s">
        <v>106</v>
      </c>
      <c r="F16" s="7" t="n">
        <v>18000</v>
      </c>
    </row>
    <row r="17" customFormat="false" ht="15" hidden="false" customHeight="false" outlineLevel="0" collapsed="false">
      <c r="A17" s="2" t="s">
        <v>105</v>
      </c>
      <c r="B17" s="13" t="n">
        <v>46266</v>
      </c>
      <c r="C17" s="2" t="s">
        <v>81</v>
      </c>
      <c r="D17" s="2" t="n">
        <v>1</v>
      </c>
      <c r="E17" s="14" t="s">
        <v>106</v>
      </c>
      <c r="F17" s="7" t="n">
        <v>15000</v>
      </c>
    </row>
    <row r="18" customFormat="false" ht="15" hidden="false" customHeight="false" outlineLevel="0" collapsed="false">
      <c r="A18" s="2" t="s">
        <v>107</v>
      </c>
      <c r="B18" s="13" t="n">
        <v>46266</v>
      </c>
      <c r="C18" s="2" t="s">
        <v>108</v>
      </c>
      <c r="D18" s="2" t="n">
        <v>1</v>
      </c>
      <c r="E18" s="14" t="s">
        <v>109</v>
      </c>
      <c r="F18" s="7" t="n">
        <v>20000</v>
      </c>
    </row>
    <row r="19" customFormat="false" ht="15" hidden="false" customHeight="false" outlineLevel="0" collapsed="false">
      <c r="A19" s="2" t="s">
        <v>107</v>
      </c>
      <c r="B19" s="13" t="n">
        <v>46266</v>
      </c>
      <c r="C19" s="2" t="s">
        <v>101</v>
      </c>
      <c r="D19" s="2" t="n">
        <v>1</v>
      </c>
      <c r="E19" s="14" t="s">
        <v>109</v>
      </c>
      <c r="F19" s="7" t="n">
        <v>18000</v>
      </c>
    </row>
    <row r="20" customFormat="false" ht="15" hidden="false" customHeight="false" outlineLevel="0" collapsed="false">
      <c r="A20" s="2" t="s">
        <v>110</v>
      </c>
      <c r="B20" s="13" t="n">
        <v>46266</v>
      </c>
      <c r="C20" s="2" t="s">
        <v>81</v>
      </c>
      <c r="D20" s="2" t="n">
        <v>1</v>
      </c>
      <c r="E20" s="14" t="s">
        <v>111</v>
      </c>
      <c r="F20" s="7" t="n">
        <v>15000</v>
      </c>
    </row>
    <row r="21" customFormat="false" ht="15" hidden="false" customHeight="false" outlineLevel="0" collapsed="false">
      <c r="A21" s="2" t="s">
        <v>110</v>
      </c>
      <c r="B21" s="13" t="n">
        <v>46266</v>
      </c>
      <c r="C21" s="2" t="s">
        <v>108</v>
      </c>
      <c r="D21" s="2" t="n">
        <v>1</v>
      </c>
      <c r="E21" s="14" t="s">
        <v>111</v>
      </c>
      <c r="F21" s="7" t="n">
        <v>20000</v>
      </c>
    </row>
    <row r="22" customFormat="false" ht="15" hidden="false" customHeight="false" outlineLevel="0" collapsed="false">
      <c r="A22" s="2" t="s">
        <v>110</v>
      </c>
      <c r="B22" s="13" t="n">
        <v>46266</v>
      </c>
      <c r="C22" s="2" t="s">
        <v>112</v>
      </c>
      <c r="D22" s="2" t="n">
        <v>1</v>
      </c>
      <c r="E22" s="14" t="s">
        <v>111</v>
      </c>
      <c r="F22" s="7" t="n">
        <v>10000</v>
      </c>
    </row>
    <row r="23" customFormat="false" ht="15" hidden="false" customHeight="false" outlineLevel="0" collapsed="false">
      <c r="A23" s="2" t="s">
        <v>113</v>
      </c>
      <c r="B23" s="13" t="n">
        <v>46266</v>
      </c>
      <c r="C23" s="2" t="s">
        <v>92</v>
      </c>
      <c r="D23" s="2" t="n">
        <v>1</v>
      </c>
      <c r="E23" s="14" t="s">
        <v>114</v>
      </c>
      <c r="F23" s="7" t="n">
        <v>4000</v>
      </c>
    </row>
    <row r="24" customFormat="false" ht="15" hidden="false" customHeight="false" outlineLevel="0" collapsed="false">
      <c r="A24" s="2" t="s">
        <v>115</v>
      </c>
      <c r="B24" s="13" t="n">
        <v>46266</v>
      </c>
      <c r="C24" s="2" t="s">
        <v>112</v>
      </c>
      <c r="D24" s="2" t="n">
        <v>1</v>
      </c>
      <c r="E24" s="14" t="s">
        <v>116</v>
      </c>
      <c r="F24" s="7" t="n">
        <v>10000</v>
      </c>
    </row>
    <row r="25" customFormat="false" ht="15" hidden="false" customHeight="false" outlineLevel="0" collapsed="false">
      <c r="A25" s="2" t="s">
        <v>115</v>
      </c>
      <c r="B25" s="13" t="n">
        <v>46266</v>
      </c>
      <c r="C25" s="2" t="s">
        <v>81</v>
      </c>
      <c r="D25" s="2" t="n">
        <v>2</v>
      </c>
      <c r="E25" s="14" t="s">
        <v>116</v>
      </c>
      <c r="F25" s="7" t="n">
        <v>15000</v>
      </c>
    </row>
    <row r="26" customFormat="false" ht="15" hidden="false" customHeight="false" outlineLevel="0" collapsed="false">
      <c r="A26" s="2" t="s">
        <v>117</v>
      </c>
      <c r="B26" s="13" t="n">
        <v>46266</v>
      </c>
      <c r="C26" s="2" t="s">
        <v>112</v>
      </c>
      <c r="D26" s="2" t="n">
        <v>2</v>
      </c>
      <c r="E26" s="14" t="s">
        <v>118</v>
      </c>
      <c r="F26" s="7" t="n">
        <v>10000</v>
      </c>
    </row>
    <row r="27" customFormat="false" ht="15" hidden="false" customHeight="false" outlineLevel="0" collapsed="false">
      <c r="A27" s="2" t="s">
        <v>119</v>
      </c>
      <c r="B27" s="13" t="n">
        <v>46266</v>
      </c>
      <c r="C27" s="2" t="s">
        <v>82</v>
      </c>
      <c r="D27" s="2" t="n">
        <v>1</v>
      </c>
      <c r="E27" s="14" t="s">
        <v>120</v>
      </c>
      <c r="F27" s="7" t="n">
        <v>13000</v>
      </c>
    </row>
    <row r="28" customFormat="false" ht="15" hidden="false" customHeight="false" outlineLevel="0" collapsed="false">
      <c r="A28" s="2" t="s">
        <v>119</v>
      </c>
      <c r="B28" s="13" t="n">
        <v>46266</v>
      </c>
      <c r="C28" s="2" t="s">
        <v>89</v>
      </c>
      <c r="D28" s="2" t="n">
        <v>1</v>
      </c>
      <c r="E28" s="14" t="s">
        <v>120</v>
      </c>
      <c r="F28" s="7" t="n">
        <v>14000</v>
      </c>
    </row>
    <row r="29" customFormat="false" ht="15" hidden="false" customHeight="false" outlineLevel="0" collapsed="false">
      <c r="A29" s="2" t="s">
        <v>121</v>
      </c>
      <c r="B29" s="13" t="n">
        <v>46266</v>
      </c>
      <c r="C29" s="2" t="s">
        <v>81</v>
      </c>
      <c r="D29" s="2" t="n">
        <v>1</v>
      </c>
      <c r="E29" s="14" t="s">
        <v>122</v>
      </c>
      <c r="F29" s="7" t="n">
        <v>15000</v>
      </c>
    </row>
    <row r="30" customFormat="false" ht="15" hidden="false" customHeight="false" outlineLevel="0" collapsed="false">
      <c r="A30" s="2" t="s">
        <v>121</v>
      </c>
      <c r="B30" s="13" t="n">
        <v>46266</v>
      </c>
      <c r="C30" s="2" t="s">
        <v>112</v>
      </c>
      <c r="D30" s="2" t="n">
        <v>1</v>
      </c>
      <c r="E30" s="14" t="s">
        <v>122</v>
      </c>
      <c r="F30" s="7" t="n">
        <v>10000</v>
      </c>
    </row>
    <row r="31" customFormat="false" ht="15" hidden="false" customHeight="false" outlineLevel="0" collapsed="false">
      <c r="A31" s="2" t="s">
        <v>123</v>
      </c>
      <c r="B31" s="13" t="n">
        <v>46266</v>
      </c>
      <c r="C31" s="2" t="s">
        <v>81</v>
      </c>
      <c r="D31" s="2" t="n">
        <v>1</v>
      </c>
      <c r="E31" s="14" t="s">
        <v>124</v>
      </c>
      <c r="F31" s="7" t="n">
        <v>15000</v>
      </c>
    </row>
    <row r="32" customFormat="false" ht="15" hidden="false" customHeight="false" outlineLevel="0" collapsed="false">
      <c r="A32" s="2" t="s">
        <v>125</v>
      </c>
      <c r="B32" s="13" t="n">
        <v>46266</v>
      </c>
      <c r="C32" s="2" t="s">
        <v>126</v>
      </c>
      <c r="D32" s="2" t="n">
        <v>1</v>
      </c>
      <c r="E32" s="14" t="s">
        <v>127</v>
      </c>
      <c r="F32" s="7" t="n">
        <v>3000</v>
      </c>
    </row>
    <row r="33" customFormat="false" ht="15" hidden="false" customHeight="false" outlineLevel="0" collapsed="false">
      <c r="A33" s="2" t="s">
        <v>128</v>
      </c>
      <c r="B33" s="13" t="n">
        <v>46266</v>
      </c>
      <c r="C33" s="2" t="s">
        <v>82</v>
      </c>
      <c r="D33" s="2" t="n">
        <v>2</v>
      </c>
      <c r="E33" s="14" t="s">
        <v>129</v>
      </c>
      <c r="F33" s="7" t="n">
        <v>13000</v>
      </c>
    </row>
    <row r="34" customFormat="false" ht="15" hidden="false" customHeight="false" outlineLevel="0" collapsed="false">
      <c r="A34" s="2" t="s">
        <v>130</v>
      </c>
      <c r="B34" s="13" t="n">
        <v>46266</v>
      </c>
      <c r="C34" s="2" t="s">
        <v>101</v>
      </c>
      <c r="D34" s="2" t="n">
        <v>1</v>
      </c>
      <c r="E34" s="14" t="s">
        <v>131</v>
      </c>
      <c r="F34" s="7" t="n">
        <v>18000</v>
      </c>
    </row>
    <row r="35" customFormat="false" ht="15" hidden="false" customHeight="false" outlineLevel="0" collapsed="false">
      <c r="A35" s="2" t="s">
        <v>130</v>
      </c>
      <c r="B35" s="13" t="n">
        <v>46266</v>
      </c>
      <c r="C35" s="2" t="s">
        <v>108</v>
      </c>
      <c r="D35" s="2" t="n">
        <v>1</v>
      </c>
      <c r="E35" s="14" t="s">
        <v>131</v>
      </c>
      <c r="F35" s="7" t="n">
        <v>20000</v>
      </c>
    </row>
    <row r="36" customFormat="false" ht="15" hidden="false" customHeight="false" outlineLevel="0" collapsed="false">
      <c r="A36" s="2" t="s">
        <v>130</v>
      </c>
      <c r="B36" s="13" t="n">
        <v>46266</v>
      </c>
      <c r="C36" s="2" t="s">
        <v>132</v>
      </c>
      <c r="D36" s="2" t="n">
        <v>1</v>
      </c>
      <c r="E36" s="14" t="s">
        <v>131</v>
      </c>
      <c r="F36" s="7" t="n">
        <v>15000</v>
      </c>
    </row>
    <row r="37" customFormat="false" ht="15" hidden="false" customHeight="false" outlineLevel="0" collapsed="false">
      <c r="A37" s="2" t="s">
        <v>133</v>
      </c>
      <c r="B37" s="13" t="n">
        <v>46266</v>
      </c>
      <c r="C37" s="2" t="s">
        <v>84</v>
      </c>
      <c r="D37" s="2" t="n">
        <v>1</v>
      </c>
      <c r="E37" s="14" t="s">
        <v>134</v>
      </c>
      <c r="F37" s="7" t="n">
        <v>5000</v>
      </c>
    </row>
    <row r="38" customFormat="false" ht="15" hidden="false" customHeight="false" outlineLevel="0" collapsed="false">
      <c r="A38" s="2" t="s">
        <v>133</v>
      </c>
      <c r="B38" s="13" t="n">
        <v>46266</v>
      </c>
      <c r="C38" s="2" t="s">
        <v>112</v>
      </c>
      <c r="D38" s="2" t="n">
        <v>1</v>
      </c>
      <c r="E38" s="14" t="s">
        <v>134</v>
      </c>
      <c r="F38" s="7" t="n">
        <v>10000</v>
      </c>
    </row>
    <row r="39" customFormat="false" ht="15" hidden="false" customHeight="false" outlineLevel="0" collapsed="false">
      <c r="A39" s="2" t="s">
        <v>135</v>
      </c>
      <c r="B39" s="13" t="n">
        <v>46266</v>
      </c>
      <c r="C39" s="2" t="s">
        <v>81</v>
      </c>
      <c r="D39" s="2" t="n">
        <v>2</v>
      </c>
      <c r="E39" s="14" t="s">
        <v>136</v>
      </c>
      <c r="F39" s="7" t="n">
        <v>15000</v>
      </c>
    </row>
    <row r="40" customFormat="false" ht="15" hidden="false" customHeight="false" outlineLevel="0" collapsed="false">
      <c r="A40" s="2" t="s">
        <v>137</v>
      </c>
      <c r="B40" s="13" t="n">
        <v>46266</v>
      </c>
      <c r="C40" s="2" t="s">
        <v>89</v>
      </c>
      <c r="D40" s="2" t="n">
        <v>1</v>
      </c>
      <c r="E40" s="14" t="s">
        <v>138</v>
      </c>
      <c r="F40" s="7" t="n">
        <v>14000</v>
      </c>
    </row>
    <row r="41" customFormat="false" ht="15" hidden="false" customHeight="false" outlineLevel="0" collapsed="false">
      <c r="A41" s="2" t="s">
        <v>137</v>
      </c>
      <c r="B41" s="13" t="n">
        <v>46266</v>
      </c>
      <c r="C41" s="2" t="s">
        <v>108</v>
      </c>
      <c r="D41" s="2" t="n">
        <v>2</v>
      </c>
      <c r="E41" s="14" t="s">
        <v>138</v>
      </c>
      <c r="F41" s="7" t="n">
        <v>20000</v>
      </c>
    </row>
    <row r="42" customFormat="false" ht="15" hidden="false" customHeight="false" outlineLevel="0" collapsed="false">
      <c r="A42" s="2" t="s">
        <v>137</v>
      </c>
      <c r="B42" s="13" t="n">
        <v>46266</v>
      </c>
      <c r="C42" s="2" t="s">
        <v>84</v>
      </c>
      <c r="D42" s="2" t="n">
        <v>1</v>
      </c>
      <c r="E42" s="14" t="s">
        <v>138</v>
      </c>
      <c r="F42" s="7" t="n">
        <v>5000</v>
      </c>
    </row>
    <row r="43" customFormat="false" ht="15" hidden="false" customHeight="false" outlineLevel="0" collapsed="false">
      <c r="A43" s="2" t="s">
        <v>139</v>
      </c>
      <c r="B43" s="13" t="n">
        <v>46266</v>
      </c>
      <c r="C43" s="2" t="s">
        <v>132</v>
      </c>
      <c r="D43" s="2" t="n">
        <v>2</v>
      </c>
      <c r="E43" s="14" t="s">
        <v>140</v>
      </c>
      <c r="F43" s="7" t="n">
        <v>15000</v>
      </c>
    </row>
    <row r="44" customFormat="false" ht="15" hidden="false" customHeight="false" outlineLevel="0" collapsed="false">
      <c r="A44" s="2" t="s">
        <v>141</v>
      </c>
      <c r="B44" s="13" t="n">
        <v>46266</v>
      </c>
      <c r="C44" s="2" t="s">
        <v>84</v>
      </c>
      <c r="D44" s="2" t="n">
        <v>1</v>
      </c>
      <c r="E44" s="14" t="s">
        <v>142</v>
      </c>
      <c r="F44" s="7" t="n">
        <v>5000</v>
      </c>
    </row>
    <row r="45" customFormat="false" ht="15" hidden="false" customHeight="false" outlineLevel="0" collapsed="false">
      <c r="A45" s="2" t="s">
        <v>143</v>
      </c>
      <c r="B45" s="13" t="n">
        <v>46266</v>
      </c>
      <c r="C45" s="2" t="s">
        <v>101</v>
      </c>
      <c r="D45" s="2" t="n">
        <v>1</v>
      </c>
      <c r="E45" s="14" t="s">
        <v>144</v>
      </c>
      <c r="F45" s="7" t="n">
        <v>18000</v>
      </c>
    </row>
    <row r="46" customFormat="false" ht="15" hidden="false" customHeight="false" outlineLevel="0" collapsed="false">
      <c r="A46" s="2" t="s">
        <v>145</v>
      </c>
      <c r="B46" s="13" t="n">
        <v>46266</v>
      </c>
      <c r="C46" s="2" t="s">
        <v>84</v>
      </c>
      <c r="D46" s="2" t="n">
        <v>1</v>
      </c>
      <c r="E46" s="14" t="s">
        <v>146</v>
      </c>
      <c r="F46" s="7" t="n">
        <v>5000</v>
      </c>
    </row>
    <row r="47" customFormat="false" ht="15" hidden="false" customHeight="false" outlineLevel="0" collapsed="false">
      <c r="A47" s="2" t="s">
        <v>147</v>
      </c>
      <c r="B47" s="13" t="n">
        <v>46266</v>
      </c>
      <c r="C47" s="2" t="s">
        <v>84</v>
      </c>
      <c r="D47" s="2" t="n">
        <v>1</v>
      </c>
      <c r="E47" s="14" t="s">
        <v>148</v>
      </c>
      <c r="F47" s="7" t="n">
        <v>5000</v>
      </c>
    </row>
    <row r="48" customFormat="false" ht="15" hidden="false" customHeight="false" outlineLevel="0" collapsed="false">
      <c r="A48" s="2" t="s">
        <v>147</v>
      </c>
      <c r="B48" s="13" t="n">
        <v>46266</v>
      </c>
      <c r="C48" s="2" t="s">
        <v>108</v>
      </c>
      <c r="D48" s="2" t="n">
        <v>1</v>
      </c>
      <c r="E48" s="14" t="s">
        <v>148</v>
      </c>
      <c r="F48" s="7" t="n">
        <v>20000</v>
      </c>
    </row>
    <row r="49" customFormat="false" ht="15" hidden="false" customHeight="false" outlineLevel="0" collapsed="false">
      <c r="A49" s="2" t="s">
        <v>149</v>
      </c>
      <c r="B49" s="13" t="n">
        <v>46266</v>
      </c>
      <c r="C49" s="2" t="s">
        <v>112</v>
      </c>
      <c r="D49" s="2" t="n">
        <v>2</v>
      </c>
      <c r="E49" s="14" t="s">
        <v>150</v>
      </c>
      <c r="F49" s="7" t="n">
        <v>10000</v>
      </c>
    </row>
    <row r="50" customFormat="false" ht="15" hidden="false" customHeight="false" outlineLevel="0" collapsed="false">
      <c r="A50" s="2" t="s">
        <v>151</v>
      </c>
      <c r="B50" s="13" t="n">
        <v>46266</v>
      </c>
      <c r="C50" s="2" t="s">
        <v>81</v>
      </c>
      <c r="D50" s="2" t="n">
        <v>2</v>
      </c>
      <c r="E50" s="14" t="s">
        <v>152</v>
      </c>
      <c r="F50" s="7" t="n">
        <v>15000</v>
      </c>
    </row>
    <row r="51" customFormat="false" ht="15" hidden="false" customHeight="false" outlineLevel="0" collapsed="false">
      <c r="A51" s="2" t="s">
        <v>153</v>
      </c>
      <c r="B51" s="13" t="n">
        <v>46266</v>
      </c>
      <c r="C51" s="2" t="s">
        <v>132</v>
      </c>
      <c r="D51" s="2" t="n">
        <v>2</v>
      </c>
      <c r="E51" s="14" t="s">
        <v>154</v>
      </c>
      <c r="F51" s="7" t="n">
        <v>15000</v>
      </c>
    </row>
    <row r="52" customFormat="false" ht="15" hidden="false" customHeight="false" outlineLevel="0" collapsed="false">
      <c r="A52" s="2" t="s">
        <v>155</v>
      </c>
      <c r="B52" s="13" t="n">
        <v>46266</v>
      </c>
      <c r="C52" s="2" t="s">
        <v>79</v>
      </c>
      <c r="D52" s="2" t="n">
        <v>1</v>
      </c>
      <c r="E52" s="14" t="s">
        <v>156</v>
      </c>
      <c r="F52" s="7" t="n">
        <v>16000</v>
      </c>
    </row>
    <row r="53" customFormat="false" ht="15" hidden="false" customHeight="false" outlineLevel="0" collapsed="false">
      <c r="A53" s="2" t="s">
        <v>157</v>
      </c>
      <c r="B53" s="13" t="n">
        <v>46266</v>
      </c>
      <c r="C53" s="2" t="s">
        <v>101</v>
      </c>
      <c r="D53" s="2" t="n">
        <v>1</v>
      </c>
      <c r="E53" s="14" t="s">
        <v>158</v>
      </c>
      <c r="F53" s="7" t="n">
        <v>18000</v>
      </c>
    </row>
    <row r="54" customFormat="false" ht="15" hidden="false" customHeight="false" outlineLevel="0" collapsed="false">
      <c r="A54" s="2" t="s">
        <v>159</v>
      </c>
      <c r="B54" s="13" t="n">
        <v>46266</v>
      </c>
      <c r="C54" s="2" t="s">
        <v>101</v>
      </c>
      <c r="D54" s="2" t="n">
        <v>1</v>
      </c>
      <c r="E54" s="14" t="s">
        <v>160</v>
      </c>
      <c r="F54" s="7" t="n">
        <v>18000</v>
      </c>
    </row>
    <row r="55" customFormat="false" ht="15" hidden="false" customHeight="false" outlineLevel="0" collapsed="false">
      <c r="A55" s="2" t="s">
        <v>159</v>
      </c>
      <c r="B55" s="13" t="n">
        <v>46266</v>
      </c>
      <c r="C55" s="2" t="s">
        <v>81</v>
      </c>
      <c r="D55" s="2" t="n">
        <v>1</v>
      </c>
      <c r="E55" s="14" t="s">
        <v>160</v>
      </c>
      <c r="F55" s="7" t="n">
        <v>15000</v>
      </c>
    </row>
    <row r="56" customFormat="false" ht="15" hidden="false" customHeight="false" outlineLevel="0" collapsed="false">
      <c r="A56" s="2" t="s">
        <v>159</v>
      </c>
      <c r="B56" s="13" t="n">
        <v>46266</v>
      </c>
      <c r="C56" s="2" t="s">
        <v>79</v>
      </c>
      <c r="D56" s="2" t="n">
        <v>1</v>
      </c>
      <c r="E56" s="14" t="s">
        <v>160</v>
      </c>
      <c r="F56" s="7" t="n">
        <v>16000</v>
      </c>
    </row>
    <row r="57" customFormat="false" ht="15" hidden="false" customHeight="false" outlineLevel="0" collapsed="false">
      <c r="A57" s="2" t="s">
        <v>161</v>
      </c>
      <c r="B57" s="13" t="n">
        <v>46266</v>
      </c>
      <c r="C57" s="2" t="s">
        <v>84</v>
      </c>
      <c r="D57" s="2" t="n">
        <v>1</v>
      </c>
      <c r="E57" s="14" t="s">
        <v>162</v>
      </c>
      <c r="F57" s="7" t="n">
        <v>5000</v>
      </c>
    </row>
    <row r="58" customFormat="false" ht="15" hidden="false" customHeight="false" outlineLevel="0" collapsed="false">
      <c r="A58" s="2" t="s">
        <v>161</v>
      </c>
      <c r="B58" s="13" t="n">
        <v>46266</v>
      </c>
      <c r="C58" s="2" t="s">
        <v>101</v>
      </c>
      <c r="D58" s="2" t="n">
        <v>1</v>
      </c>
      <c r="E58" s="14" t="s">
        <v>162</v>
      </c>
      <c r="F58" s="7" t="n">
        <v>18000</v>
      </c>
    </row>
    <row r="59" customFormat="false" ht="15" hidden="false" customHeight="false" outlineLevel="0" collapsed="false">
      <c r="A59" s="2" t="s">
        <v>163</v>
      </c>
      <c r="B59" s="13" t="n">
        <v>46266</v>
      </c>
      <c r="C59" s="2" t="s">
        <v>84</v>
      </c>
      <c r="D59" s="2" t="n">
        <v>2</v>
      </c>
      <c r="E59" s="14" t="s">
        <v>164</v>
      </c>
      <c r="F59" s="7" t="n">
        <v>5000</v>
      </c>
    </row>
    <row r="60" customFormat="false" ht="15" hidden="false" customHeight="false" outlineLevel="0" collapsed="false">
      <c r="A60" s="2" t="s">
        <v>163</v>
      </c>
      <c r="B60" s="13" t="n">
        <v>46266</v>
      </c>
      <c r="C60" s="2" t="s">
        <v>81</v>
      </c>
      <c r="D60" s="2" t="n">
        <v>1</v>
      </c>
      <c r="E60" s="14" t="s">
        <v>164</v>
      </c>
      <c r="F60" s="7" t="n">
        <v>15000</v>
      </c>
    </row>
    <row r="61" customFormat="false" ht="15" hidden="false" customHeight="false" outlineLevel="0" collapsed="false">
      <c r="A61" s="2" t="s">
        <v>163</v>
      </c>
      <c r="B61" s="13" t="n">
        <v>46266</v>
      </c>
      <c r="C61" s="2" t="s">
        <v>101</v>
      </c>
      <c r="D61" s="2" t="n">
        <v>2</v>
      </c>
      <c r="E61" s="14" t="s">
        <v>164</v>
      </c>
      <c r="F61" s="7" t="n">
        <v>18000</v>
      </c>
    </row>
    <row r="62" customFormat="false" ht="15" hidden="false" customHeight="false" outlineLevel="0" collapsed="false">
      <c r="A62" s="2" t="s">
        <v>165</v>
      </c>
      <c r="B62" s="13" t="n">
        <v>46266</v>
      </c>
      <c r="C62" s="2" t="s">
        <v>112</v>
      </c>
      <c r="D62" s="2" t="n">
        <v>1</v>
      </c>
      <c r="E62" s="14" t="s">
        <v>164</v>
      </c>
      <c r="F62" s="7" t="n">
        <v>10000</v>
      </c>
    </row>
    <row r="63" customFormat="false" ht="15" hidden="false" customHeight="false" outlineLevel="0" collapsed="false">
      <c r="A63" s="2" t="s">
        <v>165</v>
      </c>
      <c r="B63" s="13" t="n">
        <v>46266</v>
      </c>
      <c r="C63" s="2" t="s">
        <v>84</v>
      </c>
      <c r="D63" s="2" t="n">
        <v>2</v>
      </c>
      <c r="E63" s="14" t="s">
        <v>164</v>
      </c>
      <c r="F63" s="7" t="n">
        <v>5000</v>
      </c>
    </row>
    <row r="64" customFormat="false" ht="15" hidden="false" customHeight="false" outlineLevel="0" collapsed="false">
      <c r="A64" s="2" t="s">
        <v>165</v>
      </c>
      <c r="B64" s="13" t="n">
        <v>46266</v>
      </c>
      <c r="C64" s="2" t="s">
        <v>101</v>
      </c>
      <c r="D64" s="2" t="n">
        <v>1</v>
      </c>
      <c r="E64" s="14" t="s">
        <v>164</v>
      </c>
      <c r="F64" s="7" t="n">
        <v>18000</v>
      </c>
    </row>
    <row r="65" customFormat="false" ht="15" hidden="false" customHeight="false" outlineLevel="0" collapsed="false">
      <c r="A65" s="2" t="s">
        <v>166</v>
      </c>
      <c r="B65" s="13" t="n">
        <v>46266</v>
      </c>
      <c r="C65" s="2" t="s">
        <v>79</v>
      </c>
      <c r="D65" s="2" t="n">
        <v>2</v>
      </c>
      <c r="E65" s="14" t="s">
        <v>167</v>
      </c>
      <c r="F65" s="7" t="n">
        <v>16000</v>
      </c>
    </row>
    <row r="66" customFormat="false" ht="15" hidden="false" customHeight="false" outlineLevel="0" collapsed="false">
      <c r="A66" s="2" t="s">
        <v>168</v>
      </c>
      <c r="B66" s="13" t="n">
        <v>46266</v>
      </c>
      <c r="C66" s="2" t="s">
        <v>79</v>
      </c>
      <c r="D66" s="2" t="n">
        <v>1</v>
      </c>
      <c r="E66" s="14" t="s">
        <v>169</v>
      </c>
      <c r="F66" s="7" t="n">
        <v>16000</v>
      </c>
    </row>
    <row r="67" customFormat="false" ht="15" hidden="false" customHeight="false" outlineLevel="0" collapsed="false">
      <c r="A67" s="2" t="s">
        <v>170</v>
      </c>
      <c r="B67" s="13" t="n">
        <v>46267</v>
      </c>
      <c r="C67" s="2" t="s">
        <v>89</v>
      </c>
      <c r="D67" s="2" t="n">
        <v>1</v>
      </c>
      <c r="E67" s="14" t="s">
        <v>171</v>
      </c>
      <c r="F67" s="7" t="n">
        <v>14000</v>
      </c>
    </row>
    <row r="68" customFormat="false" ht="15" hidden="false" customHeight="false" outlineLevel="0" collapsed="false">
      <c r="A68" s="2" t="s">
        <v>170</v>
      </c>
      <c r="B68" s="13" t="n">
        <v>46267</v>
      </c>
      <c r="C68" s="2" t="s">
        <v>84</v>
      </c>
      <c r="D68" s="2" t="n">
        <v>1</v>
      </c>
      <c r="E68" s="14" t="s">
        <v>171</v>
      </c>
      <c r="F68" s="7" t="n">
        <v>5000</v>
      </c>
    </row>
    <row r="69" customFormat="false" ht="15" hidden="false" customHeight="false" outlineLevel="0" collapsed="false">
      <c r="A69" s="2" t="s">
        <v>170</v>
      </c>
      <c r="B69" s="13" t="n">
        <v>46267</v>
      </c>
      <c r="C69" s="2" t="s">
        <v>101</v>
      </c>
      <c r="D69" s="2" t="n">
        <v>1</v>
      </c>
      <c r="E69" s="14" t="s">
        <v>171</v>
      </c>
      <c r="F69" s="7" t="n">
        <v>18000</v>
      </c>
    </row>
    <row r="70" customFormat="false" ht="15" hidden="false" customHeight="false" outlineLevel="0" collapsed="false">
      <c r="A70" s="2" t="s">
        <v>172</v>
      </c>
      <c r="B70" s="13" t="n">
        <v>46267</v>
      </c>
      <c r="C70" s="2" t="s">
        <v>79</v>
      </c>
      <c r="D70" s="2" t="n">
        <v>1</v>
      </c>
      <c r="E70" s="14" t="s">
        <v>173</v>
      </c>
      <c r="F70" s="7" t="n">
        <v>16000</v>
      </c>
    </row>
    <row r="71" customFormat="false" ht="15" hidden="false" customHeight="false" outlineLevel="0" collapsed="false">
      <c r="A71" s="2" t="s">
        <v>174</v>
      </c>
      <c r="B71" s="13" t="n">
        <v>46267</v>
      </c>
      <c r="C71" s="2" t="s">
        <v>84</v>
      </c>
      <c r="D71" s="2" t="n">
        <v>1</v>
      </c>
      <c r="E71" s="14" t="s">
        <v>175</v>
      </c>
      <c r="F71" s="7" t="n">
        <v>5000</v>
      </c>
    </row>
    <row r="72" customFormat="false" ht="15" hidden="false" customHeight="false" outlineLevel="0" collapsed="false">
      <c r="A72" s="2" t="s">
        <v>174</v>
      </c>
      <c r="B72" s="13" t="n">
        <v>46267</v>
      </c>
      <c r="C72" s="2" t="s">
        <v>81</v>
      </c>
      <c r="D72" s="2" t="n">
        <v>2</v>
      </c>
      <c r="E72" s="14" t="s">
        <v>175</v>
      </c>
      <c r="F72" s="7" t="n">
        <v>15000</v>
      </c>
    </row>
    <row r="73" customFormat="false" ht="15" hidden="false" customHeight="false" outlineLevel="0" collapsed="false">
      <c r="A73" s="2" t="s">
        <v>174</v>
      </c>
      <c r="B73" s="13" t="n">
        <v>46267</v>
      </c>
      <c r="C73" s="2" t="s">
        <v>108</v>
      </c>
      <c r="D73" s="2" t="n">
        <v>1</v>
      </c>
      <c r="E73" s="14" t="s">
        <v>175</v>
      </c>
      <c r="F73" s="7" t="n">
        <v>20000</v>
      </c>
    </row>
    <row r="74" customFormat="false" ht="15" hidden="false" customHeight="false" outlineLevel="0" collapsed="false">
      <c r="A74" s="2" t="s">
        <v>176</v>
      </c>
      <c r="B74" s="13" t="n">
        <v>46267</v>
      </c>
      <c r="C74" s="2" t="s">
        <v>82</v>
      </c>
      <c r="D74" s="2" t="n">
        <v>1</v>
      </c>
      <c r="E74" s="14" t="s">
        <v>177</v>
      </c>
      <c r="F74" s="7" t="n">
        <v>13000</v>
      </c>
    </row>
    <row r="75" customFormat="false" ht="15" hidden="false" customHeight="false" outlineLevel="0" collapsed="false">
      <c r="A75" s="2" t="s">
        <v>178</v>
      </c>
      <c r="B75" s="13" t="n">
        <v>46267</v>
      </c>
      <c r="C75" s="2" t="s">
        <v>101</v>
      </c>
      <c r="D75" s="2" t="n">
        <v>1</v>
      </c>
      <c r="E75" s="14" t="s">
        <v>179</v>
      </c>
      <c r="F75" s="7" t="n">
        <v>18000</v>
      </c>
    </row>
    <row r="76" customFormat="false" ht="15" hidden="false" customHeight="false" outlineLevel="0" collapsed="false">
      <c r="A76" s="2" t="s">
        <v>178</v>
      </c>
      <c r="B76" s="13" t="n">
        <v>46267</v>
      </c>
      <c r="C76" s="2" t="s">
        <v>112</v>
      </c>
      <c r="D76" s="2" t="n">
        <v>1</v>
      </c>
      <c r="E76" s="14" t="s">
        <v>179</v>
      </c>
      <c r="F76" s="7" t="n">
        <v>10000</v>
      </c>
    </row>
    <row r="77" customFormat="false" ht="15" hidden="false" customHeight="false" outlineLevel="0" collapsed="false">
      <c r="A77" s="2" t="s">
        <v>180</v>
      </c>
      <c r="B77" s="13" t="n">
        <v>46267</v>
      </c>
      <c r="C77" s="2" t="s">
        <v>112</v>
      </c>
      <c r="D77" s="2" t="n">
        <v>1</v>
      </c>
      <c r="E77" s="14" t="s">
        <v>181</v>
      </c>
      <c r="F77" s="7" t="n">
        <v>10000</v>
      </c>
    </row>
    <row r="78" customFormat="false" ht="15" hidden="false" customHeight="false" outlineLevel="0" collapsed="false">
      <c r="A78" s="2" t="s">
        <v>180</v>
      </c>
      <c r="B78" s="13" t="n">
        <v>46267</v>
      </c>
      <c r="C78" s="2" t="s">
        <v>79</v>
      </c>
      <c r="D78" s="2" t="n">
        <v>2</v>
      </c>
      <c r="E78" s="14"/>
      <c r="F78" s="7" t="n">
        <v>16000</v>
      </c>
    </row>
    <row r="79" customFormat="false" ht="15" hidden="false" customHeight="false" outlineLevel="0" collapsed="false">
      <c r="A79" s="2" t="s">
        <v>182</v>
      </c>
      <c r="B79" s="13" t="n">
        <v>46267</v>
      </c>
      <c r="C79" s="2" t="s">
        <v>84</v>
      </c>
      <c r="D79" s="2" t="n">
        <v>1</v>
      </c>
      <c r="E79" s="14" t="s">
        <v>181</v>
      </c>
      <c r="F79" s="7" t="n">
        <v>5000</v>
      </c>
    </row>
    <row r="80" customFormat="false" ht="15" hidden="false" customHeight="false" outlineLevel="0" collapsed="false">
      <c r="A80" s="2" t="s">
        <v>182</v>
      </c>
      <c r="B80" s="13" t="n">
        <v>46267</v>
      </c>
      <c r="C80" s="2" t="s">
        <v>112</v>
      </c>
      <c r="D80" s="2" t="n">
        <v>1</v>
      </c>
      <c r="E80" s="14" t="s">
        <v>181</v>
      </c>
      <c r="F80" s="7" t="n">
        <v>10000</v>
      </c>
    </row>
    <row r="81" customFormat="false" ht="15" hidden="false" customHeight="false" outlineLevel="0" collapsed="false">
      <c r="A81" s="2" t="s">
        <v>183</v>
      </c>
      <c r="B81" s="13" t="n">
        <v>46267</v>
      </c>
      <c r="C81" s="2" t="s">
        <v>81</v>
      </c>
      <c r="D81" s="2" t="n">
        <v>1</v>
      </c>
      <c r="E81" s="14" t="s">
        <v>184</v>
      </c>
      <c r="F81" s="7" t="n">
        <v>15000</v>
      </c>
    </row>
    <row r="82" customFormat="false" ht="15" hidden="false" customHeight="false" outlineLevel="0" collapsed="false">
      <c r="A82" s="2" t="s">
        <v>183</v>
      </c>
      <c r="B82" s="13" t="n">
        <v>46267</v>
      </c>
      <c r="C82" s="2" t="s">
        <v>108</v>
      </c>
      <c r="D82" s="2" t="n">
        <v>2</v>
      </c>
      <c r="E82" s="14" t="s">
        <v>184</v>
      </c>
      <c r="F82" s="7" t="n">
        <v>20000</v>
      </c>
    </row>
    <row r="83" customFormat="false" ht="15" hidden="false" customHeight="false" outlineLevel="0" collapsed="false">
      <c r="A83" s="2" t="s">
        <v>185</v>
      </c>
      <c r="B83" s="13" t="n">
        <v>46267</v>
      </c>
      <c r="C83" s="2" t="s">
        <v>186</v>
      </c>
      <c r="D83" s="2" t="n">
        <v>2</v>
      </c>
      <c r="E83" s="14" t="s">
        <v>187</v>
      </c>
      <c r="F83" s="7" t="n">
        <v>7000</v>
      </c>
    </row>
    <row r="84" customFormat="false" ht="15" hidden="false" customHeight="false" outlineLevel="0" collapsed="false">
      <c r="A84" s="2" t="s">
        <v>188</v>
      </c>
      <c r="B84" s="13" t="n">
        <v>46267</v>
      </c>
      <c r="C84" s="2" t="s">
        <v>92</v>
      </c>
      <c r="D84" s="2" t="n">
        <v>1</v>
      </c>
      <c r="E84" s="14" t="s">
        <v>189</v>
      </c>
      <c r="F84" s="7" t="n">
        <v>4000</v>
      </c>
    </row>
    <row r="85" customFormat="false" ht="15" hidden="false" customHeight="false" outlineLevel="0" collapsed="false">
      <c r="A85" s="2" t="s">
        <v>190</v>
      </c>
      <c r="B85" s="13" t="n">
        <v>46267</v>
      </c>
      <c r="C85" s="2" t="s">
        <v>82</v>
      </c>
      <c r="D85" s="2" t="n">
        <v>3</v>
      </c>
      <c r="E85" s="14" t="s">
        <v>191</v>
      </c>
      <c r="F85" s="7" t="n">
        <v>13000</v>
      </c>
    </row>
    <row r="86" customFormat="false" ht="15" hidden="false" customHeight="false" outlineLevel="0" collapsed="false">
      <c r="A86" s="2" t="s">
        <v>190</v>
      </c>
      <c r="B86" s="13" t="n">
        <v>46267</v>
      </c>
      <c r="C86" s="2" t="s">
        <v>112</v>
      </c>
      <c r="D86" s="2" t="n">
        <v>1</v>
      </c>
      <c r="E86" s="14" t="s">
        <v>191</v>
      </c>
      <c r="F86" s="7" t="n">
        <v>10000</v>
      </c>
    </row>
    <row r="87" customFormat="false" ht="15" hidden="false" customHeight="false" outlineLevel="0" collapsed="false">
      <c r="A87" s="2" t="s">
        <v>192</v>
      </c>
      <c r="B87" s="13" t="n">
        <v>46267</v>
      </c>
      <c r="C87" s="2" t="s">
        <v>186</v>
      </c>
      <c r="D87" s="2" t="n">
        <v>2</v>
      </c>
      <c r="E87" s="14" t="s">
        <v>193</v>
      </c>
      <c r="F87" s="7" t="n">
        <v>7000</v>
      </c>
    </row>
    <row r="88" customFormat="false" ht="15" hidden="false" customHeight="false" outlineLevel="0" collapsed="false">
      <c r="A88" s="2" t="s">
        <v>192</v>
      </c>
      <c r="B88" s="13" t="n">
        <v>46267</v>
      </c>
      <c r="C88" s="2" t="s">
        <v>126</v>
      </c>
      <c r="D88" s="2" t="n">
        <v>1</v>
      </c>
      <c r="E88" s="14" t="s">
        <v>193</v>
      </c>
      <c r="F88" s="7" t="n">
        <v>3000</v>
      </c>
    </row>
    <row r="89" customFormat="false" ht="15" hidden="false" customHeight="false" outlineLevel="0" collapsed="false">
      <c r="A89" s="2" t="s">
        <v>194</v>
      </c>
      <c r="B89" s="13" t="n">
        <v>46267</v>
      </c>
      <c r="C89" s="2" t="s">
        <v>108</v>
      </c>
      <c r="D89" s="2" t="n">
        <v>1</v>
      </c>
      <c r="E89" s="14"/>
      <c r="F89" s="7" t="n">
        <v>20000</v>
      </c>
    </row>
    <row r="90" customFormat="false" ht="15" hidden="false" customHeight="false" outlineLevel="0" collapsed="false">
      <c r="A90" s="2" t="s">
        <v>194</v>
      </c>
      <c r="B90" s="13" t="n">
        <v>46267</v>
      </c>
      <c r="C90" s="2" t="s">
        <v>81</v>
      </c>
      <c r="D90" s="2" t="n">
        <v>2</v>
      </c>
      <c r="E90" s="14" t="s">
        <v>195</v>
      </c>
      <c r="F90" s="7" t="n">
        <v>15000</v>
      </c>
    </row>
    <row r="91" customFormat="false" ht="15" hidden="false" customHeight="false" outlineLevel="0" collapsed="false">
      <c r="A91" s="2" t="s">
        <v>194</v>
      </c>
      <c r="B91" s="13" t="n">
        <v>46267</v>
      </c>
      <c r="C91" s="2" t="s">
        <v>132</v>
      </c>
      <c r="D91" s="2" t="n">
        <v>1</v>
      </c>
      <c r="E91" s="14" t="s">
        <v>195</v>
      </c>
      <c r="F91" s="7" t="n">
        <v>15000</v>
      </c>
    </row>
    <row r="92" customFormat="false" ht="15" hidden="false" customHeight="false" outlineLevel="0" collapsed="false">
      <c r="A92" s="2" t="s">
        <v>196</v>
      </c>
      <c r="B92" s="13" t="n">
        <v>46267</v>
      </c>
      <c r="C92" s="2" t="s">
        <v>101</v>
      </c>
      <c r="D92" s="2" t="n">
        <v>1</v>
      </c>
      <c r="E92" s="14" t="s">
        <v>197</v>
      </c>
      <c r="F92" s="7" t="n">
        <v>18000</v>
      </c>
    </row>
    <row r="93" customFormat="false" ht="15" hidden="false" customHeight="false" outlineLevel="0" collapsed="false">
      <c r="A93" s="2" t="s">
        <v>198</v>
      </c>
      <c r="B93" s="13" t="n">
        <v>46267</v>
      </c>
      <c r="C93" s="2" t="s">
        <v>81</v>
      </c>
      <c r="D93" s="2" t="n">
        <v>1</v>
      </c>
      <c r="E93" s="14" t="s">
        <v>199</v>
      </c>
      <c r="F93" s="7" t="n">
        <v>15000</v>
      </c>
    </row>
    <row r="94" customFormat="false" ht="15" hidden="false" customHeight="false" outlineLevel="0" collapsed="false">
      <c r="A94" s="2" t="s">
        <v>198</v>
      </c>
      <c r="B94" s="13" t="n">
        <v>46267</v>
      </c>
      <c r="C94" s="2" t="s">
        <v>132</v>
      </c>
      <c r="D94" s="2" t="n">
        <v>2</v>
      </c>
      <c r="E94" s="14" t="s">
        <v>199</v>
      </c>
      <c r="F94" s="7" t="n">
        <v>15000</v>
      </c>
    </row>
    <row r="95" customFormat="false" ht="15" hidden="false" customHeight="false" outlineLevel="0" collapsed="false">
      <c r="A95" s="2" t="s">
        <v>200</v>
      </c>
      <c r="B95" s="13" t="n">
        <v>46267</v>
      </c>
      <c r="C95" s="2" t="s">
        <v>92</v>
      </c>
      <c r="D95" s="2" t="n">
        <v>1</v>
      </c>
      <c r="E95" s="14" t="s">
        <v>201</v>
      </c>
      <c r="F95" s="7" t="n">
        <v>4000</v>
      </c>
    </row>
    <row r="96" customFormat="false" ht="15" hidden="false" customHeight="false" outlineLevel="0" collapsed="false">
      <c r="A96" s="2" t="s">
        <v>200</v>
      </c>
      <c r="B96" s="13" t="n">
        <v>46267</v>
      </c>
      <c r="C96" s="2" t="s">
        <v>84</v>
      </c>
      <c r="D96" s="2" t="n">
        <v>3</v>
      </c>
      <c r="E96" s="14" t="s">
        <v>201</v>
      </c>
      <c r="F96" s="7" t="n">
        <v>5000</v>
      </c>
    </row>
    <row r="97" customFormat="false" ht="15" hidden="false" customHeight="false" outlineLevel="0" collapsed="false">
      <c r="A97" s="2" t="s">
        <v>200</v>
      </c>
      <c r="B97" s="13" t="n">
        <v>46267</v>
      </c>
      <c r="C97" s="2" t="s">
        <v>108</v>
      </c>
      <c r="D97" s="2" t="n">
        <v>1</v>
      </c>
      <c r="E97" s="14" t="s">
        <v>201</v>
      </c>
      <c r="F97" s="7" t="n">
        <v>20000</v>
      </c>
    </row>
    <row r="98" customFormat="false" ht="15" hidden="false" customHeight="false" outlineLevel="0" collapsed="false">
      <c r="A98" s="2" t="s">
        <v>202</v>
      </c>
      <c r="B98" s="13" t="n">
        <v>46267</v>
      </c>
      <c r="C98" s="2" t="s">
        <v>84</v>
      </c>
      <c r="D98" s="2" t="n">
        <v>1</v>
      </c>
      <c r="E98" s="14" t="s">
        <v>203</v>
      </c>
      <c r="F98" s="7" t="n">
        <v>5000</v>
      </c>
    </row>
    <row r="99" customFormat="false" ht="15" hidden="false" customHeight="false" outlineLevel="0" collapsed="false">
      <c r="A99" s="2" t="s">
        <v>202</v>
      </c>
      <c r="B99" s="13" t="n">
        <v>46267</v>
      </c>
      <c r="C99" s="2" t="s">
        <v>132</v>
      </c>
      <c r="D99" s="2" t="n">
        <v>3</v>
      </c>
      <c r="E99" s="14" t="s">
        <v>204</v>
      </c>
      <c r="F99" s="7" t="n">
        <v>15000</v>
      </c>
    </row>
    <row r="100" customFormat="false" ht="15" hidden="false" customHeight="false" outlineLevel="0" collapsed="false">
      <c r="A100" s="2" t="s">
        <v>205</v>
      </c>
      <c r="B100" s="13" t="n">
        <v>46267</v>
      </c>
      <c r="C100" s="2" t="s">
        <v>108</v>
      </c>
      <c r="D100" s="2" t="n">
        <v>1</v>
      </c>
      <c r="E100" s="14" t="s">
        <v>206</v>
      </c>
      <c r="F100" s="7" t="n">
        <v>20000</v>
      </c>
    </row>
    <row r="101" customFormat="false" ht="15" hidden="false" customHeight="false" outlineLevel="0" collapsed="false">
      <c r="A101" s="2" t="s">
        <v>207</v>
      </c>
      <c r="B101" s="13" t="n">
        <v>46267</v>
      </c>
      <c r="C101" s="2" t="s">
        <v>81</v>
      </c>
      <c r="D101" s="2" t="n">
        <v>1</v>
      </c>
      <c r="E101" s="14" t="s">
        <v>208</v>
      </c>
      <c r="F101" s="7" t="n">
        <v>15000</v>
      </c>
    </row>
    <row r="102" customFormat="false" ht="15" hidden="false" customHeight="false" outlineLevel="0" collapsed="false">
      <c r="A102" s="2" t="s">
        <v>207</v>
      </c>
      <c r="B102" s="13" t="n">
        <v>46267</v>
      </c>
      <c r="C102" s="2" t="s">
        <v>132</v>
      </c>
      <c r="D102" s="2" t="n">
        <v>1</v>
      </c>
      <c r="E102" s="14" t="s">
        <v>208</v>
      </c>
      <c r="F102" s="7" t="n">
        <v>15000</v>
      </c>
    </row>
    <row r="103" customFormat="false" ht="15" hidden="false" customHeight="false" outlineLevel="0" collapsed="false">
      <c r="A103" s="2" t="s">
        <v>209</v>
      </c>
      <c r="B103" s="13" t="n">
        <v>46267</v>
      </c>
      <c r="C103" s="2" t="s">
        <v>84</v>
      </c>
      <c r="D103" s="2" t="n">
        <v>1</v>
      </c>
      <c r="E103" s="14" t="s">
        <v>208</v>
      </c>
      <c r="F103" s="7" t="n">
        <v>5000</v>
      </c>
    </row>
    <row r="104" customFormat="false" ht="15" hidden="false" customHeight="false" outlineLevel="0" collapsed="false">
      <c r="A104" s="2" t="s">
        <v>209</v>
      </c>
      <c r="B104" s="13" t="n">
        <v>46267</v>
      </c>
      <c r="C104" s="2" t="s">
        <v>101</v>
      </c>
      <c r="D104" s="2" t="n">
        <v>2</v>
      </c>
      <c r="E104" s="14" t="s">
        <v>208</v>
      </c>
      <c r="F104" s="7" t="n">
        <v>18000</v>
      </c>
    </row>
    <row r="105" customFormat="false" ht="15" hidden="false" customHeight="false" outlineLevel="0" collapsed="false">
      <c r="A105" s="2" t="s">
        <v>209</v>
      </c>
      <c r="B105" s="13" t="n">
        <v>46267</v>
      </c>
      <c r="C105" s="2" t="s">
        <v>92</v>
      </c>
      <c r="D105" s="2" t="n">
        <v>1</v>
      </c>
      <c r="E105" s="14" t="s">
        <v>208</v>
      </c>
      <c r="F105" s="7" t="n">
        <v>4000</v>
      </c>
    </row>
    <row r="106" customFormat="false" ht="15" hidden="false" customHeight="false" outlineLevel="0" collapsed="false">
      <c r="A106" s="2" t="s">
        <v>210</v>
      </c>
      <c r="B106" s="13" t="n">
        <v>46267</v>
      </c>
      <c r="C106" s="2" t="s">
        <v>92</v>
      </c>
      <c r="D106" s="2" t="n">
        <v>1</v>
      </c>
      <c r="E106" s="14" t="s">
        <v>211</v>
      </c>
      <c r="F106" s="7" t="n">
        <v>4000</v>
      </c>
    </row>
    <row r="107" customFormat="false" ht="15" hidden="false" customHeight="false" outlineLevel="0" collapsed="false">
      <c r="A107" s="2" t="s">
        <v>210</v>
      </c>
      <c r="B107" s="13" t="n">
        <v>46267</v>
      </c>
      <c r="C107" s="2" t="s">
        <v>112</v>
      </c>
      <c r="D107" s="2" t="n">
        <v>1</v>
      </c>
      <c r="E107" s="14" t="s">
        <v>211</v>
      </c>
      <c r="F107" s="7" t="n">
        <v>10000</v>
      </c>
    </row>
    <row r="108" customFormat="false" ht="15" hidden="false" customHeight="false" outlineLevel="0" collapsed="false">
      <c r="A108" s="2" t="s">
        <v>212</v>
      </c>
      <c r="B108" s="13" t="n">
        <v>46267</v>
      </c>
      <c r="C108" s="2" t="s">
        <v>126</v>
      </c>
      <c r="D108" s="2" t="n">
        <v>1</v>
      </c>
      <c r="E108" s="14" t="s">
        <v>213</v>
      </c>
      <c r="F108" s="7" t="n">
        <v>3000</v>
      </c>
    </row>
    <row r="109" customFormat="false" ht="15" hidden="false" customHeight="false" outlineLevel="0" collapsed="false">
      <c r="A109" s="2" t="s">
        <v>214</v>
      </c>
      <c r="B109" s="13" t="n">
        <v>46267</v>
      </c>
      <c r="C109" s="2" t="s">
        <v>101</v>
      </c>
      <c r="D109" s="2" t="n">
        <v>1</v>
      </c>
      <c r="E109" s="14" t="s">
        <v>215</v>
      </c>
      <c r="F109" s="7" t="n">
        <v>18000</v>
      </c>
    </row>
    <row r="110" customFormat="false" ht="15" hidden="false" customHeight="false" outlineLevel="0" collapsed="false">
      <c r="A110" s="2" t="s">
        <v>216</v>
      </c>
      <c r="B110" s="13" t="n">
        <v>46267</v>
      </c>
      <c r="C110" s="2" t="s">
        <v>112</v>
      </c>
      <c r="D110" s="2" t="n">
        <v>1</v>
      </c>
      <c r="E110" s="14" t="s">
        <v>114</v>
      </c>
      <c r="F110" s="7" t="n">
        <v>10000</v>
      </c>
    </row>
    <row r="111" customFormat="false" ht="15" hidden="false" customHeight="false" outlineLevel="0" collapsed="false">
      <c r="A111" s="2" t="s">
        <v>217</v>
      </c>
      <c r="B111" s="13" t="n">
        <v>46267</v>
      </c>
      <c r="C111" s="2" t="s">
        <v>81</v>
      </c>
      <c r="D111" s="2" t="n">
        <v>1</v>
      </c>
      <c r="E111" s="14" t="s">
        <v>218</v>
      </c>
      <c r="F111" s="7" t="n">
        <v>15000</v>
      </c>
    </row>
    <row r="112" customFormat="false" ht="15" hidden="false" customHeight="false" outlineLevel="0" collapsed="false">
      <c r="A112" s="2" t="s">
        <v>219</v>
      </c>
      <c r="B112" s="13" t="n">
        <v>46267</v>
      </c>
      <c r="C112" s="2" t="s">
        <v>81</v>
      </c>
      <c r="D112" s="2" t="n">
        <v>1</v>
      </c>
      <c r="E112" s="14" t="s">
        <v>220</v>
      </c>
      <c r="F112" s="7" t="n">
        <v>15000</v>
      </c>
    </row>
    <row r="113" customFormat="false" ht="15" hidden="false" customHeight="false" outlineLevel="0" collapsed="false">
      <c r="A113" s="2" t="s">
        <v>221</v>
      </c>
      <c r="B113" s="13" t="n">
        <v>46267</v>
      </c>
      <c r="C113" s="2" t="s">
        <v>108</v>
      </c>
      <c r="D113" s="2" t="n">
        <v>1</v>
      </c>
      <c r="E113" s="14" t="s">
        <v>222</v>
      </c>
      <c r="F113" s="7" t="n">
        <v>20000</v>
      </c>
    </row>
    <row r="114" customFormat="false" ht="15" hidden="false" customHeight="false" outlineLevel="0" collapsed="false">
      <c r="A114" s="2" t="s">
        <v>221</v>
      </c>
      <c r="B114" s="13" t="n">
        <v>46267</v>
      </c>
      <c r="C114" s="2" t="s">
        <v>82</v>
      </c>
      <c r="D114" s="2" t="n">
        <v>2</v>
      </c>
      <c r="E114" s="14" t="s">
        <v>222</v>
      </c>
      <c r="F114" s="7" t="n">
        <v>13000</v>
      </c>
    </row>
    <row r="115" customFormat="false" ht="15" hidden="false" customHeight="false" outlineLevel="0" collapsed="false">
      <c r="A115" s="2" t="s">
        <v>223</v>
      </c>
      <c r="B115" s="13" t="n">
        <v>46267</v>
      </c>
      <c r="C115" s="2" t="s">
        <v>112</v>
      </c>
      <c r="D115" s="2" t="n">
        <v>1</v>
      </c>
      <c r="E115" s="14" t="s">
        <v>224</v>
      </c>
      <c r="F115" s="7" t="n">
        <v>10000</v>
      </c>
    </row>
    <row r="116" customFormat="false" ht="15" hidden="false" customHeight="false" outlineLevel="0" collapsed="false">
      <c r="A116" s="2" t="s">
        <v>225</v>
      </c>
      <c r="B116" s="13" t="n">
        <v>46267</v>
      </c>
      <c r="C116" s="2" t="s">
        <v>79</v>
      </c>
      <c r="D116" s="2" t="n">
        <v>2</v>
      </c>
      <c r="E116" s="14" t="s">
        <v>226</v>
      </c>
      <c r="F116" s="7" t="n">
        <v>16000</v>
      </c>
    </row>
    <row r="117" customFormat="false" ht="15" hidden="false" customHeight="false" outlineLevel="0" collapsed="false">
      <c r="A117" s="2" t="s">
        <v>225</v>
      </c>
      <c r="B117" s="13" t="n">
        <v>46267</v>
      </c>
      <c r="C117" s="2" t="s">
        <v>89</v>
      </c>
      <c r="D117" s="2" t="n">
        <v>1</v>
      </c>
      <c r="E117" s="14" t="s">
        <v>226</v>
      </c>
      <c r="F117" s="7" t="n">
        <v>14000</v>
      </c>
    </row>
    <row r="118" customFormat="false" ht="15" hidden="false" customHeight="false" outlineLevel="0" collapsed="false">
      <c r="A118" s="2" t="s">
        <v>227</v>
      </c>
      <c r="B118" s="13" t="n">
        <v>46267</v>
      </c>
      <c r="C118" s="2" t="s">
        <v>101</v>
      </c>
      <c r="D118" s="2" t="n">
        <v>1</v>
      </c>
      <c r="E118" s="14" t="s">
        <v>228</v>
      </c>
      <c r="F118" s="7" t="n">
        <v>18000</v>
      </c>
    </row>
    <row r="119" customFormat="false" ht="15" hidden="false" customHeight="false" outlineLevel="0" collapsed="false">
      <c r="A119" s="2" t="s">
        <v>229</v>
      </c>
      <c r="B119" s="13" t="n">
        <v>46267</v>
      </c>
      <c r="C119" s="2" t="s">
        <v>132</v>
      </c>
      <c r="D119" s="2" t="n">
        <v>1</v>
      </c>
      <c r="E119" s="14" t="s">
        <v>230</v>
      </c>
      <c r="F119" s="7" t="n">
        <v>15000</v>
      </c>
    </row>
    <row r="120" customFormat="false" ht="15" hidden="false" customHeight="false" outlineLevel="0" collapsed="false">
      <c r="A120" s="2" t="s">
        <v>231</v>
      </c>
      <c r="B120" s="13" t="n">
        <v>46267</v>
      </c>
      <c r="C120" s="2" t="s">
        <v>81</v>
      </c>
      <c r="D120" s="2" t="n">
        <v>1</v>
      </c>
      <c r="E120" s="14" t="s">
        <v>232</v>
      </c>
      <c r="F120" s="7" t="n">
        <v>15000</v>
      </c>
    </row>
    <row r="121" customFormat="false" ht="15" hidden="false" customHeight="false" outlineLevel="0" collapsed="false">
      <c r="A121" s="2" t="s">
        <v>233</v>
      </c>
      <c r="B121" s="13" t="n">
        <v>46267</v>
      </c>
      <c r="C121" s="2" t="s">
        <v>84</v>
      </c>
      <c r="D121" s="2" t="n">
        <v>2</v>
      </c>
      <c r="E121" s="14" t="s">
        <v>148</v>
      </c>
      <c r="F121" s="7" t="n">
        <v>5000</v>
      </c>
    </row>
    <row r="122" customFormat="false" ht="15" hidden="false" customHeight="false" outlineLevel="0" collapsed="false">
      <c r="A122" s="2" t="s">
        <v>233</v>
      </c>
      <c r="B122" s="13" t="n">
        <v>46267</v>
      </c>
      <c r="C122" s="2" t="s">
        <v>186</v>
      </c>
      <c r="D122" s="2" t="n">
        <v>2</v>
      </c>
      <c r="E122" s="14" t="s">
        <v>148</v>
      </c>
      <c r="F122" s="7" t="n">
        <v>7000</v>
      </c>
    </row>
    <row r="123" customFormat="false" ht="15" hidden="false" customHeight="false" outlineLevel="0" collapsed="false">
      <c r="A123" s="2" t="s">
        <v>233</v>
      </c>
      <c r="B123" s="13" t="n">
        <v>46267</v>
      </c>
      <c r="C123" s="2" t="s">
        <v>126</v>
      </c>
      <c r="D123" s="2" t="n">
        <v>1</v>
      </c>
      <c r="E123" s="14" t="s">
        <v>148</v>
      </c>
      <c r="F123" s="7" t="n">
        <v>3000</v>
      </c>
    </row>
    <row r="124" customFormat="false" ht="15" hidden="false" customHeight="false" outlineLevel="0" collapsed="false">
      <c r="A124" s="2" t="s">
        <v>234</v>
      </c>
      <c r="B124" s="13" t="n">
        <v>46267</v>
      </c>
      <c r="C124" s="2" t="s">
        <v>132</v>
      </c>
      <c r="D124" s="2" t="n">
        <v>1</v>
      </c>
      <c r="E124" s="14" t="s">
        <v>235</v>
      </c>
      <c r="F124" s="7" t="n">
        <v>15000</v>
      </c>
    </row>
    <row r="125" customFormat="false" ht="15" hidden="false" customHeight="false" outlineLevel="0" collapsed="false">
      <c r="A125" s="2" t="s">
        <v>236</v>
      </c>
      <c r="B125" s="13" t="n">
        <v>46267</v>
      </c>
      <c r="C125" s="2" t="s">
        <v>81</v>
      </c>
      <c r="D125" s="2" t="n">
        <v>1</v>
      </c>
      <c r="E125" s="14" t="s">
        <v>237</v>
      </c>
      <c r="F125" s="7" t="n">
        <v>15000</v>
      </c>
    </row>
    <row r="126" customFormat="false" ht="15" hidden="false" customHeight="false" outlineLevel="0" collapsed="false">
      <c r="A126" s="2" t="s">
        <v>238</v>
      </c>
      <c r="B126" s="13" t="n">
        <v>46267</v>
      </c>
      <c r="C126" s="2" t="s">
        <v>126</v>
      </c>
      <c r="D126" s="2" t="n">
        <v>1</v>
      </c>
      <c r="E126" s="14" t="s">
        <v>239</v>
      </c>
      <c r="F126" s="7" t="n">
        <v>3000</v>
      </c>
    </row>
    <row r="127" customFormat="false" ht="15" hidden="false" customHeight="false" outlineLevel="0" collapsed="false">
      <c r="A127" s="2" t="s">
        <v>240</v>
      </c>
      <c r="B127" s="13" t="n">
        <v>46267</v>
      </c>
      <c r="C127" s="2" t="s">
        <v>84</v>
      </c>
      <c r="D127" s="2" t="n">
        <v>1</v>
      </c>
      <c r="E127" s="14" t="s">
        <v>241</v>
      </c>
      <c r="F127" s="7" t="n">
        <v>5000</v>
      </c>
    </row>
    <row r="128" customFormat="false" ht="15" hidden="false" customHeight="false" outlineLevel="0" collapsed="false">
      <c r="A128" s="2" t="s">
        <v>240</v>
      </c>
      <c r="B128" s="13" t="n">
        <v>46267</v>
      </c>
      <c r="C128" s="2" t="s">
        <v>81</v>
      </c>
      <c r="D128" s="2" t="n">
        <v>1</v>
      </c>
      <c r="E128" s="14" t="s">
        <v>241</v>
      </c>
      <c r="F128" s="7" t="n">
        <v>15000</v>
      </c>
    </row>
    <row r="129" customFormat="false" ht="15" hidden="false" customHeight="false" outlineLevel="0" collapsed="false">
      <c r="A129" s="2" t="s">
        <v>242</v>
      </c>
      <c r="B129" s="13" t="n">
        <v>46267</v>
      </c>
      <c r="C129" s="2" t="s">
        <v>186</v>
      </c>
      <c r="D129" s="2" t="n">
        <v>1</v>
      </c>
      <c r="E129" s="14" t="s">
        <v>243</v>
      </c>
      <c r="F129" s="7" t="n">
        <v>7000</v>
      </c>
    </row>
    <row r="130" customFormat="false" ht="15" hidden="false" customHeight="false" outlineLevel="0" collapsed="false">
      <c r="A130" s="2" t="s">
        <v>242</v>
      </c>
      <c r="B130" s="13" t="n">
        <v>46267</v>
      </c>
      <c r="C130" s="2" t="s">
        <v>79</v>
      </c>
      <c r="D130" s="2" t="n">
        <v>2</v>
      </c>
      <c r="E130" s="14" t="s">
        <v>243</v>
      </c>
      <c r="F130" s="7" t="n">
        <v>16000</v>
      </c>
    </row>
    <row r="131" customFormat="false" ht="15" hidden="false" customHeight="false" outlineLevel="0" collapsed="false">
      <c r="A131" s="2" t="s">
        <v>242</v>
      </c>
      <c r="B131" s="13" t="n">
        <v>46267</v>
      </c>
      <c r="C131" s="2" t="s">
        <v>81</v>
      </c>
      <c r="D131" s="2" t="n">
        <v>1</v>
      </c>
      <c r="E131" s="14" t="s">
        <v>243</v>
      </c>
      <c r="F131" s="7" t="n">
        <v>15000</v>
      </c>
    </row>
    <row r="132" customFormat="false" ht="15" hidden="false" customHeight="false" outlineLevel="0" collapsed="false">
      <c r="A132" s="2" t="s">
        <v>244</v>
      </c>
      <c r="B132" s="13" t="n">
        <v>46267</v>
      </c>
      <c r="C132" s="2" t="s">
        <v>132</v>
      </c>
      <c r="D132" s="2" t="n">
        <v>1</v>
      </c>
      <c r="E132" s="14" t="s">
        <v>245</v>
      </c>
      <c r="F132" s="7" t="n">
        <v>15000</v>
      </c>
    </row>
    <row r="133" customFormat="false" ht="15" hidden="false" customHeight="false" outlineLevel="0" collapsed="false">
      <c r="A133" s="2" t="s">
        <v>244</v>
      </c>
      <c r="B133" s="13" t="n">
        <v>46267</v>
      </c>
      <c r="C133" s="2" t="s">
        <v>79</v>
      </c>
      <c r="D133" s="2" t="n">
        <v>2</v>
      </c>
      <c r="E133" s="14" t="s">
        <v>245</v>
      </c>
      <c r="F133" s="7" t="n">
        <v>16000</v>
      </c>
    </row>
    <row r="134" customFormat="false" ht="15" hidden="false" customHeight="false" outlineLevel="0" collapsed="false">
      <c r="A134" s="2" t="s">
        <v>246</v>
      </c>
      <c r="B134" s="13" t="n">
        <v>46267</v>
      </c>
      <c r="C134" s="2" t="s">
        <v>101</v>
      </c>
      <c r="D134" s="2" t="n">
        <v>2</v>
      </c>
      <c r="E134" s="14" t="s">
        <v>247</v>
      </c>
      <c r="F134" s="7" t="n">
        <v>18000</v>
      </c>
    </row>
    <row r="135" customFormat="false" ht="15" hidden="false" customHeight="false" outlineLevel="0" collapsed="false">
      <c r="A135" s="2" t="s">
        <v>248</v>
      </c>
      <c r="B135" s="13" t="n">
        <v>46267</v>
      </c>
      <c r="C135" s="2" t="s">
        <v>112</v>
      </c>
      <c r="D135" s="2" t="n">
        <v>1</v>
      </c>
      <c r="E135" s="14" t="s">
        <v>249</v>
      </c>
      <c r="F135" s="7" t="n">
        <v>10000</v>
      </c>
    </row>
    <row r="136" customFormat="false" ht="15" hidden="false" customHeight="false" outlineLevel="0" collapsed="false">
      <c r="A136" s="2" t="s">
        <v>250</v>
      </c>
      <c r="B136" s="13" t="n">
        <v>46267</v>
      </c>
      <c r="C136" s="2" t="s">
        <v>132</v>
      </c>
      <c r="D136" s="2" t="n">
        <v>1</v>
      </c>
      <c r="E136" s="14" t="s">
        <v>251</v>
      </c>
      <c r="F136" s="7" t="n">
        <v>15000</v>
      </c>
    </row>
    <row r="137" customFormat="false" ht="15" hidden="false" customHeight="false" outlineLevel="0" collapsed="false">
      <c r="A137" s="2" t="s">
        <v>252</v>
      </c>
      <c r="B137" s="13" t="n">
        <v>46267</v>
      </c>
      <c r="C137" s="2" t="s">
        <v>186</v>
      </c>
      <c r="D137" s="2" t="n">
        <v>1</v>
      </c>
      <c r="E137" s="14" t="s">
        <v>253</v>
      </c>
      <c r="F137" s="7" t="n">
        <v>7000</v>
      </c>
    </row>
    <row r="138" customFormat="false" ht="15" hidden="false" customHeight="false" outlineLevel="0" collapsed="false">
      <c r="A138" s="2" t="s">
        <v>252</v>
      </c>
      <c r="B138" s="13" t="n">
        <v>46267</v>
      </c>
      <c r="C138" s="2" t="s">
        <v>254</v>
      </c>
      <c r="D138" s="2" t="n">
        <v>2</v>
      </c>
      <c r="E138" s="14" t="s">
        <v>253</v>
      </c>
      <c r="F138" s="7" t="n">
        <v>14000</v>
      </c>
    </row>
    <row r="139" customFormat="false" ht="15" hidden="false" customHeight="false" outlineLevel="0" collapsed="false">
      <c r="A139" s="2" t="s">
        <v>255</v>
      </c>
      <c r="B139" s="13" t="n">
        <v>46267</v>
      </c>
      <c r="C139" s="2" t="s">
        <v>81</v>
      </c>
      <c r="D139" s="2" t="n">
        <v>1</v>
      </c>
      <c r="E139" s="14" t="s">
        <v>256</v>
      </c>
      <c r="F139" s="7" t="n">
        <v>15000</v>
      </c>
    </row>
    <row r="140" customFormat="false" ht="15" hidden="false" customHeight="false" outlineLevel="0" collapsed="false">
      <c r="A140" s="2" t="s">
        <v>257</v>
      </c>
      <c r="B140" s="13" t="n">
        <v>46267</v>
      </c>
      <c r="C140" s="2" t="s">
        <v>84</v>
      </c>
      <c r="D140" s="2" t="n">
        <v>1</v>
      </c>
      <c r="E140" s="14" t="s">
        <v>258</v>
      </c>
      <c r="F140" s="7" t="n">
        <v>5000</v>
      </c>
    </row>
    <row r="141" customFormat="false" ht="15" hidden="false" customHeight="false" outlineLevel="0" collapsed="false">
      <c r="A141" s="2" t="s">
        <v>259</v>
      </c>
      <c r="B141" s="13" t="n">
        <v>46267</v>
      </c>
      <c r="C141" s="2" t="s">
        <v>79</v>
      </c>
      <c r="D141" s="2" t="n">
        <v>1</v>
      </c>
      <c r="E141" s="14" t="s">
        <v>260</v>
      </c>
      <c r="F141" s="7" t="n">
        <v>16000</v>
      </c>
    </row>
    <row r="142" customFormat="false" ht="15" hidden="false" customHeight="false" outlineLevel="0" collapsed="false">
      <c r="A142" s="2" t="s">
        <v>261</v>
      </c>
      <c r="B142" s="13" t="n">
        <v>46267</v>
      </c>
      <c r="C142" s="2" t="s">
        <v>101</v>
      </c>
      <c r="D142" s="2" t="n">
        <v>1</v>
      </c>
      <c r="E142" s="14" t="s">
        <v>262</v>
      </c>
      <c r="F142" s="7" t="n">
        <v>18000</v>
      </c>
    </row>
    <row r="143" customFormat="false" ht="15" hidden="false" customHeight="false" outlineLevel="0" collapsed="false">
      <c r="A143" s="2" t="s">
        <v>263</v>
      </c>
      <c r="B143" s="13" t="n">
        <v>46268</v>
      </c>
      <c r="C143" s="2" t="s">
        <v>84</v>
      </c>
      <c r="D143" s="2" t="n">
        <v>1</v>
      </c>
      <c r="E143" s="14" t="s">
        <v>264</v>
      </c>
      <c r="F143" s="7" t="n">
        <v>5000</v>
      </c>
    </row>
    <row r="144" customFormat="false" ht="15" hidden="false" customHeight="false" outlineLevel="0" collapsed="false">
      <c r="A144" s="2" t="s">
        <v>263</v>
      </c>
      <c r="B144" s="13" t="n">
        <v>46268</v>
      </c>
      <c r="C144" s="2" t="s">
        <v>89</v>
      </c>
      <c r="D144" s="2" t="n">
        <v>1</v>
      </c>
      <c r="E144" s="14" t="s">
        <v>264</v>
      </c>
      <c r="F144" s="7" t="n">
        <v>14000</v>
      </c>
    </row>
    <row r="145" customFormat="false" ht="15" hidden="false" customHeight="false" outlineLevel="0" collapsed="false">
      <c r="A145" s="2" t="s">
        <v>265</v>
      </c>
      <c r="B145" s="13" t="n">
        <v>46268</v>
      </c>
      <c r="C145" s="2" t="s">
        <v>81</v>
      </c>
      <c r="D145" s="2" t="n">
        <v>1</v>
      </c>
      <c r="E145" s="14" t="s">
        <v>173</v>
      </c>
      <c r="F145" s="7" t="n">
        <v>15000</v>
      </c>
    </row>
    <row r="146" customFormat="false" ht="15" hidden="false" customHeight="false" outlineLevel="0" collapsed="false">
      <c r="A146" s="2" t="s">
        <v>265</v>
      </c>
      <c r="B146" s="13" t="n">
        <v>46268</v>
      </c>
      <c r="C146" s="2" t="s">
        <v>84</v>
      </c>
      <c r="D146" s="2" t="n">
        <v>1</v>
      </c>
      <c r="E146" s="14" t="s">
        <v>173</v>
      </c>
      <c r="F146" s="7" t="n">
        <v>5000</v>
      </c>
    </row>
    <row r="147" customFormat="false" ht="15" hidden="false" customHeight="false" outlineLevel="0" collapsed="false">
      <c r="A147" s="2" t="s">
        <v>265</v>
      </c>
      <c r="B147" s="13" t="n">
        <v>46268</v>
      </c>
      <c r="C147" s="2" t="s">
        <v>186</v>
      </c>
      <c r="D147" s="2" t="n">
        <v>1</v>
      </c>
      <c r="E147" s="14" t="s">
        <v>173</v>
      </c>
      <c r="F147" s="7" t="n">
        <v>7000</v>
      </c>
    </row>
    <row r="148" customFormat="false" ht="15" hidden="false" customHeight="false" outlineLevel="0" collapsed="false">
      <c r="A148" s="2" t="s">
        <v>266</v>
      </c>
      <c r="B148" s="13" t="n">
        <v>46268</v>
      </c>
      <c r="C148" s="2" t="s">
        <v>112</v>
      </c>
      <c r="D148" s="2" t="n">
        <v>1</v>
      </c>
      <c r="E148" s="14" t="s">
        <v>267</v>
      </c>
      <c r="F148" s="7" t="n">
        <v>10000</v>
      </c>
    </row>
    <row r="149" customFormat="false" ht="15" hidden="false" customHeight="false" outlineLevel="0" collapsed="false">
      <c r="A149" s="2" t="s">
        <v>268</v>
      </c>
      <c r="B149" s="13" t="n">
        <v>46268</v>
      </c>
      <c r="C149" s="2" t="s">
        <v>101</v>
      </c>
      <c r="D149" s="2" t="n">
        <v>1</v>
      </c>
      <c r="E149" s="14" t="s">
        <v>269</v>
      </c>
      <c r="F149" s="7" t="n">
        <v>18000</v>
      </c>
    </row>
    <row r="150" customFormat="false" ht="15" hidden="false" customHeight="false" outlineLevel="0" collapsed="false">
      <c r="A150" s="2" t="s">
        <v>268</v>
      </c>
      <c r="B150" s="13" t="n">
        <v>46268</v>
      </c>
      <c r="C150" s="2" t="s">
        <v>81</v>
      </c>
      <c r="D150" s="2" t="n">
        <v>1</v>
      </c>
      <c r="E150" s="14" t="s">
        <v>269</v>
      </c>
      <c r="F150" s="7" t="n">
        <v>15000</v>
      </c>
    </row>
    <row r="151" customFormat="false" ht="15" hidden="false" customHeight="false" outlineLevel="0" collapsed="false">
      <c r="A151" s="2" t="s">
        <v>270</v>
      </c>
      <c r="B151" s="13" t="n">
        <v>46268</v>
      </c>
      <c r="C151" s="2" t="s">
        <v>84</v>
      </c>
      <c r="D151" s="2" t="n">
        <v>2</v>
      </c>
      <c r="E151" s="14" t="s">
        <v>271</v>
      </c>
      <c r="F151" s="7" t="n">
        <v>5000</v>
      </c>
    </row>
    <row r="152" customFormat="false" ht="15" hidden="false" customHeight="false" outlineLevel="0" collapsed="false">
      <c r="A152" s="2" t="s">
        <v>272</v>
      </c>
      <c r="B152" s="13" t="n">
        <v>46268</v>
      </c>
      <c r="C152" s="2" t="s">
        <v>186</v>
      </c>
      <c r="D152" s="2" t="n">
        <v>1</v>
      </c>
      <c r="E152" s="14" t="s">
        <v>273</v>
      </c>
      <c r="F152" s="7" t="n">
        <v>7000</v>
      </c>
    </row>
    <row r="153" customFormat="false" ht="15" hidden="false" customHeight="false" outlineLevel="0" collapsed="false">
      <c r="A153" s="2" t="s">
        <v>272</v>
      </c>
      <c r="B153" s="13" t="n">
        <v>46268</v>
      </c>
      <c r="C153" s="2" t="s">
        <v>89</v>
      </c>
      <c r="D153" s="2" t="n">
        <v>2</v>
      </c>
      <c r="E153" s="14" t="s">
        <v>273</v>
      </c>
      <c r="F153" s="7" t="n">
        <v>14000</v>
      </c>
    </row>
    <row r="154" customFormat="false" ht="15" hidden="false" customHeight="false" outlineLevel="0" collapsed="false">
      <c r="A154" s="2" t="s">
        <v>274</v>
      </c>
      <c r="B154" s="13" t="n">
        <v>46268</v>
      </c>
      <c r="C154" s="2" t="s">
        <v>84</v>
      </c>
      <c r="D154" s="2" t="n">
        <v>1</v>
      </c>
      <c r="E154" s="14" t="s">
        <v>275</v>
      </c>
      <c r="F154" s="7" t="n">
        <v>5000</v>
      </c>
    </row>
    <row r="155" customFormat="false" ht="15" hidden="false" customHeight="false" outlineLevel="0" collapsed="false">
      <c r="A155" s="2" t="s">
        <v>276</v>
      </c>
      <c r="B155" s="13" t="n">
        <v>46268</v>
      </c>
      <c r="C155" s="2" t="s">
        <v>84</v>
      </c>
      <c r="D155" s="2" t="n">
        <v>1</v>
      </c>
      <c r="E155" s="14" t="s">
        <v>277</v>
      </c>
      <c r="F155" s="7" t="n">
        <v>5000</v>
      </c>
    </row>
    <row r="156" customFormat="false" ht="15" hidden="false" customHeight="false" outlineLevel="0" collapsed="false">
      <c r="A156" s="2" t="s">
        <v>276</v>
      </c>
      <c r="B156" s="13" t="n">
        <v>46268</v>
      </c>
      <c r="C156" s="2" t="s">
        <v>108</v>
      </c>
      <c r="D156" s="2" t="n">
        <v>2</v>
      </c>
      <c r="E156" s="14" t="s">
        <v>277</v>
      </c>
      <c r="F156" s="7" t="n">
        <v>20000</v>
      </c>
    </row>
    <row r="157" customFormat="false" ht="15" hidden="false" customHeight="false" outlineLevel="0" collapsed="false">
      <c r="A157" s="2" t="s">
        <v>278</v>
      </c>
      <c r="B157" s="13" t="n">
        <v>46268</v>
      </c>
      <c r="C157" s="2" t="s">
        <v>89</v>
      </c>
      <c r="D157" s="2" t="n">
        <v>1</v>
      </c>
      <c r="E157" s="14" t="s">
        <v>279</v>
      </c>
      <c r="F157" s="7" t="n">
        <v>14000</v>
      </c>
    </row>
    <row r="158" customFormat="false" ht="15" hidden="false" customHeight="false" outlineLevel="0" collapsed="false">
      <c r="A158" s="2" t="s">
        <v>278</v>
      </c>
      <c r="B158" s="13" t="n">
        <v>46268</v>
      </c>
      <c r="C158" s="2" t="s">
        <v>84</v>
      </c>
      <c r="D158" s="2" t="n">
        <v>1</v>
      </c>
      <c r="E158" s="14" t="s">
        <v>279</v>
      </c>
      <c r="F158" s="7" t="n">
        <v>5000</v>
      </c>
    </row>
    <row r="159" customFormat="false" ht="15" hidden="false" customHeight="false" outlineLevel="0" collapsed="false">
      <c r="A159" s="2" t="s">
        <v>280</v>
      </c>
      <c r="B159" s="13" t="n">
        <v>46268</v>
      </c>
      <c r="C159" s="2" t="s">
        <v>89</v>
      </c>
      <c r="D159" s="2" t="n">
        <v>3</v>
      </c>
      <c r="E159" s="14" t="s">
        <v>281</v>
      </c>
      <c r="F159" s="7" t="n">
        <v>14000</v>
      </c>
    </row>
    <row r="160" customFormat="false" ht="15" hidden="false" customHeight="false" outlineLevel="0" collapsed="false">
      <c r="A160" s="2" t="s">
        <v>280</v>
      </c>
      <c r="B160" s="13" t="n">
        <v>46268</v>
      </c>
      <c r="C160" s="2" t="s">
        <v>108</v>
      </c>
      <c r="D160" s="2" t="n">
        <v>1</v>
      </c>
      <c r="E160" s="14" t="s">
        <v>281</v>
      </c>
      <c r="F160" s="7" t="n">
        <v>20000</v>
      </c>
    </row>
    <row r="161" customFormat="false" ht="15" hidden="false" customHeight="false" outlineLevel="0" collapsed="false">
      <c r="A161" s="2" t="s">
        <v>280</v>
      </c>
      <c r="B161" s="13" t="n">
        <v>46268</v>
      </c>
      <c r="C161" s="2" t="s">
        <v>84</v>
      </c>
      <c r="D161" s="2" t="n">
        <v>3</v>
      </c>
      <c r="E161" s="14" t="s">
        <v>281</v>
      </c>
      <c r="F161" s="7" t="n">
        <v>5000</v>
      </c>
    </row>
    <row r="162" customFormat="false" ht="15" hidden="false" customHeight="false" outlineLevel="0" collapsed="false">
      <c r="A162" s="2" t="s">
        <v>282</v>
      </c>
      <c r="B162" s="13" t="n">
        <v>46268</v>
      </c>
      <c r="C162" s="2" t="s">
        <v>101</v>
      </c>
      <c r="D162" s="2" t="n">
        <v>1</v>
      </c>
      <c r="E162" s="14" t="s">
        <v>191</v>
      </c>
      <c r="F162" s="7" t="n">
        <v>18000</v>
      </c>
    </row>
    <row r="163" customFormat="false" ht="15" hidden="false" customHeight="false" outlineLevel="0" collapsed="false">
      <c r="A163" s="2" t="s">
        <v>282</v>
      </c>
      <c r="B163" s="13" t="n">
        <v>46268</v>
      </c>
      <c r="C163" s="2" t="s">
        <v>92</v>
      </c>
      <c r="D163" s="2" t="n">
        <v>1</v>
      </c>
      <c r="E163" s="14" t="s">
        <v>191</v>
      </c>
      <c r="F163" s="7" t="n">
        <v>4000</v>
      </c>
    </row>
    <row r="164" customFormat="false" ht="15" hidden="false" customHeight="false" outlineLevel="0" collapsed="false">
      <c r="A164" s="2" t="s">
        <v>282</v>
      </c>
      <c r="B164" s="13" t="n">
        <v>46268</v>
      </c>
      <c r="C164" s="2" t="s">
        <v>108</v>
      </c>
      <c r="D164" s="2" t="n">
        <v>1</v>
      </c>
      <c r="E164" s="14" t="s">
        <v>191</v>
      </c>
      <c r="F164" s="7" t="n">
        <v>20000</v>
      </c>
    </row>
    <row r="165" customFormat="false" ht="15" hidden="false" customHeight="false" outlineLevel="0" collapsed="false">
      <c r="A165" s="2" t="s">
        <v>283</v>
      </c>
      <c r="B165" s="13" t="n">
        <v>46268</v>
      </c>
      <c r="C165" s="2" t="s">
        <v>132</v>
      </c>
      <c r="D165" s="2" t="n">
        <v>2</v>
      </c>
      <c r="E165" s="14" t="s">
        <v>201</v>
      </c>
      <c r="F165" s="7" t="n">
        <v>15000</v>
      </c>
    </row>
    <row r="166" customFormat="false" ht="15" hidden="false" customHeight="false" outlineLevel="0" collapsed="false">
      <c r="A166" s="2" t="s">
        <v>283</v>
      </c>
      <c r="B166" s="13" t="n">
        <v>46268</v>
      </c>
      <c r="C166" s="2" t="s">
        <v>186</v>
      </c>
      <c r="D166" s="2" t="n">
        <v>1</v>
      </c>
      <c r="E166" s="14" t="s">
        <v>201</v>
      </c>
      <c r="F166" s="7" t="n">
        <v>7000</v>
      </c>
    </row>
    <row r="167" customFormat="false" ht="15" hidden="false" customHeight="false" outlineLevel="0" collapsed="false">
      <c r="A167" s="2" t="s">
        <v>283</v>
      </c>
      <c r="B167" s="13" t="n">
        <v>46268</v>
      </c>
      <c r="C167" s="2" t="s">
        <v>112</v>
      </c>
      <c r="D167" s="2" t="n">
        <v>2</v>
      </c>
      <c r="E167" s="14" t="s">
        <v>201</v>
      </c>
      <c r="F167" s="7" t="n">
        <v>10000</v>
      </c>
    </row>
    <row r="168" customFormat="false" ht="15" hidden="false" customHeight="false" outlineLevel="0" collapsed="false">
      <c r="A168" s="2" t="s">
        <v>284</v>
      </c>
      <c r="B168" s="13" t="n">
        <v>46268</v>
      </c>
      <c r="C168" s="2" t="s">
        <v>82</v>
      </c>
      <c r="D168" s="2" t="n">
        <v>1</v>
      </c>
      <c r="E168" s="14" t="s">
        <v>102</v>
      </c>
      <c r="F168" s="7" t="n">
        <v>13000</v>
      </c>
    </row>
    <row r="169" customFormat="false" ht="15" hidden="false" customHeight="false" outlineLevel="0" collapsed="false">
      <c r="A169" s="2" t="s">
        <v>284</v>
      </c>
      <c r="B169" s="13" t="n">
        <v>46268</v>
      </c>
      <c r="C169" s="2" t="s">
        <v>186</v>
      </c>
      <c r="D169" s="2" t="n">
        <v>1</v>
      </c>
      <c r="E169" s="14" t="s">
        <v>102</v>
      </c>
      <c r="F169" s="7" t="n">
        <v>7000</v>
      </c>
    </row>
    <row r="170" customFormat="false" ht="15" hidden="false" customHeight="false" outlineLevel="0" collapsed="false">
      <c r="A170" s="2" t="s">
        <v>285</v>
      </c>
      <c r="B170" s="13" t="n">
        <v>46268</v>
      </c>
      <c r="C170" s="2" t="s">
        <v>89</v>
      </c>
      <c r="D170" s="2" t="n">
        <v>1</v>
      </c>
      <c r="E170" s="14" t="s">
        <v>286</v>
      </c>
      <c r="F170" s="7" t="n">
        <v>14000</v>
      </c>
    </row>
    <row r="171" customFormat="false" ht="15" hidden="false" customHeight="false" outlineLevel="0" collapsed="false">
      <c r="A171" s="2" t="s">
        <v>285</v>
      </c>
      <c r="B171" s="13" t="n">
        <v>46268</v>
      </c>
      <c r="C171" s="2" t="s">
        <v>84</v>
      </c>
      <c r="D171" s="2" t="n">
        <v>1</v>
      </c>
      <c r="E171" s="14" t="s">
        <v>286</v>
      </c>
      <c r="F171" s="7" t="n">
        <v>5000</v>
      </c>
    </row>
    <row r="172" customFormat="false" ht="15" hidden="false" customHeight="false" outlineLevel="0" collapsed="false">
      <c r="A172" s="2" t="s">
        <v>287</v>
      </c>
      <c r="B172" s="13" t="n">
        <v>46268</v>
      </c>
      <c r="C172" s="2" t="s">
        <v>84</v>
      </c>
      <c r="D172" s="2" t="n">
        <v>2</v>
      </c>
      <c r="E172" s="14" t="s">
        <v>288</v>
      </c>
      <c r="F172" s="7" t="n">
        <v>5000</v>
      </c>
    </row>
    <row r="173" customFormat="false" ht="15" hidden="false" customHeight="false" outlineLevel="0" collapsed="false">
      <c r="A173" s="2" t="s">
        <v>289</v>
      </c>
      <c r="B173" s="13" t="n">
        <v>46268</v>
      </c>
      <c r="C173" s="2" t="s">
        <v>108</v>
      </c>
      <c r="D173" s="2" t="n">
        <v>1</v>
      </c>
      <c r="E173" s="14" t="s">
        <v>290</v>
      </c>
      <c r="F173" s="7" t="n">
        <v>20000</v>
      </c>
    </row>
    <row r="174" customFormat="false" ht="15" hidden="false" customHeight="false" outlineLevel="0" collapsed="false">
      <c r="A174" s="2" t="s">
        <v>289</v>
      </c>
      <c r="B174" s="13" t="n">
        <v>46268</v>
      </c>
      <c r="C174" s="2" t="s">
        <v>132</v>
      </c>
      <c r="D174" s="2" t="n">
        <v>1</v>
      </c>
      <c r="E174" s="14" t="s">
        <v>290</v>
      </c>
      <c r="F174" s="7" t="n">
        <v>15000</v>
      </c>
    </row>
    <row r="175" customFormat="false" ht="15" hidden="false" customHeight="false" outlineLevel="0" collapsed="false">
      <c r="A175" s="2" t="s">
        <v>291</v>
      </c>
      <c r="B175" s="13" t="n">
        <v>46268</v>
      </c>
      <c r="C175" s="2" t="s">
        <v>81</v>
      </c>
      <c r="D175" s="2" t="n">
        <v>1</v>
      </c>
      <c r="E175" s="14" t="s">
        <v>292</v>
      </c>
      <c r="F175" s="7" t="n">
        <v>15000</v>
      </c>
    </row>
    <row r="176" customFormat="false" ht="15" hidden="false" customHeight="false" outlineLevel="0" collapsed="false">
      <c r="A176" s="2" t="s">
        <v>293</v>
      </c>
      <c r="B176" s="13" t="n">
        <v>46268</v>
      </c>
      <c r="C176" s="2" t="s">
        <v>89</v>
      </c>
      <c r="D176" s="2" t="n">
        <v>2</v>
      </c>
      <c r="E176" s="14" t="s">
        <v>294</v>
      </c>
      <c r="F176" s="7" t="n">
        <v>14000</v>
      </c>
    </row>
    <row r="177" customFormat="false" ht="15" hidden="false" customHeight="false" outlineLevel="0" collapsed="false">
      <c r="A177" s="2" t="s">
        <v>295</v>
      </c>
      <c r="B177" s="13" t="n">
        <v>46268</v>
      </c>
      <c r="C177" s="2" t="s">
        <v>81</v>
      </c>
      <c r="D177" s="2" t="n">
        <v>3</v>
      </c>
      <c r="E177" s="14" t="s">
        <v>296</v>
      </c>
      <c r="F177" s="7" t="n">
        <v>15000</v>
      </c>
    </row>
    <row r="178" customFormat="false" ht="15" hidden="false" customHeight="false" outlineLevel="0" collapsed="false">
      <c r="A178" s="2" t="s">
        <v>295</v>
      </c>
      <c r="B178" s="13" t="n">
        <v>46268</v>
      </c>
      <c r="C178" s="2" t="s">
        <v>186</v>
      </c>
      <c r="D178" s="2" t="n">
        <v>2</v>
      </c>
      <c r="E178" s="14" t="s">
        <v>296</v>
      </c>
      <c r="F178" s="7" t="n">
        <v>7000</v>
      </c>
    </row>
    <row r="179" customFormat="false" ht="15" hidden="false" customHeight="false" outlineLevel="0" collapsed="false">
      <c r="A179" s="2" t="s">
        <v>295</v>
      </c>
      <c r="B179" s="13" t="n">
        <v>46268</v>
      </c>
      <c r="C179" s="2" t="s">
        <v>84</v>
      </c>
      <c r="D179" s="2" t="n">
        <v>2</v>
      </c>
      <c r="E179" s="14" t="s">
        <v>296</v>
      </c>
      <c r="F179" s="7" t="n">
        <v>5000</v>
      </c>
    </row>
    <row r="180" customFormat="false" ht="15" hidden="false" customHeight="false" outlineLevel="0" collapsed="false">
      <c r="A180" s="2" t="s">
        <v>297</v>
      </c>
      <c r="B180" s="13" t="n">
        <v>46268</v>
      </c>
      <c r="C180" s="2" t="s">
        <v>132</v>
      </c>
      <c r="D180" s="2" t="n">
        <v>1</v>
      </c>
      <c r="E180" s="14" t="s">
        <v>298</v>
      </c>
      <c r="F180" s="7" t="n">
        <v>15000</v>
      </c>
    </row>
    <row r="181" customFormat="false" ht="15" hidden="false" customHeight="false" outlineLevel="0" collapsed="false">
      <c r="A181" s="2" t="s">
        <v>297</v>
      </c>
      <c r="B181" s="13" t="n">
        <v>46268</v>
      </c>
      <c r="C181" s="2" t="s">
        <v>101</v>
      </c>
      <c r="D181" s="2" t="n">
        <v>1</v>
      </c>
      <c r="E181" s="14" t="s">
        <v>298</v>
      </c>
      <c r="F181" s="7" t="n">
        <v>18000</v>
      </c>
    </row>
    <row r="182" customFormat="false" ht="15" hidden="false" customHeight="false" outlineLevel="0" collapsed="false">
      <c r="A182" s="2" t="s">
        <v>297</v>
      </c>
      <c r="B182" s="13" t="n">
        <v>46268</v>
      </c>
      <c r="C182" s="2" t="s">
        <v>108</v>
      </c>
      <c r="D182" s="2" t="n">
        <v>1</v>
      </c>
      <c r="E182" s="14" t="s">
        <v>298</v>
      </c>
      <c r="F182" s="7" t="n">
        <v>20000</v>
      </c>
    </row>
    <row r="183" customFormat="false" ht="15" hidden="false" customHeight="false" outlineLevel="0" collapsed="false">
      <c r="A183" s="2" t="s">
        <v>299</v>
      </c>
      <c r="B183" s="13" t="n">
        <v>46268</v>
      </c>
      <c r="C183" s="2" t="s">
        <v>101</v>
      </c>
      <c r="D183" s="2" t="n">
        <v>1</v>
      </c>
      <c r="E183" s="14" t="s">
        <v>300</v>
      </c>
      <c r="F183" s="7"/>
    </row>
    <row r="184" customFormat="false" ht="15" hidden="false" customHeight="false" outlineLevel="0" collapsed="false">
      <c r="A184" s="2" t="s">
        <v>301</v>
      </c>
      <c r="B184" s="13" t="n">
        <v>46268</v>
      </c>
      <c r="C184" s="2" t="s">
        <v>101</v>
      </c>
      <c r="D184" s="2" t="n">
        <v>1</v>
      </c>
      <c r="E184" s="14" t="s">
        <v>302</v>
      </c>
      <c r="F184" s="7" t="n">
        <v>18000</v>
      </c>
    </row>
    <row r="185" customFormat="false" ht="15" hidden="false" customHeight="false" outlineLevel="0" collapsed="false">
      <c r="A185" s="2" t="s">
        <v>301</v>
      </c>
      <c r="B185" s="13" t="n">
        <v>46268</v>
      </c>
      <c r="C185" s="2" t="s">
        <v>81</v>
      </c>
      <c r="D185" s="2" t="n">
        <v>2</v>
      </c>
      <c r="E185" s="14" t="s">
        <v>302</v>
      </c>
      <c r="F185" s="7" t="n">
        <v>15000</v>
      </c>
    </row>
    <row r="186" customFormat="false" ht="15" hidden="false" customHeight="false" outlineLevel="0" collapsed="false">
      <c r="A186" s="2" t="s">
        <v>303</v>
      </c>
      <c r="B186" s="13" t="n">
        <v>46268</v>
      </c>
      <c r="C186" s="2" t="s">
        <v>126</v>
      </c>
      <c r="D186" s="2" t="n">
        <v>1</v>
      </c>
      <c r="E186" s="14" t="s">
        <v>304</v>
      </c>
      <c r="F186" s="7" t="n">
        <v>3000</v>
      </c>
    </row>
    <row r="187" customFormat="false" ht="15" hidden="false" customHeight="false" outlineLevel="0" collapsed="false">
      <c r="A187" s="2" t="s">
        <v>303</v>
      </c>
      <c r="B187" s="13" t="n">
        <v>46268</v>
      </c>
      <c r="C187" s="2" t="s">
        <v>101</v>
      </c>
      <c r="D187" s="2" t="n">
        <v>1</v>
      </c>
      <c r="E187" s="14" t="s">
        <v>304</v>
      </c>
      <c r="F187" s="7" t="n">
        <v>18000</v>
      </c>
    </row>
    <row r="188" customFormat="false" ht="15" hidden="false" customHeight="false" outlineLevel="0" collapsed="false">
      <c r="A188" s="2" t="s">
        <v>305</v>
      </c>
      <c r="B188" s="13" t="n">
        <v>46268</v>
      </c>
      <c r="C188" s="2" t="s">
        <v>81</v>
      </c>
      <c r="D188" s="2" t="n">
        <v>1</v>
      </c>
      <c r="E188" s="14" t="s">
        <v>306</v>
      </c>
      <c r="F188" s="7" t="n">
        <v>15000</v>
      </c>
    </row>
    <row r="189" customFormat="false" ht="15" hidden="false" customHeight="false" outlineLevel="0" collapsed="false">
      <c r="A189" s="2" t="s">
        <v>305</v>
      </c>
      <c r="B189" s="13" t="n">
        <v>46268</v>
      </c>
      <c r="C189" s="2" t="s">
        <v>84</v>
      </c>
      <c r="D189" s="2" t="n">
        <v>1</v>
      </c>
      <c r="E189" s="14" t="s">
        <v>306</v>
      </c>
      <c r="F189" s="7" t="n">
        <v>5000</v>
      </c>
    </row>
    <row r="190" customFormat="false" ht="15" hidden="false" customHeight="false" outlineLevel="0" collapsed="false">
      <c r="A190" s="2" t="s">
        <v>305</v>
      </c>
      <c r="B190" s="13" t="n">
        <v>46268</v>
      </c>
      <c r="C190" s="2" t="s">
        <v>89</v>
      </c>
      <c r="D190" s="2" t="n">
        <v>2</v>
      </c>
      <c r="E190" s="14" t="s">
        <v>306</v>
      </c>
      <c r="F190" s="7" t="n">
        <v>14000</v>
      </c>
    </row>
    <row r="191" customFormat="false" ht="15" hidden="false" customHeight="false" outlineLevel="0" collapsed="false">
      <c r="A191" s="2" t="s">
        <v>307</v>
      </c>
      <c r="B191" s="13" t="n">
        <v>46268</v>
      </c>
      <c r="C191" s="2" t="s">
        <v>101</v>
      </c>
      <c r="D191" s="2" t="n">
        <v>1</v>
      </c>
      <c r="E191" s="14" t="s">
        <v>308</v>
      </c>
      <c r="F191" s="7"/>
    </row>
    <row r="192" customFormat="false" ht="15" hidden="false" customHeight="false" outlineLevel="0" collapsed="false">
      <c r="A192" s="2" t="s">
        <v>307</v>
      </c>
      <c r="B192" s="13" t="n">
        <v>46268</v>
      </c>
      <c r="C192" s="2" t="s">
        <v>186</v>
      </c>
      <c r="D192" s="2" t="n">
        <v>1</v>
      </c>
      <c r="E192" s="14" t="s">
        <v>308</v>
      </c>
      <c r="F192" s="7" t="n">
        <v>7000</v>
      </c>
    </row>
    <row r="193" customFormat="false" ht="15" hidden="false" customHeight="false" outlineLevel="0" collapsed="false">
      <c r="A193" s="2" t="s">
        <v>309</v>
      </c>
      <c r="B193" s="13" t="n">
        <v>46268</v>
      </c>
      <c r="C193" s="2" t="s">
        <v>186</v>
      </c>
      <c r="D193" s="2" t="n">
        <v>2</v>
      </c>
      <c r="E193" s="14" t="s">
        <v>308</v>
      </c>
      <c r="F193" s="7" t="n">
        <v>7000</v>
      </c>
    </row>
    <row r="194" customFormat="false" ht="15" hidden="false" customHeight="false" outlineLevel="0" collapsed="false">
      <c r="A194" s="2" t="s">
        <v>309</v>
      </c>
      <c r="B194" s="13" t="n">
        <v>46268</v>
      </c>
      <c r="C194" s="2" t="s">
        <v>84</v>
      </c>
      <c r="D194" s="2" t="n">
        <v>1</v>
      </c>
      <c r="E194" s="14" t="s">
        <v>308</v>
      </c>
      <c r="F194" s="7" t="n">
        <v>5000</v>
      </c>
    </row>
    <row r="195" customFormat="false" ht="15" hidden="false" customHeight="false" outlineLevel="0" collapsed="false">
      <c r="A195" s="2" t="s">
        <v>309</v>
      </c>
      <c r="B195" s="13" t="n">
        <v>46268</v>
      </c>
      <c r="C195" s="2" t="s">
        <v>101</v>
      </c>
      <c r="D195" s="2" t="n">
        <v>1</v>
      </c>
      <c r="E195" s="14" t="s">
        <v>308</v>
      </c>
      <c r="F195" s="7" t="n">
        <v>18000</v>
      </c>
    </row>
    <row r="196" customFormat="false" ht="15" hidden="false" customHeight="false" outlineLevel="0" collapsed="false">
      <c r="A196" s="2" t="s">
        <v>310</v>
      </c>
      <c r="B196" s="13" t="n">
        <v>46268</v>
      </c>
      <c r="C196" s="2" t="s">
        <v>186</v>
      </c>
      <c r="D196" s="2" t="n">
        <v>1</v>
      </c>
      <c r="E196" s="14" t="s">
        <v>311</v>
      </c>
      <c r="F196" s="7" t="n">
        <v>7000</v>
      </c>
    </row>
    <row r="197" customFormat="false" ht="15" hidden="false" customHeight="false" outlineLevel="0" collapsed="false">
      <c r="A197" s="2" t="s">
        <v>312</v>
      </c>
      <c r="B197" s="13" t="n">
        <v>46268</v>
      </c>
      <c r="C197" s="2" t="s">
        <v>81</v>
      </c>
      <c r="D197" s="2" t="n">
        <v>1</v>
      </c>
      <c r="E197" s="14" t="s">
        <v>313</v>
      </c>
      <c r="F197" s="7" t="n">
        <v>15000</v>
      </c>
    </row>
    <row r="198" customFormat="false" ht="15" hidden="false" customHeight="false" outlineLevel="0" collapsed="false">
      <c r="A198" s="2" t="s">
        <v>312</v>
      </c>
      <c r="B198" s="13" t="n">
        <v>46268</v>
      </c>
      <c r="C198" s="2" t="s">
        <v>101</v>
      </c>
      <c r="D198" s="2" t="n">
        <v>1</v>
      </c>
      <c r="E198" s="14" t="s">
        <v>314</v>
      </c>
      <c r="F198" s="7" t="n">
        <v>18000</v>
      </c>
    </row>
    <row r="199" customFormat="false" ht="15" hidden="false" customHeight="false" outlineLevel="0" collapsed="false">
      <c r="A199" s="2" t="s">
        <v>315</v>
      </c>
      <c r="B199" s="13" t="n">
        <v>46268</v>
      </c>
      <c r="C199" s="2" t="s">
        <v>81</v>
      </c>
      <c r="D199" s="2" t="n">
        <v>1</v>
      </c>
      <c r="E199" s="14" t="s">
        <v>316</v>
      </c>
      <c r="F199" s="7" t="n">
        <v>15000</v>
      </c>
    </row>
    <row r="200" customFormat="false" ht="15" hidden="false" customHeight="false" outlineLevel="0" collapsed="false">
      <c r="A200" s="2" t="s">
        <v>317</v>
      </c>
      <c r="B200" s="13" t="n">
        <v>46268</v>
      </c>
      <c r="C200" s="2" t="s">
        <v>101</v>
      </c>
      <c r="D200" s="2" t="n">
        <v>1</v>
      </c>
      <c r="E200" s="14" t="s">
        <v>318</v>
      </c>
      <c r="F200" s="7" t="n">
        <v>18000</v>
      </c>
    </row>
    <row r="201" customFormat="false" ht="15" hidden="false" customHeight="false" outlineLevel="0" collapsed="false">
      <c r="A201" s="2" t="s">
        <v>319</v>
      </c>
      <c r="B201" s="13" t="n">
        <v>46268</v>
      </c>
      <c r="C201" s="2" t="s">
        <v>81</v>
      </c>
      <c r="D201" s="2" t="n">
        <v>1</v>
      </c>
      <c r="E201" s="14" t="s">
        <v>239</v>
      </c>
      <c r="F201" s="7" t="n">
        <v>15000</v>
      </c>
    </row>
    <row r="202" customFormat="false" ht="15" hidden="false" customHeight="false" outlineLevel="0" collapsed="false">
      <c r="A202" s="2" t="s">
        <v>320</v>
      </c>
      <c r="B202" s="13" t="n">
        <v>46268</v>
      </c>
      <c r="C202" s="2" t="s">
        <v>108</v>
      </c>
      <c r="D202" s="2" t="n">
        <v>1</v>
      </c>
      <c r="E202" s="14" t="s">
        <v>321</v>
      </c>
      <c r="F202" s="7" t="n">
        <v>20000</v>
      </c>
    </row>
    <row r="203" customFormat="false" ht="15" hidden="false" customHeight="false" outlineLevel="0" collapsed="false">
      <c r="A203" s="2" t="s">
        <v>322</v>
      </c>
      <c r="B203" s="13" t="n">
        <v>46268</v>
      </c>
      <c r="C203" s="2" t="s">
        <v>79</v>
      </c>
      <c r="D203" s="2" t="n">
        <v>1</v>
      </c>
      <c r="E203" s="14" t="s">
        <v>323</v>
      </c>
      <c r="F203" s="7" t="n">
        <v>16000</v>
      </c>
    </row>
    <row r="204" customFormat="false" ht="15" hidden="false" customHeight="false" outlineLevel="0" collapsed="false">
      <c r="A204" s="2" t="s">
        <v>322</v>
      </c>
      <c r="B204" s="13" t="n">
        <v>46268</v>
      </c>
      <c r="C204" s="2" t="s">
        <v>101</v>
      </c>
      <c r="D204" s="2" t="n">
        <v>1</v>
      </c>
      <c r="E204" s="14" t="s">
        <v>323</v>
      </c>
      <c r="F204" s="7" t="n">
        <v>18000</v>
      </c>
    </row>
    <row r="205" customFormat="false" ht="15" hidden="false" customHeight="false" outlineLevel="0" collapsed="false">
      <c r="A205" s="2" t="s">
        <v>324</v>
      </c>
      <c r="B205" s="13" t="n">
        <v>46268</v>
      </c>
      <c r="C205" s="2" t="s">
        <v>84</v>
      </c>
      <c r="D205" s="2" t="n">
        <v>2</v>
      </c>
      <c r="E205" s="14" t="s">
        <v>325</v>
      </c>
      <c r="F205" s="7" t="n">
        <v>5000</v>
      </c>
    </row>
    <row r="206" customFormat="false" ht="15" hidden="false" customHeight="false" outlineLevel="0" collapsed="false">
      <c r="A206" s="2" t="s">
        <v>326</v>
      </c>
      <c r="B206" s="13" t="n">
        <v>46268</v>
      </c>
      <c r="C206" s="2" t="s">
        <v>126</v>
      </c>
      <c r="D206" s="2" t="n">
        <v>1</v>
      </c>
      <c r="E206" s="14" t="s">
        <v>325</v>
      </c>
      <c r="F206" s="7" t="n">
        <v>3000</v>
      </c>
    </row>
    <row r="207" customFormat="false" ht="15" hidden="false" customHeight="false" outlineLevel="0" collapsed="false">
      <c r="A207" s="2" t="s">
        <v>327</v>
      </c>
      <c r="B207" s="13" t="n">
        <v>46268</v>
      </c>
      <c r="C207" s="2" t="s">
        <v>101</v>
      </c>
      <c r="D207" s="2" t="n">
        <v>1</v>
      </c>
      <c r="E207" s="14" t="s">
        <v>328</v>
      </c>
      <c r="F207" s="7" t="n">
        <v>18000</v>
      </c>
    </row>
    <row r="208" customFormat="false" ht="15" hidden="false" customHeight="false" outlineLevel="0" collapsed="false">
      <c r="A208" s="2" t="s">
        <v>327</v>
      </c>
      <c r="B208" s="13" t="n">
        <v>46268</v>
      </c>
      <c r="C208" s="2" t="s">
        <v>89</v>
      </c>
      <c r="D208" s="2" t="n">
        <v>1</v>
      </c>
      <c r="E208" s="14" t="s">
        <v>328</v>
      </c>
      <c r="F208" s="7" t="n">
        <v>14000</v>
      </c>
    </row>
    <row r="209" customFormat="false" ht="15" hidden="false" customHeight="false" outlineLevel="0" collapsed="false">
      <c r="A209" s="2" t="s">
        <v>327</v>
      </c>
      <c r="B209" s="13" t="n">
        <v>46268</v>
      </c>
      <c r="C209" s="2" t="s">
        <v>82</v>
      </c>
      <c r="D209" s="2" t="n">
        <v>1</v>
      </c>
      <c r="E209" s="14" t="s">
        <v>328</v>
      </c>
      <c r="F209" s="7" t="n">
        <v>13000</v>
      </c>
    </row>
    <row r="210" customFormat="false" ht="15" hidden="false" customHeight="false" outlineLevel="0" collapsed="false">
      <c r="A210" s="2" t="s">
        <v>329</v>
      </c>
      <c r="B210" s="13" t="n">
        <v>46268</v>
      </c>
      <c r="C210" s="2" t="s">
        <v>81</v>
      </c>
      <c r="D210" s="2" t="n">
        <v>2</v>
      </c>
      <c r="E210" s="14" t="s">
        <v>162</v>
      </c>
      <c r="F210" s="7" t="n">
        <v>15000</v>
      </c>
    </row>
    <row r="211" customFormat="false" ht="15" hidden="false" customHeight="false" outlineLevel="0" collapsed="false">
      <c r="A211" s="2" t="s">
        <v>329</v>
      </c>
      <c r="B211" s="13" t="n">
        <v>46268</v>
      </c>
      <c r="C211" s="2" t="s">
        <v>84</v>
      </c>
      <c r="D211" s="2" t="n">
        <v>2</v>
      </c>
      <c r="E211" s="14" t="s">
        <v>162</v>
      </c>
      <c r="F211" s="7" t="n">
        <v>5000</v>
      </c>
    </row>
    <row r="212" customFormat="false" ht="15" hidden="false" customHeight="false" outlineLevel="0" collapsed="false">
      <c r="A212" s="2" t="s">
        <v>329</v>
      </c>
      <c r="B212" s="13" t="n">
        <v>46268</v>
      </c>
      <c r="C212" s="2" t="s">
        <v>132</v>
      </c>
      <c r="D212" s="2" t="n">
        <v>1</v>
      </c>
      <c r="E212" s="14" t="s">
        <v>162</v>
      </c>
      <c r="F212" s="7" t="n">
        <v>15000</v>
      </c>
    </row>
    <row r="213" customFormat="false" ht="15" hidden="false" customHeight="false" outlineLevel="0" collapsed="false">
      <c r="A213" s="2" t="s">
        <v>330</v>
      </c>
      <c r="B213" s="13" t="n">
        <v>46268</v>
      </c>
      <c r="C213" s="2" t="s">
        <v>112</v>
      </c>
      <c r="D213" s="2" t="n">
        <v>1</v>
      </c>
      <c r="E213" s="14" t="s">
        <v>331</v>
      </c>
      <c r="F213" s="7" t="n">
        <v>10000</v>
      </c>
    </row>
    <row r="214" customFormat="false" ht="15" hidden="false" customHeight="false" outlineLevel="0" collapsed="false">
      <c r="A214" s="2" t="s">
        <v>330</v>
      </c>
      <c r="B214" s="13" t="n">
        <v>46268</v>
      </c>
      <c r="C214" s="2" t="s">
        <v>81</v>
      </c>
      <c r="D214" s="2" t="n">
        <v>1</v>
      </c>
      <c r="E214" s="14" t="s">
        <v>331</v>
      </c>
      <c r="F214" s="7" t="n">
        <v>15000</v>
      </c>
    </row>
    <row r="215" customFormat="false" ht="15" hidden="false" customHeight="false" outlineLevel="0" collapsed="false">
      <c r="A215" s="2" t="s">
        <v>332</v>
      </c>
      <c r="B215" s="13" t="n">
        <v>46268</v>
      </c>
      <c r="C215" s="2" t="s">
        <v>186</v>
      </c>
      <c r="D215" s="2" t="n">
        <v>1</v>
      </c>
      <c r="E215" s="14" t="s">
        <v>333</v>
      </c>
      <c r="F215" s="7" t="n">
        <v>7000</v>
      </c>
    </row>
    <row r="216" customFormat="false" ht="15" hidden="false" customHeight="false" outlineLevel="0" collapsed="false">
      <c r="A216" s="2" t="s">
        <v>332</v>
      </c>
      <c r="B216" s="13" t="n">
        <v>46268</v>
      </c>
      <c r="C216" s="2" t="s">
        <v>84</v>
      </c>
      <c r="D216" s="2" t="n">
        <v>2</v>
      </c>
      <c r="E216" s="14" t="s">
        <v>333</v>
      </c>
      <c r="F216" s="7" t="n">
        <v>5000</v>
      </c>
    </row>
    <row r="217" customFormat="false" ht="15" hidden="false" customHeight="false" outlineLevel="0" collapsed="false">
      <c r="A217" s="2" t="s">
        <v>334</v>
      </c>
      <c r="B217" s="13" t="n">
        <v>46268</v>
      </c>
      <c r="C217" s="2" t="s">
        <v>108</v>
      </c>
      <c r="D217" s="2" t="n">
        <v>1</v>
      </c>
      <c r="E217" s="14" t="s">
        <v>335</v>
      </c>
      <c r="F217" s="7" t="n">
        <v>20000</v>
      </c>
    </row>
    <row r="218" customFormat="false" ht="15" hidden="false" customHeight="false" outlineLevel="0" collapsed="false">
      <c r="A218" s="2" t="s">
        <v>336</v>
      </c>
      <c r="B218" s="13" t="n">
        <v>46268</v>
      </c>
      <c r="C218" s="2" t="s">
        <v>81</v>
      </c>
      <c r="D218" s="2" t="n">
        <v>1</v>
      </c>
      <c r="E218" s="14" t="s">
        <v>337</v>
      </c>
      <c r="F218" s="7" t="n">
        <v>15000</v>
      </c>
    </row>
    <row r="219" customFormat="false" ht="15" hidden="false" customHeight="false" outlineLevel="0" collapsed="false">
      <c r="A219" s="2" t="s">
        <v>338</v>
      </c>
      <c r="B219" s="13" t="n">
        <v>46268</v>
      </c>
      <c r="C219" s="2" t="s">
        <v>126</v>
      </c>
      <c r="D219" s="2" t="n">
        <v>1</v>
      </c>
      <c r="E219" s="14" t="s">
        <v>339</v>
      </c>
      <c r="F219" s="7" t="n">
        <v>3000</v>
      </c>
    </row>
    <row r="220" customFormat="false" ht="15" hidden="false" customHeight="false" outlineLevel="0" collapsed="false">
      <c r="A220" s="2" t="s">
        <v>340</v>
      </c>
      <c r="B220" s="13" t="n">
        <v>46269</v>
      </c>
      <c r="C220" s="2" t="s">
        <v>89</v>
      </c>
      <c r="D220" s="2" t="n">
        <v>1</v>
      </c>
      <c r="E220" s="14" t="s">
        <v>341</v>
      </c>
      <c r="F220" s="7" t="n">
        <v>14000</v>
      </c>
    </row>
    <row r="221" customFormat="false" ht="15" hidden="false" customHeight="false" outlineLevel="0" collapsed="false">
      <c r="A221" s="2" t="s">
        <v>340</v>
      </c>
      <c r="B221" s="13" t="n">
        <v>46269</v>
      </c>
      <c r="C221" s="2" t="s">
        <v>101</v>
      </c>
      <c r="D221" s="2" t="n">
        <v>1</v>
      </c>
      <c r="E221" s="14" t="s">
        <v>341</v>
      </c>
      <c r="F221" s="7" t="n">
        <v>18000</v>
      </c>
    </row>
    <row r="222" customFormat="false" ht="15" hidden="false" customHeight="false" outlineLevel="0" collapsed="false">
      <c r="A222" s="2" t="s">
        <v>342</v>
      </c>
      <c r="B222" s="13" t="n">
        <v>46269</v>
      </c>
      <c r="C222" s="2" t="s">
        <v>343</v>
      </c>
      <c r="D222" s="2" t="n">
        <v>1</v>
      </c>
      <c r="E222" s="14" t="s">
        <v>344</v>
      </c>
      <c r="F222" s="7" t="n">
        <v>16000</v>
      </c>
    </row>
    <row r="223" customFormat="false" ht="15" hidden="false" customHeight="false" outlineLevel="0" collapsed="false">
      <c r="A223" s="2" t="s">
        <v>345</v>
      </c>
      <c r="B223" s="13" t="n">
        <v>46269</v>
      </c>
      <c r="C223" s="2" t="s">
        <v>81</v>
      </c>
      <c r="D223" s="2" t="n">
        <v>1</v>
      </c>
      <c r="E223" s="14" t="s">
        <v>346</v>
      </c>
      <c r="F223" s="7" t="n">
        <v>15000</v>
      </c>
    </row>
    <row r="224" customFormat="false" ht="15" hidden="false" customHeight="false" outlineLevel="0" collapsed="false">
      <c r="A224" s="2" t="s">
        <v>347</v>
      </c>
      <c r="B224" s="13" t="n">
        <v>46269</v>
      </c>
      <c r="C224" s="2" t="s">
        <v>126</v>
      </c>
      <c r="D224" s="2" t="n">
        <v>1</v>
      </c>
      <c r="E224" s="14" t="s">
        <v>348</v>
      </c>
      <c r="F224" s="7" t="n">
        <v>3000</v>
      </c>
    </row>
    <row r="225" customFormat="false" ht="15" hidden="false" customHeight="false" outlineLevel="0" collapsed="false">
      <c r="A225" s="2" t="s">
        <v>349</v>
      </c>
      <c r="B225" s="13" t="n">
        <v>46269</v>
      </c>
      <c r="C225" s="2" t="s">
        <v>82</v>
      </c>
      <c r="D225" s="2" t="n">
        <v>1</v>
      </c>
      <c r="E225" s="14" t="s">
        <v>350</v>
      </c>
      <c r="F225" s="7" t="n">
        <v>13000</v>
      </c>
    </row>
    <row r="226" customFormat="false" ht="15" hidden="false" customHeight="false" outlineLevel="0" collapsed="false">
      <c r="A226" s="2" t="s">
        <v>349</v>
      </c>
      <c r="B226" s="13" t="n">
        <v>46269</v>
      </c>
      <c r="C226" s="2" t="s">
        <v>112</v>
      </c>
      <c r="D226" s="2" t="n">
        <v>1</v>
      </c>
      <c r="E226" s="14" t="s">
        <v>350</v>
      </c>
      <c r="F226" s="7" t="n">
        <v>10000</v>
      </c>
    </row>
    <row r="227" customFormat="false" ht="15" hidden="false" customHeight="false" outlineLevel="0" collapsed="false">
      <c r="A227" s="2" t="s">
        <v>351</v>
      </c>
      <c r="B227" s="13" t="n">
        <v>46269</v>
      </c>
      <c r="C227" s="2" t="s">
        <v>79</v>
      </c>
      <c r="D227" s="2" t="n">
        <v>1</v>
      </c>
      <c r="E227" s="14" t="s">
        <v>352</v>
      </c>
      <c r="F227" s="7" t="n">
        <v>16000</v>
      </c>
    </row>
    <row r="228" customFormat="false" ht="15" hidden="false" customHeight="false" outlineLevel="0" collapsed="false">
      <c r="A228" s="2" t="s">
        <v>351</v>
      </c>
      <c r="B228" s="13" t="n">
        <v>46269</v>
      </c>
      <c r="C228" s="2" t="s">
        <v>84</v>
      </c>
      <c r="D228" s="2" t="n">
        <v>1</v>
      </c>
      <c r="E228" s="14" t="s">
        <v>352</v>
      </c>
      <c r="F228" s="7" t="n">
        <v>5000</v>
      </c>
    </row>
    <row r="229" customFormat="false" ht="15" hidden="false" customHeight="false" outlineLevel="0" collapsed="false">
      <c r="A229" s="2" t="s">
        <v>353</v>
      </c>
      <c r="B229" s="13" t="n">
        <v>46269</v>
      </c>
      <c r="C229" s="2" t="s">
        <v>79</v>
      </c>
      <c r="D229" s="2" t="n">
        <v>1</v>
      </c>
      <c r="E229" s="14" t="s">
        <v>354</v>
      </c>
      <c r="F229" s="7" t="n">
        <v>16000</v>
      </c>
    </row>
    <row r="230" customFormat="false" ht="15" hidden="false" customHeight="false" outlineLevel="0" collapsed="false">
      <c r="A230" s="2" t="s">
        <v>353</v>
      </c>
      <c r="B230" s="13" t="n">
        <v>46269</v>
      </c>
      <c r="C230" s="2" t="s">
        <v>101</v>
      </c>
      <c r="D230" s="2" t="n">
        <v>2</v>
      </c>
      <c r="E230" s="14" t="s">
        <v>354</v>
      </c>
      <c r="F230" s="7" t="n">
        <v>18000</v>
      </c>
    </row>
    <row r="231" customFormat="false" ht="15" hidden="false" customHeight="false" outlineLevel="0" collapsed="false">
      <c r="A231" s="2" t="s">
        <v>355</v>
      </c>
      <c r="B231" s="13" t="n">
        <v>46269</v>
      </c>
      <c r="C231" s="2" t="s">
        <v>81</v>
      </c>
      <c r="D231" s="2" t="n">
        <v>2</v>
      </c>
      <c r="E231" s="14" t="s">
        <v>356</v>
      </c>
      <c r="F231" s="7" t="n">
        <v>15000</v>
      </c>
    </row>
    <row r="232" customFormat="false" ht="15" hidden="false" customHeight="false" outlineLevel="0" collapsed="false">
      <c r="A232" s="2" t="s">
        <v>357</v>
      </c>
      <c r="B232" s="13" t="n">
        <v>46269</v>
      </c>
      <c r="C232" s="2" t="s">
        <v>81</v>
      </c>
      <c r="D232" s="2" t="n">
        <v>1</v>
      </c>
      <c r="E232" s="14" t="s">
        <v>358</v>
      </c>
      <c r="F232" s="7" t="n">
        <v>15000</v>
      </c>
    </row>
    <row r="233" customFormat="false" ht="15" hidden="false" customHeight="false" outlineLevel="0" collapsed="false">
      <c r="A233" s="2" t="s">
        <v>357</v>
      </c>
      <c r="B233" s="13" t="n">
        <v>46269</v>
      </c>
      <c r="C233" s="2" t="s">
        <v>186</v>
      </c>
      <c r="D233" s="2" t="n">
        <v>1</v>
      </c>
      <c r="E233" s="14" t="s">
        <v>358</v>
      </c>
      <c r="F233" s="7" t="n">
        <v>7000</v>
      </c>
    </row>
    <row r="234" customFormat="false" ht="15" hidden="false" customHeight="false" outlineLevel="0" collapsed="false">
      <c r="A234" s="2" t="s">
        <v>357</v>
      </c>
      <c r="B234" s="13" t="n">
        <v>46269</v>
      </c>
      <c r="C234" s="2" t="s">
        <v>92</v>
      </c>
      <c r="D234" s="2" t="n">
        <v>1</v>
      </c>
      <c r="E234" s="14" t="s">
        <v>358</v>
      </c>
      <c r="F234" s="7" t="n">
        <v>4000</v>
      </c>
    </row>
    <row r="235" customFormat="false" ht="15" hidden="false" customHeight="false" outlineLevel="0" collapsed="false">
      <c r="A235" s="2" t="s">
        <v>359</v>
      </c>
      <c r="B235" s="13" t="n">
        <v>46269</v>
      </c>
      <c r="C235" s="2" t="s">
        <v>81</v>
      </c>
      <c r="D235" s="2" t="n">
        <v>1</v>
      </c>
      <c r="E235" s="14"/>
      <c r="F235" s="7" t="n">
        <v>15000</v>
      </c>
    </row>
    <row r="236" customFormat="false" ht="15" hidden="false" customHeight="false" outlineLevel="0" collapsed="false">
      <c r="A236" s="2" t="s">
        <v>359</v>
      </c>
      <c r="B236" s="13" t="n">
        <v>46269</v>
      </c>
      <c r="C236" s="2" t="s">
        <v>92</v>
      </c>
      <c r="D236" s="2" t="n">
        <v>2</v>
      </c>
      <c r="E236" s="14" t="s">
        <v>360</v>
      </c>
      <c r="F236" s="7" t="n">
        <v>4000</v>
      </c>
    </row>
    <row r="237" customFormat="false" ht="15" hidden="false" customHeight="false" outlineLevel="0" collapsed="false">
      <c r="A237" s="2" t="s">
        <v>361</v>
      </c>
      <c r="B237" s="13" t="n">
        <v>46269</v>
      </c>
      <c r="C237" s="2" t="s">
        <v>101</v>
      </c>
      <c r="D237" s="2" t="n">
        <v>1</v>
      </c>
      <c r="E237" s="14" t="s">
        <v>87</v>
      </c>
      <c r="F237" s="7" t="n">
        <v>18000</v>
      </c>
    </row>
    <row r="238" customFormat="false" ht="15" hidden="false" customHeight="false" outlineLevel="0" collapsed="false">
      <c r="A238" s="2" t="s">
        <v>362</v>
      </c>
      <c r="B238" s="13" t="n">
        <v>46269</v>
      </c>
      <c r="C238" s="2" t="s">
        <v>186</v>
      </c>
      <c r="D238" s="2" t="n">
        <v>1</v>
      </c>
      <c r="E238" s="14" t="s">
        <v>87</v>
      </c>
      <c r="F238" s="7" t="n">
        <v>7000</v>
      </c>
    </row>
    <row r="239" customFormat="false" ht="15" hidden="false" customHeight="false" outlineLevel="0" collapsed="false">
      <c r="A239" s="2" t="s">
        <v>363</v>
      </c>
      <c r="B239" s="13" t="n">
        <v>46269</v>
      </c>
      <c r="C239" s="2" t="s">
        <v>132</v>
      </c>
      <c r="D239" s="2" t="n">
        <v>1</v>
      </c>
      <c r="E239" s="14" t="s">
        <v>364</v>
      </c>
      <c r="F239" s="7" t="n">
        <v>15000</v>
      </c>
    </row>
    <row r="240" customFormat="false" ht="15" hidden="false" customHeight="false" outlineLevel="0" collapsed="false">
      <c r="A240" s="2" t="s">
        <v>365</v>
      </c>
      <c r="B240" s="13" t="n">
        <v>46269</v>
      </c>
      <c r="C240" s="2"/>
      <c r="D240" s="2" t="n">
        <v>1</v>
      </c>
      <c r="E240" s="14" t="s">
        <v>366</v>
      </c>
      <c r="F240" s="7" t="n">
        <v>18000</v>
      </c>
    </row>
    <row r="241" customFormat="false" ht="15" hidden="false" customHeight="false" outlineLevel="0" collapsed="false">
      <c r="A241" s="2" t="s">
        <v>365</v>
      </c>
      <c r="B241" s="13" t="n">
        <v>46269</v>
      </c>
      <c r="C241" s="2" t="s">
        <v>92</v>
      </c>
      <c r="D241" s="2" t="n">
        <v>1</v>
      </c>
      <c r="E241" s="14" t="s">
        <v>366</v>
      </c>
      <c r="F241" s="7" t="n">
        <v>4000</v>
      </c>
    </row>
    <row r="242" customFormat="false" ht="15" hidden="false" customHeight="false" outlineLevel="0" collapsed="false">
      <c r="A242" s="2" t="s">
        <v>365</v>
      </c>
      <c r="B242" s="13" t="n">
        <v>46269</v>
      </c>
      <c r="C242" s="2" t="s">
        <v>79</v>
      </c>
      <c r="D242" s="2" t="n">
        <v>1</v>
      </c>
      <c r="E242" s="14" t="s">
        <v>366</v>
      </c>
      <c r="F242" s="7" t="n">
        <v>16000</v>
      </c>
    </row>
    <row r="243" customFormat="false" ht="15" hidden="false" customHeight="false" outlineLevel="0" collapsed="false">
      <c r="A243" s="2" t="s">
        <v>367</v>
      </c>
      <c r="B243" s="13" t="n">
        <v>46269</v>
      </c>
      <c r="C243" s="2" t="s">
        <v>101</v>
      </c>
      <c r="D243" s="2" t="n">
        <v>1</v>
      </c>
      <c r="E243" s="14" t="s">
        <v>368</v>
      </c>
      <c r="F243" s="7" t="n">
        <v>18000</v>
      </c>
    </row>
    <row r="244" customFormat="false" ht="15" hidden="false" customHeight="false" outlineLevel="0" collapsed="false">
      <c r="A244" s="2" t="s">
        <v>367</v>
      </c>
      <c r="B244" s="13" t="n">
        <v>46269</v>
      </c>
      <c r="C244" s="2" t="s">
        <v>84</v>
      </c>
      <c r="D244" s="2" t="n">
        <v>1</v>
      </c>
      <c r="E244" s="14" t="s">
        <v>368</v>
      </c>
      <c r="F244" s="7" t="n">
        <v>5000</v>
      </c>
    </row>
    <row r="245" customFormat="false" ht="15" hidden="false" customHeight="false" outlineLevel="0" collapsed="false">
      <c r="A245" s="2" t="s">
        <v>369</v>
      </c>
      <c r="B245" s="13" t="n">
        <v>46269</v>
      </c>
      <c r="C245" s="2" t="s">
        <v>84</v>
      </c>
      <c r="D245" s="2" t="n">
        <v>1</v>
      </c>
      <c r="E245" s="14" t="s">
        <v>370</v>
      </c>
      <c r="F245" s="7" t="n">
        <v>5000</v>
      </c>
    </row>
    <row r="246" customFormat="false" ht="15" hidden="false" customHeight="false" outlineLevel="0" collapsed="false">
      <c r="A246" s="2" t="s">
        <v>371</v>
      </c>
      <c r="B246" s="13" t="n">
        <v>46269</v>
      </c>
      <c r="C246" s="2" t="s">
        <v>89</v>
      </c>
      <c r="D246" s="2" t="n">
        <v>2</v>
      </c>
      <c r="E246" s="14" t="s">
        <v>372</v>
      </c>
      <c r="F246" s="7" t="n">
        <v>14000</v>
      </c>
    </row>
    <row r="247" customFormat="false" ht="15" hidden="false" customHeight="false" outlineLevel="0" collapsed="false">
      <c r="A247" s="2" t="s">
        <v>373</v>
      </c>
      <c r="B247" s="13" t="n">
        <v>46269</v>
      </c>
      <c r="C247" s="2" t="s">
        <v>132</v>
      </c>
      <c r="D247" s="2" t="n">
        <v>2</v>
      </c>
      <c r="E247" s="14" t="s">
        <v>374</v>
      </c>
      <c r="F247" s="7" t="n">
        <v>15000</v>
      </c>
    </row>
    <row r="248" customFormat="false" ht="15" hidden="false" customHeight="false" outlineLevel="0" collapsed="false">
      <c r="A248" s="2" t="s">
        <v>373</v>
      </c>
      <c r="B248" s="13" t="n">
        <v>46269</v>
      </c>
      <c r="C248" s="2" t="s">
        <v>101</v>
      </c>
      <c r="D248" s="2" t="n">
        <v>1</v>
      </c>
      <c r="E248" s="14" t="s">
        <v>374</v>
      </c>
      <c r="F248" s="7" t="n">
        <v>18000</v>
      </c>
    </row>
    <row r="249" customFormat="false" ht="15" hidden="false" customHeight="false" outlineLevel="0" collapsed="false">
      <c r="A249" s="2" t="s">
        <v>375</v>
      </c>
      <c r="B249" s="13" t="n">
        <v>46269</v>
      </c>
      <c r="C249" s="2" t="s">
        <v>81</v>
      </c>
      <c r="D249" s="2" t="n">
        <v>2</v>
      </c>
      <c r="E249" s="14" t="s">
        <v>93</v>
      </c>
      <c r="F249" s="7" t="n">
        <v>15000</v>
      </c>
    </row>
    <row r="250" customFormat="false" ht="15" hidden="false" customHeight="false" outlineLevel="0" collapsed="false">
      <c r="A250" s="2" t="s">
        <v>375</v>
      </c>
      <c r="B250" s="13" t="n">
        <v>46269</v>
      </c>
      <c r="C250" s="2" t="s">
        <v>186</v>
      </c>
      <c r="D250" s="2" t="n">
        <v>1</v>
      </c>
      <c r="E250" s="14" t="s">
        <v>93</v>
      </c>
      <c r="F250" s="7" t="n">
        <v>7000</v>
      </c>
    </row>
    <row r="251" customFormat="false" ht="15" hidden="false" customHeight="false" outlineLevel="0" collapsed="false">
      <c r="A251" s="2" t="s">
        <v>376</v>
      </c>
      <c r="B251" s="13" t="n">
        <v>46269</v>
      </c>
      <c r="C251" s="2" t="s">
        <v>79</v>
      </c>
      <c r="D251" s="2" t="n">
        <v>1</v>
      </c>
      <c r="E251" s="14" t="s">
        <v>377</v>
      </c>
      <c r="F251" s="7" t="n">
        <v>16000</v>
      </c>
    </row>
    <row r="252" customFormat="false" ht="15" hidden="false" customHeight="false" outlineLevel="0" collapsed="false">
      <c r="A252" s="2" t="s">
        <v>378</v>
      </c>
      <c r="B252" s="13" t="n">
        <v>46269</v>
      </c>
      <c r="C252" s="2" t="s">
        <v>112</v>
      </c>
      <c r="D252" s="2" t="n">
        <v>1</v>
      </c>
      <c r="E252" s="14" t="s">
        <v>379</v>
      </c>
      <c r="F252" s="7" t="n">
        <v>10000</v>
      </c>
    </row>
    <row r="253" customFormat="false" ht="15" hidden="false" customHeight="false" outlineLevel="0" collapsed="false">
      <c r="A253" s="2" t="s">
        <v>380</v>
      </c>
      <c r="B253" s="13" t="n">
        <v>46269</v>
      </c>
      <c r="C253" s="2" t="s">
        <v>84</v>
      </c>
      <c r="D253" s="2" t="n">
        <v>1</v>
      </c>
      <c r="E253" s="14" t="s">
        <v>286</v>
      </c>
      <c r="F253" s="7" t="n">
        <v>5000</v>
      </c>
    </row>
    <row r="254" customFormat="false" ht="15" hidden="false" customHeight="false" outlineLevel="0" collapsed="false">
      <c r="A254" s="2" t="s">
        <v>380</v>
      </c>
      <c r="B254" s="13" t="n">
        <v>46269</v>
      </c>
      <c r="C254" s="2" t="s">
        <v>81</v>
      </c>
      <c r="D254" s="2" t="n">
        <v>1</v>
      </c>
      <c r="E254" s="14" t="s">
        <v>286</v>
      </c>
      <c r="F254" s="7" t="n">
        <v>15000</v>
      </c>
    </row>
    <row r="255" customFormat="false" ht="15" hidden="false" customHeight="false" outlineLevel="0" collapsed="false">
      <c r="A255" s="2" t="s">
        <v>380</v>
      </c>
      <c r="B255" s="13" t="n">
        <v>46269</v>
      </c>
      <c r="C255" s="2" t="s">
        <v>101</v>
      </c>
      <c r="D255" s="2" t="n">
        <v>2</v>
      </c>
      <c r="E255" s="14" t="s">
        <v>286</v>
      </c>
      <c r="F255" s="7" t="n">
        <v>18000</v>
      </c>
    </row>
    <row r="256" customFormat="false" ht="15" hidden="false" customHeight="false" outlineLevel="0" collapsed="false">
      <c r="A256" s="2" t="s">
        <v>381</v>
      </c>
      <c r="B256" s="13" t="n">
        <v>46269</v>
      </c>
      <c r="C256" s="2" t="s">
        <v>108</v>
      </c>
      <c r="D256" s="2" t="n">
        <v>1</v>
      </c>
      <c r="E256" s="14" t="s">
        <v>382</v>
      </c>
      <c r="F256" s="7" t="n">
        <v>20000</v>
      </c>
    </row>
    <row r="257" customFormat="false" ht="15" hidden="false" customHeight="false" outlineLevel="0" collapsed="false">
      <c r="A257" s="2" t="s">
        <v>381</v>
      </c>
      <c r="B257" s="13" t="n">
        <v>46269</v>
      </c>
      <c r="C257" s="2" t="s">
        <v>79</v>
      </c>
      <c r="D257" s="2" t="n">
        <v>1</v>
      </c>
      <c r="E257" s="14" t="s">
        <v>382</v>
      </c>
      <c r="F257" s="7" t="n">
        <v>16000</v>
      </c>
    </row>
    <row r="258" customFormat="false" ht="15" hidden="false" customHeight="false" outlineLevel="0" collapsed="false">
      <c r="A258" s="2" t="s">
        <v>383</v>
      </c>
      <c r="B258" s="13" t="n">
        <v>46269</v>
      </c>
      <c r="C258" s="2" t="s">
        <v>101</v>
      </c>
      <c r="D258" s="2" t="n">
        <v>1</v>
      </c>
      <c r="E258" s="14" t="s">
        <v>384</v>
      </c>
      <c r="F258" s="7" t="n">
        <v>18000</v>
      </c>
    </row>
    <row r="259" customFormat="false" ht="15" hidden="false" customHeight="false" outlineLevel="0" collapsed="false">
      <c r="A259" s="2" t="s">
        <v>385</v>
      </c>
      <c r="B259" s="13" t="n">
        <v>46269</v>
      </c>
      <c r="C259" s="2" t="s">
        <v>101</v>
      </c>
      <c r="D259" s="2" t="n">
        <v>1</v>
      </c>
      <c r="E259" s="14" t="s">
        <v>386</v>
      </c>
      <c r="F259" s="7" t="n">
        <v>18000</v>
      </c>
    </row>
    <row r="260" customFormat="false" ht="15" hidden="false" customHeight="false" outlineLevel="0" collapsed="false">
      <c r="A260" s="2" t="s">
        <v>387</v>
      </c>
      <c r="B260" s="13" t="n">
        <v>46269</v>
      </c>
      <c r="C260" s="2" t="s">
        <v>84</v>
      </c>
      <c r="D260" s="2" t="n">
        <v>1</v>
      </c>
      <c r="E260" s="14" t="s">
        <v>388</v>
      </c>
      <c r="F260" s="7" t="n">
        <v>5000</v>
      </c>
    </row>
    <row r="261" customFormat="false" ht="15" hidden="false" customHeight="false" outlineLevel="0" collapsed="false">
      <c r="A261" s="2" t="s">
        <v>389</v>
      </c>
      <c r="B261" s="13" t="n">
        <v>46269</v>
      </c>
      <c r="C261" s="2" t="s">
        <v>132</v>
      </c>
      <c r="D261" s="2" t="n">
        <v>1</v>
      </c>
      <c r="E261" s="14" t="s">
        <v>390</v>
      </c>
      <c r="F261" s="7" t="n">
        <v>15000</v>
      </c>
    </row>
    <row r="262" customFormat="false" ht="15" hidden="false" customHeight="false" outlineLevel="0" collapsed="false">
      <c r="A262" s="2" t="s">
        <v>391</v>
      </c>
      <c r="B262" s="13" t="n">
        <v>46269</v>
      </c>
      <c r="C262" s="2" t="s">
        <v>79</v>
      </c>
      <c r="D262" s="2" t="n">
        <v>1</v>
      </c>
      <c r="E262" s="14" t="s">
        <v>392</v>
      </c>
      <c r="F262" s="7" t="n">
        <v>16000</v>
      </c>
    </row>
    <row r="263" customFormat="false" ht="15" hidden="false" customHeight="false" outlineLevel="0" collapsed="false">
      <c r="A263" s="2" t="s">
        <v>393</v>
      </c>
      <c r="B263" s="13" t="n">
        <v>46269</v>
      </c>
      <c r="C263" s="2" t="s">
        <v>132</v>
      </c>
      <c r="D263" s="2" t="n">
        <v>2</v>
      </c>
      <c r="E263" s="14" t="s">
        <v>392</v>
      </c>
      <c r="F263" s="7" t="n">
        <v>15000</v>
      </c>
    </row>
    <row r="264" customFormat="false" ht="15" hidden="false" customHeight="false" outlineLevel="0" collapsed="false">
      <c r="A264" s="2" t="s">
        <v>394</v>
      </c>
      <c r="B264" s="13" t="n">
        <v>46269</v>
      </c>
      <c r="C264" s="2" t="s">
        <v>89</v>
      </c>
      <c r="D264" s="2" t="n">
        <v>1</v>
      </c>
      <c r="E264" s="14" t="s">
        <v>136</v>
      </c>
      <c r="F264" s="7" t="n">
        <v>14000</v>
      </c>
    </row>
    <row r="265" customFormat="false" ht="15" hidden="false" customHeight="false" outlineLevel="0" collapsed="false">
      <c r="A265" s="2" t="s">
        <v>395</v>
      </c>
      <c r="B265" s="13" t="n">
        <v>46269</v>
      </c>
      <c r="C265" s="2" t="s">
        <v>108</v>
      </c>
      <c r="D265" s="2" t="n">
        <v>1</v>
      </c>
      <c r="E265" s="14" t="s">
        <v>396</v>
      </c>
      <c r="F265" s="7" t="n">
        <v>20000</v>
      </c>
    </row>
    <row r="266" customFormat="false" ht="15" hidden="false" customHeight="false" outlineLevel="0" collapsed="false">
      <c r="A266" s="2" t="s">
        <v>395</v>
      </c>
      <c r="B266" s="13" t="n">
        <v>46269</v>
      </c>
      <c r="C266" s="2" t="s">
        <v>81</v>
      </c>
      <c r="D266" s="2" t="n">
        <v>2</v>
      </c>
      <c r="E266" s="14" t="s">
        <v>396</v>
      </c>
      <c r="F266" s="7" t="n">
        <v>15000</v>
      </c>
    </row>
    <row r="267" customFormat="false" ht="15" hidden="false" customHeight="false" outlineLevel="0" collapsed="false">
      <c r="A267" s="2" t="s">
        <v>397</v>
      </c>
      <c r="B267" s="13" t="n">
        <v>46269</v>
      </c>
      <c r="C267" s="2" t="s">
        <v>79</v>
      </c>
      <c r="D267" s="2" t="n">
        <v>2</v>
      </c>
      <c r="E267" s="14" t="s">
        <v>398</v>
      </c>
      <c r="F267" s="7" t="n">
        <v>16000</v>
      </c>
    </row>
    <row r="268" customFormat="false" ht="15" hidden="false" customHeight="false" outlineLevel="0" collapsed="false">
      <c r="A268" s="2" t="s">
        <v>399</v>
      </c>
      <c r="B268" s="13" t="n">
        <v>46269</v>
      </c>
      <c r="C268" s="2" t="s">
        <v>112</v>
      </c>
      <c r="D268" s="2" t="n">
        <v>1</v>
      </c>
      <c r="E268" s="14" t="s">
        <v>400</v>
      </c>
      <c r="F268" s="7" t="n">
        <v>10000</v>
      </c>
    </row>
    <row r="269" customFormat="false" ht="15" hidden="false" customHeight="false" outlineLevel="0" collapsed="false">
      <c r="A269" s="2" t="s">
        <v>401</v>
      </c>
      <c r="B269" s="13" t="n">
        <v>46269</v>
      </c>
      <c r="C269" s="2" t="s">
        <v>84</v>
      </c>
      <c r="D269" s="2" t="n">
        <v>1</v>
      </c>
      <c r="E269" s="14" t="s">
        <v>232</v>
      </c>
      <c r="F269" s="7" t="n">
        <v>5000</v>
      </c>
    </row>
    <row r="270" customFormat="false" ht="15" hidden="false" customHeight="false" outlineLevel="0" collapsed="false">
      <c r="A270" s="2" t="s">
        <v>401</v>
      </c>
      <c r="B270" s="13" t="n">
        <v>46269</v>
      </c>
      <c r="C270" s="2" t="s">
        <v>82</v>
      </c>
      <c r="D270" s="2" t="n">
        <v>1</v>
      </c>
      <c r="E270" s="14" t="s">
        <v>232</v>
      </c>
      <c r="F270" s="7" t="n">
        <v>13000</v>
      </c>
    </row>
    <row r="271" customFormat="false" ht="15" hidden="false" customHeight="false" outlineLevel="0" collapsed="false">
      <c r="A271" s="2" t="s">
        <v>401</v>
      </c>
      <c r="B271" s="13" t="n">
        <v>46269</v>
      </c>
      <c r="C271" s="2" t="s">
        <v>101</v>
      </c>
      <c r="D271" s="2" t="n">
        <v>1</v>
      </c>
      <c r="E271" s="14" t="s">
        <v>232</v>
      </c>
      <c r="F271" s="7" t="n">
        <v>18000</v>
      </c>
    </row>
    <row r="272" customFormat="false" ht="15" hidden="false" customHeight="false" outlineLevel="0" collapsed="false">
      <c r="A272" s="2" t="s">
        <v>402</v>
      </c>
      <c r="B272" s="13" t="n">
        <v>46269</v>
      </c>
      <c r="C272" s="2" t="s">
        <v>132</v>
      </c>
      <c r="D272" s="2" t="n">
        <v>2</v>
      </c>
      <c r="E272" s="14" t="s">
        <v>403</v>
      </c>
      <c r="F272" s="7" t="n">
        <v>15000</v>
      </c>
    </row>
    <row r="273" customFormat="false" ht="15" hidden="false" customHeight="false" outlineLevel="0" collapsed="false">
      <c r="A273" s="2" t="s">
        <v>404</v>
      </c>
      <c r="B273" s="13" t="n">
        <v>46269</v>
      </c>
      <c r="C273" s="2" t="s">
        <v>89</v>
      </c>
      <c r="D273" s="2" t="n">
        <v>1</v>
      </c>
      <c r="E273" s="14" t="s">
        <v>405</v>
      </c>
      <c r="F273" s="7" t="n">
        <v>14000</v>
      </c>
    </row>
    <row r="274" customFormat="false" ht="15" hidden="false" customHeight="false" outlineLevel="0" collapsed="false">
      <c r="A274" s="2" t="s">
        <v>404</v>
      </c>
      <c r="B274" s="13" t="n">
        <v>46269</v>
      </c>
      <c r="C274" s="2" t="s">
        <v>84</v>
      </c>
      <c r="D274" s="2" t="n">
        <v>1</v>
      </c>
      <c r="E274" s="14" t="s">
        <v>405</v>
      </c>
      <c r="F274" s="7" t="n">
        <v>5000</v>
      </c>
    </row>
    <row r="275" customFormat="false" ht="15" hidden="false" customHeight="false" outlineLevel="0" collapsed="false">
      <c r="A275" s="2" t="s">
        <v>404</v>
      </c>
      <c r="B275" s="13" t="n">
        <v>46269</v>
      </c>
      <c r="C275" s="2" t="s">
        <v>132</v>
      </c>
      <c r="D275" s="2" t="n">
        <v>1</v>
      </c>
      <c r="E275" s="14" t="s">
        <v>405</v>
      </c>
      <c r="F275" s="7" t="n">
        <v>15000</v>
      </c>
    </row>
    <row r="276" customFormat="false" ht="15" hidden="false" customHeight="false" outlineLevel="0" collapsed="false">
      <c r="A276" s="2" t="s">
        <v>406</v>
      </c>
      <c r="B276" s="13" t="n">
        <v>46269</v>
      </c>
      <c r="C276" s="2" t="s">
        <v>84</v>
      </c>
      <c r="D276" s="2" t="n">
        <v>2</v>
      </c>
      <c r="E276" s="14" t="s">
        <v>407</v>
      </c>
      <c r="F276" s="7" t="n">
        <v>5000</v>
      </c>
    </row>
    <row r="277" customFormat="false" ht="15" hidden="false" customHeight="false" outlineLevel="0" collapsed="false">
      <c r="A277" s="2" t="s">
        <v>408</v>
      </c>
      <c r="B277" s="13" t="n">
        <v>46269</v>
      </c>
      <c r="C277" s="2" t="s">
        <v>89</v>
      </c>
      <c r="D277" s="2" t="n">
        <v>2</v>
      </c>
      <c r="E277" s="14" t="s">
        <v>409</v>
      </c>
      <c r="F277" s="7" t="n">
        <v>14000</v>
      </c>
    </row>
    <row r="278" customFormat="false" ht="15" hidden="false" customHeight="false" outlineLevel="0" collapsed="false">
      <c r="A278" s="2" t="s">
        <v>408</v>
      </c>
      <c r="B278" s="13" t="n">
        <v>46269</v>
      </c>
      <c r="C278" s="2" t="s">
        <v>82</v>
      </c>
      <c r="D278" s="2" t="n">
        <v>1</v>
      </c>
      <c r="E278" s="14" t="s">
        <v>409</v>
      </c>
      <c r="F278" s="7" t="n">
        <v>13000</v>
      </c>
    </row>
    <row r="279" customFormat="false" ht="15" hidden="false" customHeight="false" outlineLevel="0" collapsed="false">
      <c r="A279" s="2" t="s">
        <v>410</v>
      </c>
      <c r="B279" s="13" t="n">
        <v>46269</v>
      </c>
      <c r="C279" s="2" t="s">
        <v>132</v>
      </c>
      <c r="D279" s="2" t="n">
        <v>2</v>
      </c>
      <c r="E279" s="14" t="s">
        <v>411</v>
      </c>
      <c r="F279" s="7" t="n">
        <v>15000</v>
      </c>
    </row>
    <row r="280" customFormat="false" ht="15" hidden="false" customHeight="false" outlineLevel="0" collapsed="false">
      <c r="A280" s="2" t="s">
        <v>410</v>
      </c>
      <c r="B280" s="13" t="n">
        <v>46269</v>
      </c>
      <c r="C280" s="2" t="s">
        <v>84</v>
      </c>
      <c r="D280" s="2" t="n">
        <v>1</v>
      </c>
      <c r="E280" s="14" t="s">
        <v>411</v>
      </c>
      <c r="F280" s="7" t="n">
        <v>5000</v>
      </c>
    </row>
    <row r="281" customFormat="false" ht="15" hidden="false" customHeight="false" outlineLevel="0" collapsed="false">
      <c r="A281" s="2" t="s">
        <v>412</v>
      </c>
      <c r="B281" s="13" t="n">
        <v>46269</v>
      </c>
      <c r="C281" s="2" t="s">
        <v>84</v>
      </c>
      <c r="D281" s="2" t="n">
        <v>1</v>
      </c>
      <c r="E281" s="14" t="s">
        <v>413</v>
      </c>
      <c r="F281" s="7" t="n">
        <v>5000</v>
      </c>
    </row>
    <row r="282" customFormat="false" ht="15" hidden="false" customHeight="false" outlineLevel="0" collapsed="false">
      <c r="A282" s="2" t="s">
        <v>412</v>
      </c>
      <c r="B282" s="13" t="n">
        <v>46269</v>
      </c>
      <c r="C282" s="2" t="s">
        <v>89</v>
      </c>
      <c r="D282" s="2" t="n">
        <v>1</v>
      </c>
      <c r="E282" s="14" t="s">
        <v>413</v>
      </c>
      <c r="F282" s="7" t="n">
        <v>14000</v>
      </c>
    </row>
    <row r="283" customFormat="false" ht="15" hidden="false" customHeight="false" outlineLevel="0" collapsed="false">
      <c r="A283" s="2" t="s">
        <v>412</v>
      </c>
      <c r="B283" s="13" t="n">
        <v>46269</v>
      </c>
      <c r="C283" s="2" t="s">
        <v>414</v>
      </c>
      <c r="D283" s="2" t="n">
        <v>1</v>
      </c>
      <c r="E283" s="14" t="s">
        <v>413</v>
      </c>
      <c r="F283" s="7" t="n">
        <v>15000</v>
      </c>
    </row>
    <row r="284" customFormat="false" ht="15" hidden="false" customHeight="false" outlineLevel="0" collapsed="false">
      <c r="A284" s="2" t="s">
        <v>415</v>
      </c>
      <c r="B284" s="13" t="n">
        <v>46269</v>
      </c>
      <c r="C284" s="2" t="s">
        <v>81</v>
      </c>
      <c r="D284" s="2" t="n">
        <v>1</v>
      </c>
      <c r="E284" s="14" t="s">
        <v>328</v>
      </c>
      <c r="F284" s="7" t="n">
        <v>15000</v>
      </c>
    </row>
    <row r="285" customFormat="false" ht="15" hidden="false" customHeight="false" outlineLevel="0" collapsed="false">
      <c r="A285" s="2" t="s">
        <v>415</v>
      </c>
      <c r="B285" s="13" t="n">
        <v>46269</v>
      </c>
      <c r="C285" s="2" t="s">
        <v>101</v>
      </c>
      <c r="D285" s="2" t="n">
        <v>2</v>
      </c>
      <c r="E285" s="14" t="s">
        <v>328</v>
      </c>
      <c r="F285" s="7" t="n">
        <v>18000</v>
      </c>
    </row>
    <row r="286" customFormat="false" ht="15" hidden="false" customHeight="false" outlineLevel="0" collapsed="false">
      <c r="A286" s="2" t="s">
        <v>415</v>
      </c>
      <c r="B286" s="13" t="n">
        <v>46269</v>
      </c>
      <c r="C286" s="2" t="s">
        <v>84</v>
      </c>
      <c r="D286" s="2" t="n">
        <v>1</v>
      </c>
      <c r="E286" s="14" t="s">
        <v>328</v>
      </c>
      <c r="F286" s="7" t="n">
        <v>5000</v>
      </c>
    </row>
    <row r="287" customFormat="false" ht="15" hidden="false" customHeight="false" outlineLevel="0" collapsed="false">
      <c r="A287" s="2" t="s">
        <v>416</v>
      </c>
      <c r="B287" s="13" t="n">
        <v>46269</v>
      </c>
      <c r="C287" s="2" t="s">
        <v>89</v>
      </c>
      <c r="D287" s="2" t="n">
        <v>1</v>
      </c>
      <c r="E287" s="14" t="s">
        <v>162</v>
      </c>
      <c r="F287" s="7" t="n">
        <v>14000</v>
      </c>
    </row>
    <row r="288" customFormat="false" ht="15" hidden="false" customHeight="false" outlineLevel="0" collapsed="false">
      <c r="A288" s="2" t="s">
        <v>417</v>
      </c>
      <c r="B288" s="13" t="n">
        <v>46269</v>
      </c>
      <c r="C288" s="2" t="s">
        <v>79</v>
      </c>
      <c r="D288" s="2" t="n">
        <v>1</v>
      </c>
      <c r="E288" s="14" t="s">
        <v>418</v>
      </c>
      <c r="F288" s="7" t="n">
        <v>16000</v>
      </c>
    </row>
    <row r="289" customFormat="false" ht="15" hidden="false" customHeight="false" outlineLevel="0" collapsed="false">
      <c r="A289" s="2" t="s">
        <v>419</v>
      </c>
      <c r="B289" s="13" t="n">
        <v>46269</v>
      </c>
      <c r="C289" s="2" t="s">
        <v>101</v>
      </c>
      <c r="D289" s="2" t="n">
        <v>2</v>
      </c>
      <c r="E289" s="14" t="s">
        <v>420</v>
      </c>
      <c r="F289" s="7" t="n">
        <v>18000</v>
      </c>
    </row>
    <row r="290" customFormat="false" ht="15" hidden="false" customHeight="false" outlineLevel="0" collapsed="false">
      <c r="A290" s="2" t="s">
        <v>419</v>
      </c>
      <c r="B290" s="13" t="n">
        <v>46269</v>
      </c>
      <c r="C290" s="2" t="s">
        <v>186</v>
      </c>
      <c r="D290" s="2" t="n">
        <v>2</v>
      </c>
      <c r="E290" s="14" t="s">
        <v>420</v>
      </c>
      <c r="F290" s="7" t="n">
        <v>7000</v>
      </c>
    </row>
    <row r="291" customFormat="false" ht="15" hidden="false" customHeight="false" outlineLevel="0" collapsed="false">
      <c r="A291" s="2" t="s">
        <v>421</v>
      </c>
      <c r="B291" s="13" t="n">
        <v>46269</v>
      </c>
      <c r="C291" s="2" t="s">
        <v>422</v>
      </c>
      <c r="D291" s="2" t="n">
        <v>1</v>
      </c>
      <c r="E291" s="14" t="s">
        <v>423</v>
      </c>
      <c r="F291" s="7" t="n">
        <v>13000</v>
      </c>
    </row>
    <row r="292" customFormat="false" ht="15" hidden="false" customHeight="false" outlineLevel="0" collapsed="false">
      <c r="A292" s="2" t="s">
        <v>421</v>
      </c>
      <c r="B292" s="13" t="n">
        <v>46269</v>
      </c>
      <c r="C292" s="2" t="s">
        <v>84</v>
      </c>
      <c r="D292" s="2" t="n">
        <v>2</v>
      </c>
      <c r="E292" s="14" t="s">
        <v>423</v>
      </c>
      <c r="F292" s="7" t="n">
        <v>5000</v>
      </c>
    </row>
    <row r="293" customFormat="false" ht="15" hidden="false" customHeight="false" outlineLevel="0" collapsed="false">
      <c r="A293" s="2" t="s">
        <v>424</v>
      </c>
      <c r="B293" s="13" t="n">
        <v>46269</v>
      </c>
      <c r="C293" s="2" t="s">
        <v>126</v>
      </c>
      <c r="D293" s="2" t="n">
        <v>2</v>
      </c>
      <c r="E293" s="14" t="s">
        <v>339</v>
      </c>
      <c r="F293" s="7" t="n">
        <v>3000</v>
      </c>
    </row>
    <row r="294" customFormat="false" ht="15" hidden="false" customHeight="false" outlineLevel="0" collapsed="false">
      <c r="A294" s="2" t="s">
        <v>425</v>
      </c>
      <c r="B294" s="13" t="n">
        <v>46270</v>
      </c>
      <c r="C294" s="2" t="s">
        <v>112</v>
      </c>
      <c r="D294" s="2" t="n">
        <v>1</v>
      </c>
      <c r="E294" s="14" t="s">
        <v>426</v>
      </c>
      <c r="F294" s="7" t="n">
        <v>10000</v>
      </c>
    </row>
    <row r="295" customFormat="false" ht="15" hidden="false" customHeight="false" outlineLevel="0" collapsed="false">
      <c r="A295" s="2" t="s">
        <v>427</v>
      </c>
      <c r="B295" s="13" t="n">
        <v>46270</v>
      </c>
      <c r="C295" s="2" t="s">
        <v>101</v>
      </c>
      <c r="D295" s="2" t="n">
        <v>1</v>
      </c>
      <c r="E295" s="14" t="s">
        <v>428</v>
      </c>
      <c r="F295" s="7" t="n">
        <v>18000</v>
      </c>
    </row>
    <row r="296" customFormat="false" ht="15" hidden="false" customHeight="false" outlineLevel="0" collapsed="false">
      <c r="A296" s="2" t="s">
        <v>429</v>
      </c>
      <c r="B296" s="13" t="n">
        <v>46270</v>
      </c>
      <c r="C296" s="2" t="s">
        <v>132</v>
      </c>
      <c r="D296" s="2" t="n">
        <v>1</v>
      </c>
      <c r="E296" s="14" t="s">
        <v>430</v>
      </c>
      <c r="F296" s="7" t="n">
        <v>15000</v>
      </c>
    </row>
    <row r="297" customFormat="false" ht="15" hidden="false" customHeight="false" outlineLevel="0" collapsed="false">
      <c r="A297" s="2" t="s">
        <v>429</v>
      </c>
      <c r="B297" s="13" t="n">
        <v>46270</v>
      </c>
      <c r="C297" s="2" t="s">
        <v>101</v>
      </c>
      <c r="D297" s="2" t="n">
        <v>2</v>
      </c>
      <c r="E297" s="14" t="s">
        <v>430</v>
      </c>
      <c r="F297" s="7" t="n">
        <v>18000</v>
      </c>
    </row>
    <row r="298" customFormat="false" ht="15" hidden="false" customHeight="false" outlineLevel="0" collapsed="false">
      <c r="A298" s="2" t="s">
        <v>429</v>
      </c>
      <c r="B298" s="13" t="n">
        <v>46270</v>
      </c>
      <c r="C298" s="2" t="s">
        <v>81</v>
      </c>
      <c r="D298" s="2" t="n">
        <v>1</v>
      </c>
      <c r="E298" s="14" t="s">
        <v>430</v>
      </c>
      <c r="F298" s="7" t="n">
        <v>15000</v>
      </c>
    </row>
    <row r="299" customFormat="false" ht="15" hidden="false" customHeight="false" outlineLevel="0" collapsed="false">
      <c r="A299" s="2" t="s">
        <v>431</v>
      </c>
      <c r="B299" s="13" t="n">
        <v>46270</v>
      </c>
      <c r="C299" s="2" t="s">
        <v>92</v>
      </c>
      <c r="D299" s="2" t="n">
        <v>1</v>
      </c>
      <c r="E299" s="14" t="s">
        <v>432</v>
      </c>
      <c r="F299" s="7" t="n">
        <v>4000</v>
      </c>
    </row>
    <row r="300" customFormat="false" ht="15" hidden="false" customHeight="false" outlineLevel="0" collapsed="false">
      <c r="A300" s="2" t="s">
        <v>433</v>
      </c>
      <c r="B300" s="13" t="n">
        <v>46270</v>
      </c>
      <c r="C300" s="2" t="s">
        <v>84</v>
      </c>
      <c r="D300" s="2" t="n">
        <v>2</v>
      </c>
      <c r="E300" s="14" t="s">
        <v>432</v>
      </c>
      <c r="F300" s="7" t="n">
        <v>5000</v>
      </c>
    </row>
    <row r="301" customFormat="false" ht="15" hidden="false" customHeight="false" outlineLevel="0" collapsed="false">
      <c r="A301" s="2" t="s">
        <v>433</v>
      </c>
      <c r="B301" s="13" t="n">
        <v>46270</v>
      </c>
      <c r="C301" s="2" t="s">
        <v>112</v>
      </c>
      <c r="D301" s="2" t="n">
        <v>2</v>
      </c>
      <c r="E301" s="14" t="s">
        <v>432</v>
      </c>
      <c r="F301" s="7" t="n">
        <v>10000</v>
      </c>
    </row>
    <row r="302" customFormat="false" ht="15" hidden="false" customHeight="false" outlineLevel="0" collapsed="false">
      <c r="A302" s="2" t="s">
        <v>434</v>
      </c>
      <c r="B302" s="13" t="n">
        <v>46270</v>
      </c>
      <c r="C302" s="2" t="s">
        <v>112</v>
      </c>
      <c r="D302" s="2" t="n">
        <v>2</v>
      </c>
      <c r="E302" s="14" t="s">
        <v>435</v>
      </c>
      <c r="F302" s="7" t="n">
        <v>10000</v>
      </c>
    </row>
    <row r="303" customFormat="false" ht="15" hidden="false" customHeight="false" outlineLevel="0" collapsed="false">
      <c r="A303" s="2" t="s">
        <v>434</v>
      </c>
      <c r="B303" s="13" t="n">
        <v>46270</v>
      </c>
      <c r="C303" s="2" t="s">
        <v>186</v>
      </c>
      <c r="D303" s="2" t="n">
        <v>1</v>
      </c>
      <c r="E303" s="14" t="s">
        <v>435</v>
      </c>
      <c r="F303" s="7" t="n">
        <v>7000</v>
      </c>
    </row>
    <row r="304" customFormat="false" ht="15" hidden="false" customHeight="false" outlineLevel="0" collapsed="false">
      <c r="A304" s="2" t="s">
        <v>436</v>
      </c>
      <c r="B304" s="13" t="n">
        <v>46270</v>
      </c>
      <c r="C304" s="2" t="s">
        <v>126</v>
      </c>
      <c r="D304" s="2" t="n">
        <v>1</v>
      </c>
      <c r="E304" s="14" t="s">
        <v>437</v>
      </c>
      <c r="F304" s="7" t="n">
        <v>3000</v>
      </c>
    </row>
    <row r="305" customFormat="false" ht="15" hidden="false" customHeight="false" outlineLevel="0" collapsed="false">
      <c r="A305" s="2" t="s">
        <v>438</v>
      </c>
      <c r="B305" s="13" t="n">
        <v>46270</v>
      </c>
      <c r="C305" s="2" t="s">
        <v>92</v>
      </c>
      <c r="D305" s="2" t="n">
        <v>1</v>
      </c>
      <c r="E305" s="14" t="s">
        <v>85</v>
      </c>
      <c r="F305" s="7" t="n">
        <v>4000</v>
      </c>
    </row>
    <row r="306" customFormat="false" ht="15" hidden="false" customHeight="false" outlineLevel="0" collapsed="false">
      <c r="A306" s="2" t="s">
        <v>439</v>
      </c>
      <c r="B306" s="13" t="n">
        <v>46270</v>
      </c>
      <c r="C306" s="2" t="s">
        <v>84</v>
      </c>
      <c r="D306" s="2" t="n">
        <v>2</v>
      </c>
      <c r="E306" s="14" t="s">
        <v>440</v>
      </c>
      <c r="F306" s="7" t="n">
        <v>5000</v>
      </c>
    </row>
    <row r="307" customFormat="false" ht="15" hidden="false" customHeight="false" outlineLevel="0" collapsed="false">
      <c r="A307" s="2" t="s">
        <v>441</v>
      </c>
      <c r="B307" s="13" t="n">
        <v>46270</v>
      </c>
      <c r="C307" s="2" t="s">
        <v>81</v>
      </c>
      <c r="D307" s="2" t="n">
        <v>1</v>
      </c>
      <c r="E307" s="14" t="s">
        <v>273</v>
      </c>
      <c r="F307" s="7" t="n">
        <v>15000</v>
      </c>
    </row>
    <row r="308" customFormat="false" ht="15" hidden="false" customHeight="false" outlineLevel="0" collapsed="false">
      <c r="A308" s="2" t="s">
        <v>441</v>
      </c>
      <c r="B308" s="13" t="n">
        <v>46270</v>
      </c>
      <c r="C308" s="2" t="s">
        <v>132</v>
      </c>
      <c r="D308" s="2" t="n">
        <v>1</v>
      </c>
      <c r="E308" s="14" t="s">
        <v>273</v>
      </c>
      <c r="F308" s="7" t="n">
        <v>15000</v>
      </c>
    </row>
    <row r="309" customFormat="false" ht="15" hidden="false" customHeight="false" outlineLevel="0" collapsed="false">
      <c r="A309" s="2" t="s">
        <v>442</v>
      </c>
      <c r="B309" s="13" t="n">
        <v>46270</v>
      </c>
      <c r="C309" s="2" t="s">
        <v>82</v>
      </c>
      <c r="D309" s="2" t="n">
        <v>1</v>
      </c>
      <c r="E309" s="14" t="s">
        <v>443</v>
      </c>
      <c r="F309" s="7" t="n">
        <v>13000</v>
      </c>
    </row>
    <row r="310" customFormat="false" ht="15" hidden="false" customHeight="false" outlineLevel="0" collapsed="false">
      <c r="A310" s="2" t="s">
        <v>442</v>
      </c>
      <c r="B310" s="13" t="n">
        <v>46270</v>
      </c>
      <c r="C310" s="2" t="s">
        <v>101</v>
      </c>
      <c r="D310" s="2" t="n">
        <v>2</v>
      </c>
      <c r="E310" s="14" t="s">
        <v>443</v>
      </c>
      <c r="F310" s="7" t="n">
        <v>18000</v>
      </c>
    </row>
    <row r="311" customFormat="false" ht="15" hidden="false" customHeight="false" outlineLevel="0" collapsed="false">
      <c r="A311" s="2" t="s">
        <v>442</v>
      </c>
      <c r="B311" s="13" t="n">
        <v>46270</v>
      </c>
      <c r="C311" s="2" t="s">
        <v>79</v>
      </c>
      <c r="D311" s="2" t="n">
        <v>1</v>
      </c>
      <c r="E311" s="14" t="s">
        <v>443</v>
      </c>
      <c r="F311" s="7" t="n">
        <v>16000</v>
      </c>
    </row>
    <row r="312" customFormat="false" ht="15" hidden="false" customHeight="false" outlineLevel="0" collapsed="false">
      <c r="A312" s="2" t="s">
        <v>444</v>
      </c>
      <c r="B312" s="13" t="n">
        <v>46270</v>
      </c>
      <c r="C312" s="2" t="s">
        <v>84</v>
      </c>
      <c r="D312" s="2" t="n">
        <v>2</v>
      </c>
      <c r="E312" s="14" t="s">
        <v>445</v>
      </c>
      <c r="F312" s="7" t="n">
        <v>5000</v>
      </c>
    </row>
    <row r="313" customFormat="false" ht="15" hidden="false" customHeight="false" outlineLevel="0" collapsed="false">
      <c r="A313" s="2" t="s">
        <v>444</v>
      </c>
      <c r="B313" s="13" t="n">
        <v>46270</v>
      </c>
      <c r="C313" s="2" t="s">
        <v>81</v>
      </c>
      <c r="D313" s="2" t="n">
        <v>1</v>
      </c>
      <c r="E313" s="14" t="s">
        <v>445</v>
      </c>
      <c r="F313" s="7" t="n">
        <v>150000</v>
      </c>
    </row>
    <row r="314" customFormat="false" ht="15" hidden="false" customHeight="false" outlineLevel="0" collapsed="false">
      <c r="A314" s="2" t="s">
        <v>446</v>
      </c>
      <c r="B314" s="13" t="n">
        <v>46270</v>
      </c>
      <c r="C314" s="2" t="s">
        <v>132</v>
      </c>
      <c r="D314" s="2" t="n">
        <v>2</v>
      </c>
      <c r="E314" s="14" t="s">
        <v>447</v>
      </c>
      <c r="F314" s="7" t="n">
        <v>15000</v>
      </c>
    </row>
    <row r="315" customFormat="false" ht="15" hidden="false" customHeight="false" outlineLevel="0" collapsed="false">
      <c r="A315" s="2" t="s">
        <v>448</v>
      </c>
      <c r="B315" s="13" t="n">
        <v>46270</v>
      </c>
      <c r="C315" s="2" t="s">
        <v>81</v>
      </c>
      <c r="D315" s="2" t="n">
        <v>1</v>
      </c>
      <c r="E315" s="14" t="s">
        <v>449</v>
      </c>
      <c r="F315" s="7" t="n">
        <v>15000</v>
      </c>
    </row>
    <row r="316" customFormat="false" ht="15" hidden="false" customHeight="false" outlineLevel="0" collapsed="false">
      <c r="A316" s="2" t="s">
        <v>450</v>
      </c>
      <c r="B316" s="13" t="n">
        <v>46270</v>
      </c>
      <c r="C316" s="2" t="s">
        <v>101</v>
      </c>
      <c r="D316" s="2" t="n">
        <v>2</v>
      </c>
      <c r="E316" s="14" t="s">
        <v>451</v>
      </c>
      <c r="F316" s="7" t="n">
        <v>18000</v>
      </c>
    </row>
    <row r="317" customFormat="false" ht="15" hidden="false" customHeight="false" outlineLevel="0" collapsed="false">
      <c r="A317" s="2" t="s">
        <v>450</v>
      </c>
      <c r="B317" s="13" t="n">
        <v>46270</v>
      </c>
      <c r="C317" s="2" t="s">
        <v>81</v>
      </c>
      <c r="D317" s="2" t="n">
        <v>1</v>
      </c>
      <c r="E317" s="14" t="s">
        <v>451</v>
      </c>
      <c r="F317" s="7" t="n">
        <v>15000</v>
      </c>
    </row>
    <row r="318" customFormat="false" ht="15" hidden="false" customHeight="false" outlineLevel="0" collapsed="false">
      <c r="A318" s="2" t="s">
        <v>450</v>
      </c>
      <c r="B318" s="13" t="n">
        <v>46270</v>
      </c>
      <c r="C318" s="2" t="s">
        <v>82</v>
      </c>
      <c r="D318" s="2" t="n">
        <v>2</v>
      </c>
      <c r="E318" s="14" t="s">
        <v>451</v>
      </c>
      <c r="F318" s="7" t="n">
        <v>13000</v>
      </c>
    </row>
    <row r="319" customFormat="false" ht="15" hidden="false" customHeight="false" outlineLevel="0" collapsed="false">
      <c r="A319" s="2" t="s">
        <v>452</v>
      </c>
      <c r="B319" s="13" t="n">
        <v>46270</v>
      </c>
      <c r="C319" s="2" t="s">
        <v>81</v>
      </c>
      <c r="D319" s="2" t="n">
        <v>2</v>
      </c>
      <c r="E319" s="14" t="s">
        <v>453</v>
      </c>
      <c r="F319" s="7" t="n">
        <v>15000</v>
      </c>
    </row>
    <row r="320" customFormat="false" ht="15" hidden="false" customHeight="false" outlineLevel="0" collapsed="false">
      <c r="A320" s="2" t="s">
        <v>452</v>
      </c>
      <c r="B320" s="13" t="n">
        <v>46270</v>
      </c>
      <c r="C320" s="2" t="s">
        <v>84</v>
      </c>
      <c r="D320" s="2" t="n">
        <v>1</v>
      </c>
      <c r="E320" s="14" t="s">
        <v>453</v>
      </c>
      <c r="F320" s="7" t="n">
        <v>5000</v>
      </c>
    </row>
    <row r="321" customFormat="false" ht="15" hidden="false" customHeight="false" outlineLevel="0" collapsed="false">
      <c r="A321" s="2" t="s">
        <v>454</v>
      </c>
      <c r="B321" s="13" t="n">
        <v>46270</v>
      </c>
      <c r="C321" s="2" t="s">
        <v>101</v>
      </c>
      <c r="D321" s="2" t="n">
        <v>2</v>
      </c>
      <c r="E321" s="14" t="s">
        <v>455</v>
      </c>
      <c r="F321" s="7" t="n">
        <v>18000</v>
      </c>
    </row>
    <row r="322" customFormat="false" ht="15" hidden="false" customHeight="false" outlineLevel="0" collapsed="false">
      <c r="A322" s="2" t="s">
        <v>454</v>
      </c>
      <c r="B322" s="13" t="n">
        <v>46270</v>
      </c>
      <c r="C322" s="2" t="s">
        <v>108</v>
      </c>
      <c r="D322" s="2" t="n">
        <v>1</v>
      </c>
      <c r="E322" s="14" t="s">
        <v>455</v>
      </c>
      <c r="F322" s="7" t="n">
        <v>20000</v>
      </c>
    </row>
    <row r="323" customFormat="false" ht="15" hidden="false" customHeight="false" outlineLevel="0" collapsed="false">
      <c r="A323" s="2" t="s">
        <v>456</v>
      </c>
      <c r="B323" s="13" t="n">
        <v>46270</v>
      </c>
      <c r="C323" s="2" t="s">
        <v>126</v>
      </c>
      <c r="D323" s="2" t="n">
        <v>2</v>
      </c>
      <c r="E323" s="14" t="s">
        <v>457</v>
      </c>
      <c r="F323" s="7" t="n">
        <v>3000</v>
      </c>
    </row>
    <row r="324" customFormat="false" ht="15" hidden="false" customHeight="false" outlineLevel="0" collapsed="false">
      <c r="A324" s="2" t="s">
        <v>456</v>
      </c>
      <c r="B324" s="13" t="n">
        <v>46270</v>
      </c>
      <c r="C324" s="2" t="s">
        <v>108</v>
      </c>
      <c r="D324" s="2" t="n">
        <v>3</v>
      </c>
      <c r="E324" s="14" t="s">
        <v>457</v>
      </c>
      <c r="F324" s="7" t="n">
        <v>20000</v>
      </c>
    </row>
    <row r="325" customFormat="false" ht="15" hidden="false" customHeight="false" outlineLevel="0" collapsed="false">
      <c r="A325" s="2" t="s">
        <v>456</v>
      </c>
      <c r="B325" s="13" t="n">
        <v>46270</v>
      </c>
      <c r="C325" s="2" t="s">
        <v>132</v>
      </c>
      <c r="D325" s="2" t="n">
        <v>1</v>
      </c>
      <c r="E325" s="14" t="s">
        <v>457</v>
      </c>
      <c r="F325" s="7" t="n">
        <v>15000</v>
      </c>
    </row>
    <row r="326" customFormat="false" ht="15" hidden="false" customHeight="false" outlineLevel="0" collapsed="false">
      <c r="A326" s="2" t="s">
        <v>458</v>
      </c>
      <c r="B326" s="13" t="n">
        <v>46270</v>
      </c>
      <c r="C326" s="2" t="s">
        <v>92</v>
      </c>
      <c r="D326" s="2" t="n">
        <v>1</v>
      </c>
      <c r="E326" s="14" t="s">
        <v>459</v>
      </c>
      <c r="F326" s="7" t="n">
        <v>4000</v>
      </c>
    </row>
    <row r="327" customFormat="false" ht="15" hidden="false" customHeight="false" outlineLevel="0" collapsed="false">
      <c r="A327" s="2" t="s">
        <v>460</v>
      </c>
      <c r="B327" s="13" t="n">
        <v>46270</v>
      </c>
      <c r="C327" s="2" t="s">
        <v>132</v>
      </c>
      <c r="D327" s="2" t="n">
        <v>1</v>
      </c>
      <c r="E327" s="14" t="s">
        <v>461</v>
      </c>
      <c r="F327" s="7" t="n">
        <v>15000</v>
      </c>
    </row>
    <row r="328" customFormat="false" ht="15" hidden="false" customHeight="false" outlineLevel="0" collapsed="false">
      <c r="A328" s="2" t="s">
        <v>462</v>
      </c>
      <c r="B328" s="13" t="n">
        <v>46270</v>
      </c>
      <c r="C328" s="2" t="s">
        <v>84</v>
      </c>
      <c r="D328" s="2" t="n">
        <v>1</v>
      </c>
      <c r="E328" s="14" t="s">
        <v>461</v>
      </c>
      <c r="F328" s="7" t="n">
        <v>5000</v>
      </c>
    </row>
    <row r="329" customFormat="false" ht="15" hidden="false" customHeight="false" outlineLevel="0" collapsed="false">
      <c r="A329" s="2" t="s">
        <v>463</v>
      </c>
      <c r="B329" s="13" t="n">
        <v>46270</v>
      </c>
      <c r="C329" s="2" t="s">
        <v>101</v>
      </c>
      <c r="D329" s="2" t="n">
        <v>1</v>
      </c>
      <c r="E329" s="14" t="s">
        <v>370</v>
      </c>
      <c r="F329" s="7" t="n">
        <v>18000</v>
      </c>
    </row>
    <row r="330" customFormat="false" ht="15" hidden="false" customHeight="false" outlineLevel="0" collapsed="false">
      <c r="A330" s="2" t="s">
        <v>464</v>
      </c>
      <c r="B330" s="13" t="n">
        <v>46270</v>
      </c>
      <c r="C330" s="2"/>
      <c r="D330" s="2" t="n">
        <v>1</v>
      </c>
      <c r="E330" s="14" t="s">
        <v>372</v>
      </c>
      <c r="F330" s="7" t="n">
        <v>18000</v>
      </c>
    </row>
    <row r="331" customFormat="false" ht="15" hidden="false" customHeight="false" outlineLevel="0" collapsed="false">
      <c r="A331" s="2" t="s">
        <v>465</v>
      </c>
      <c r="B331" s="13" t="n">
        <v>46270</v>
      </c>
      <c r="C331" s="2" t="s">
        <v>81</v>
      </c>
      <c r="D331" s="2" t="n">
        <v>1</v>
      </c>
      <c r="E331" s="14" t="s">
        <v>466</v>
      </c>
      <c r="F331" s="7" t="n">
        <v>15000</v>
      </c>
    </row>
    <row r="332" customFormat="false" ht="15" hidden="false" customHeight="false" outlineLevel="0" collapsed="false">
      <c r="A332" s="2" t="s">
        <v>467</v>
      </c>
      <c r="B332" s="13" t="n">
        <v>46270</v>
      </c>
      <c r="C332" s="2" t="s">
        <v>108</v>
      </c>
      <c r="D332" s="2" t="n">
        <v>1</v>
      </c>
      <c r="E332" s="14" t="s">
        <v>468</v>
      </c>
      <c r="F332" s="7" t="n">
        <v>20000</v>
      </c>
    </row>
    <row r="333" customFormat="false" ht="15" hidden="false" customHeight="false" outlineLevel="0" collapsed="false">
      <c r="A333" s="2" t="s">
        <v>469</v>
      </c>
      <c r="B333" s="13" t="n">
        <v>46270</v>
      </c>
      <c r="C333" s="2" t="s">
        <v>89</v>
      </c>
      <c r="D333" s="2" t="n">
        <v>1</v>
      </c>
      <c r="E333" s="14" t="s">
        <v>470</v>
      </c>
      <c r="F333" s="7" t="n">
        <v>14000</v>
      </c>
    </row>
    <row r="334" customFormat="false" ht="15" hidden="false" customHeight="false" outlineLevel="0" collapsed="false">
      <c r="A334" s="2" t="s">
        <v>469</v>
      </c>
      <c r="B334" s="13" t="n">
        <v>46270</v>
      </c>
      <c r="C334" s="2" t="s">
        <v>81</v>
      </c>
      <c r="D334" s="2" t="n">
        <v>1</v>
      </c>
      <c r="E334" s="14" t="s">
        <v>470</v>
      </c>
      <c r="F334" s="7" t="n">
        <v>15000</v>
      </c>
    </row>
    <row r="335" customFormat="false" ht="15" hidden="false" customHeight="false" outlineLevel="0" collapsed="false">
      <c r="A335" s="2" t="s">
        <v>471</v>
      </c>
      <c r="B335" s="13" t="n">
        <v>46270</v>
      </c>
      <c r="C335" s="2" t="s">
        <v>132</v>
      </c>
      <c r="D335" s="2" t="n">
        <v>1</v>
      </c>
      <c r="E335" s="14" t="s">
        <v>472</v>
      </c>
      <c r="F335" s="7" t="n">
        <v>15000</v>
      </c>
    </row>
    <row r="336" customFormat="false" ht="15" hidden="false" customHeight="false" outlineLevel="0" collapsed="false">
      <c r="A336" s="2" t="s">
        <v>473</v>
      </c>
      <c r="B336" s="13" t="n">
        <v>46270</v>
      </c>
      <c r="C336" s="2" t="s">
        <v>84</v>
      </c>
      <c r="D336" s="2" t="n">
        <v>1</v>
      </c>
      <c r="E336" s="14" t="s">
        <v>474</v>
      </c>
      <c r="F336" s="7" t="n">
        <v>5000</v>
      </c>
    </row>
    <row r="337" customFormat="false" ht="15" hidden="false" customHeight="false" outlineLevel="0" collapsed="false">
      <c r="A337" s="2" t="s">
        <v>475</v>
      </c>
      <c r="B337" s="13" t="n">
        <v>46270</v>
      </c>
      <c r="C337" s="2" t="s">
        <v>186</v>
      </c>
      <c r="D337" s="2" t="n">
        <v>1</v>
      </c>
      <c r="E337" s="14" t="s">
        <v>99</v>
      </c>
      <c r="F337" s="7" t="n">
        <v>7000</v>
      </c>
    </row>
    <row r="338" customFormat="false" ht="15" hidden="false" customHeight="false" outlineLevel="0" collapsed="false">
      <c r="A338" s="2" t="s">
        <v>476</v>
      </c>
      <c r="B338" s="13" t="n">
        <v>46270</v>
      </c>
      <c r="C338" s="2" t="s">
        <v>84</v>
      </c>
      <c r="D338" s="2" t="n">
        <v>1</v>
      </c>
      <c r="E338" s="14" t="s">
        <v>477</v>
      </c>
      <c r="F338" s="7" t="n">
        <v>5000</v>
      </c>
    </row>
    <row r="339" customFormat="false" ht="15" hidden="false" customHeight="false" outlineLevel="0" collapsed="false">
      <c r="A339" s="2" t="s">
        <v>476</v>
      </c>
      <c r="B339" s="13" t="n">
        <v>46270</v>
      </c>
      <c r="C339" s="2" t="s">
        <v>132</v>
      </c>
      <c r="D339" s="2" t="n">
        <v>1</v>
      </c>
      <c r="E339" s="14" t="s">
        <v>477</v>
      </c>
      <c r="F339" s="7" t="n">
        <v>15000</v>
      </c>
    </row>
    <row r="340" customFormat="false" ht="15" hidden="false" customHeight="false" outlineLevel="0" collapsed="false">
      <c r="A340" s="2" t="s">
        <v>476</v>
      </c>
      <c r="B340" s="13" t="n">
        <v>46270</v>
      </c>
      <c r="C340" s="2" t="s">
        <v>186</v>
      </c>
      <c r="D340" s="2" t="n">
        <v>2</v>
      </c>
      <c r="E340" s="14" t="s">
        <v>477</v>
      </c>
      <c r="F340" s="7" t="n">
        <v>7000</v>
      </c>
    </row>
    <row r="341" customFormat="false" ht="15" hidden="false" customHeight="false" outlineLevel="0" collapsed="false">
      <c r="A341" s="2" t="s">
        <v>478</v>
      </c>
      <c r="B341" s="13" t="n">
        <v>46270</v>
      </c>
      <c r="C341" s="2" t="s">
        <v>92</v>
      </c>
      <c r="D341" s="2" t="n">
        <v>1</v>
      </c>
      <c r="E341" s="14" t="s">
        <v>479</v>
      </c>
      <c r="F341" s="7" t="n">
        <v>4000</v>
      </c>
    </row>
    <row r="342" customFormat="false" ht="15" hidden="false" customHeight="false" outlineLevel="0" collapsed="false">
      <c r="A342" s="2" t="s">
        <v>480</v>
      </c>
      <c r="B342" s="13" t="n">
        <v>46270</v>
      </c>
      <c r="C342" s="2" t="s">
        <v>84</v>
      </c>
      <c r="D342" s="2" t="n">
        <v>1</v>
      </c>
      <c r="E342" s="14" t="s">
        <v>481</v>
      </c>
      <c r="F342" s="7" t="n">
        <v>5000</v>
      </c>
    </row>
    <row r="343" customFormat="false" ht="15" hidden="false" customHeight="false" outlineLevel="0" collapsed="false">
      <c r="A343" s="2" t="s">
        <v>480</v>
      </c>
      <c r="B343" s="13" t="n">
        <v>46270</v>
      </c>
      <c r="C343" s="2" t="s">
        <v>84</v>
      </c>
      <c r="D343" s="2" t="n">
        <v>1</v>
      </c>
      <c r="E343" s="14" t="s">
        <v>481</v>
      </c>
      <c r="F343" s="7" t="n">
        <v>5000</v>
      </c>
    </row>
    <row r="344" customFormat="false" ht="15" hidden="false" customHeight="false" outlineLevel="0" collapsed="false">
      <c r="A344" s="2" t="s">
        <v>480</v>
      </c>
      <c r="B344" s="13" t="n">
        <v>46270</v>
      </c>
      <c r="C344" s="2" t="s">
        <v>108</v>
      </c>
      <c r="D344" s="2" t="n">
        <v>3</v>
      </c>
      <c r="E344" s="14" t="s">
        <v>481</v>
      </c>
      <c r="F344" s="7" t="n">
        <v>20000</v>
      </c>
    </row>
    <row r="345" customFormat="false" ht="15" hidden="false" customHeight="false" outlineLevel="0" collapsed="false">
      <c r="A345" s="2" t="s">
        <v>482</v>
      </c>
      <c r="B345" s="13" t="n">
        <v>46270</v>
      </c>
      <c r="C345" s="2" t="s">
        <v>186</v>
      </c>
      <c r="D345" s="2" t="n">
        <v>1</v>
      </c>
      <c r="E345" s="14" t="s">
        <v>483</v>
      </c>
      <c r="F345" s="7" t="n">
        <v>7000</v>
      </c>
    </row>
    <row r="346" customFormat="false" ht="15" hidden="false" customHeight="false" outlineLevel="0" collapsed="false">
      <c r="A346" s="2" t="s">
        <v>482</v>
      </c>
      <c r="B346" s="13" t="n">
        <v>46270</v>
      </c>
      <c r="C346" s="2" t="s">
        <v>112</v>
      </c>
      <c r="D346" s="2" t="n">
        <v>1</v>
      </c>
      <c r="E346" s="14" t="s">
        <v>483</v>
      </c>
      <c r="F346" s="7" t="n">
        <v>10000</v>
      </c>
    </row>
    <row r="347" customFormat="false" ht="15" hidden="false" customHeight="false" outlineLevel="0" collapsed="false">
      <c r="A347" s="2" t="s">
        <v>484</v>
      </c>
      <c r="B347" s="13" t="n">
        <v>46270</v>
      </c>
      <c r="C347" s="2" t="s">
        <v>81</v>
      </c>
      <c r="D347" s="2" t="n">
        <v>1</v>
      </c>
      <c r="E347" s="14" t="s">
        <v>485</v>
      </c>
      <c r="F347" s="7" t="n">
        <v>15000</v>
      </c>
    </row>
    <row r="348" customFormat="false" ht="15" hidden="false" customHeight="false" outlineLevel="0" collapsed="false">
      <c r="A348" s="2" t="s">
        <v>484</v>
      </c>
      <c r="B348" s="13" t="n">
        <v>46270</v>
      </c>
      <c r="C348" s="2" t="s">
        <v>89</v>
      </c>
      <c r="D348" s="2" t="n">
        <v>1</v>
      </c>
      <c r="E348" s="14" t="s">
        <v>485</v>
      </c>
      <c r="F348" s="7" t="n">
        <v>14000</v>
      </c>
    </row>
    <row r="349" customFormat="false" ht="15" hidden="false" customHeight="false" outlineLevel="0" collapsed="false">
      <c r="A349" s="2" t="s">
        <v>486</v>
      </c>
      <c r="B349" s="13" t="n">
        <v>46270</v>
      </c>
      <c r="C349" s="2" t="s">
        <v>82</v>
      </c>
      <c r="D349" s="2" t="n">
        <v>1</v>
      </c>
      <c r="E349" s="14" t="s">
        <v>487</v>
      </c>
      <c r="F349" s="7" t="n">
        <v>13000</v>
      </c>
    </row>
    <row r="350" customFormat="false" ht="15" hidden="false" customHeight="false" outlineLevel="0" collapsed="false">
      <c r="A350" s="2" t="s">
        <v>486</v>
      </c>
      <c r="B350" s="13" t="n">
        <v>46270</v>
      </c>
      <c r="C350" s="2" t="s">
        <v>132</v>
      </c>
      <c r="D350" s="2" t="n">
        <v>1</v>
      </c>
      <c r="E350" s="14" t="s">
        <v>487</v>
      </c>
      <c r="F350" s="7" t="n">
        <v>15000</v>
      </c>
    </row>
    <row r="351" customFormat="false" ht="15" hidden="false" customHeight="false" outlineLevel="0" collapsed="false">
      <c r="A351" s="2" t="s">
        <v>488</v>
      </c>
      <c r="B351" s="13" t="n">
        <v>46270</v>
      </c>
      <c r="C351" s="2" t="s">
        <v>79</v>
      </c>
      <c r="D351" s="2" t="n">
        <v>1</v>
      </c>
      <c r="E351" s="14" t="s">
        <v>489</v>
      </c>
      <c r="F351" s="7" t="n">
        <v>16000</v>
      </c>
    </row>
    <row r="352" customFormat="false" ht="15" hidden="false" customHeight="false" outlineLevel="0" collapsed="false">
      <c r="A352" s="2" t="s">
        <v>490</v>
      </c>
      <c r="B352" s="13" t="n">
        <v>46270</v>
      </c>
      <c r="C352" s="2" t="s">
        <v>108</v>
      </c>
      <c r="D352" s="2" t="n">
        <v>1</v>
      </c>
      <c r="E352" s="14" t="s">
        <v>491</v>
      </c>
      <c r="F352" s="7" t="n">
        <v>20000</v>
      </c>
    </row>
    <row r="353" customFormat="false" ht="15" hidden="false" customHeight="false" outlineLevel="0" collapsed="false">
      <c r="A353" s="2" t="s">
        <v>490</v>
      </c>
      <c r="B353" s="13" t="n">
        <v>46270</v>
      </c>
      <c r="C353" s="2" t="s">
        <v>101</v>
      </c>
      <c r="D353" s="2" t="n">
        <v>2</v>
      </c>
      <c r="E353" s="14" t="s">
        <v>491</v>
      </c>
      <c r="F353" s="7" t="n">
        <v>18000</v>
      </c>
    </row>
    <row r="354" customFormat="false" ht="15" hidden="false" customHeight="false" outlineLevel="0" collapsed="false">
      <c r="A354" s="2" t="s">
        <v>492</v>
      </c>
      <c r="B354" s="13" t="n">
        <v>46270</v>
      </c>
      <c r="C354" s="2" t="s">
        <v>81</v>
      </c>
      <c r="D354" s="2" t="n">
        <v>1</v>
      </c>
      <c r="E354" s="14" t="s">
        <v>493</v>
      </c>
      <c r="F354" s="7" t="n">
        <v>15000</v>
      </c>
    </row>
    <row r="355" customFormat="false" ht="15" hidden="false" customHeight="false" outlineLevel="0" collapsed="false">
      <c r="A355" s="2" t="s">
        <v>492</v>
      </c>
      <c r="B355" s="13" t="n">
        <v>46270</v>
      </c>
      <c r="C355" s="2" t="s">
        <v>79</v>
      </c>
      <c r="D355" s="2" t="n">
        <v>1</v>
      </c>
      <c r="E355" s="14" t="s">
        <v>493</v>
      </c>
      <c r="F355" s="7" t="n">
        <v>16000</v>
      </c>
    </row>
    <row r="356" customFormat="false" ht="15" hidden="false" customHeight="false" outlineLevel="0" collapsed="false">
      <c r="A356" s="2" t="s">
        <v>494</v>
      </c>
      <c r="B356" s="13" t="n">
        <v>46270</v>
      </c>
      <c r="C356" s="2" t="s">
        <v>89</v>
      </c>
      <c r="D356" s="2" t="n">
        <v>1</v>
      </c>
      <c r="E356" s="14" t="s">
        <v>495</v>
      </c>
      <c r="F356" s="7" t="n">
        <v>14000</v>
      </c>
    </row>
    <row r="357" customFormat="false" ht="15" hidden="false" customHeight="false" outlineLevel="0" collapsed="false">
      <c r="A357" s="2" t="s">
        <v>496</v>
      </c>
      <c r="B357" s="13" t="n">
        <v>46270</v>
      </c>
      <c r="C357" s="2" t="s">
        <v>132</v>
      </c>
      <c r="D357" s="2" t="n">
        <v>2</v>
      </c>
      <c r="E357" s="14" t="s">
        <v>497</v>
      </c>
      <c r="F357" s="7" t="n">
        <v>15000</v>
      </c>
    </row>
    <row r="358" customFormat="false" ht="15" hidden="false" customHeight="false" outlineLevel="0" collapsed="false">
      <c r="A358" s="2" t="s">
        <v>498</v>
      </c>
      <c r="B358" s="13" t="n">
        <v>46270</v>
      </c>
      <c r="C358" s="2" t="s">
        <v>112</v>
      </c>
      <c r="D358" s="2" t="n">
        <v>1</v>
      </c>
      <c r="E358" s="14" t="s">
        <v>499</v>
      </c>
      <c r="F358" s="7" t="n">
        <v>10000</v>
      </c>
    </row>
    <row r="359" customFormat="false" ht="15" hidden="false" customHeight="false" outlineLevel="0" collapsed="false">
      <c r="A359" s="2" t="s">
        <v>498</v>
      </c>
      <c r="B359" s="13" t="n">
        <v>46270</v>
      </c>
      <c r="C359" s="2" t="s">
        <v>101</v>
      </c>
      <c r="D359" s="2" t="n">
        <v>1</v>
      </c>
      <c r="E359" s="14" t="s">
        <v>499</v>
      </c>
      <c r="F359" s="7" t="n">
        <v>18000</v>
      </c>
    </row>
    <row r="360" customFormat="false" ht="15" hidden="false" customHeight="false" outlineLevel="0" collapsed="false">
      <c r="A360" s="2" t="s">
        <v>500</v>
      </c>
      <c r="B360" s="13" t="n">
        <v>46270</v>
      </c>
      <c r="C360" s="2" t="s">
        <v>101</v>
      </c>
      <c r="D360" s="2" t="n">
        <v>2</v>
      </c>
      <c r="E360" s="14" t="s">
        <v>501</v>
      </c>
      <c r="F360" s="7" t="n">
        <v>18000</v>
      </c>
    </row>
    <row r="361" customFormat="false" ht="15" hidden="false" customHeight="false" outlineLevel="0" collapsed="false">
      <c r="A361" s="2" t="s">
        <v>502</v>
      </c>
      <c r="B361" s="13" t="n">
        <v>46270</v>
      </c>
      <c r="C361" s="2" t="s">
        <v>81</v>
      </c>
      <c r="D361" s="2" t="n">
        <v>2</v>
      </c>
      <c r="E361" s="14" t="s">
        <v>503</v>
      </c>
      <c r="F361" s="7" t="n">
        <v>15000</v>
      </c>
    </row>
    <row r="362" customFormat="false" ht="15" hidden="false" customHeight="false" outlineLevel="0" collapsed="false">
      <c r="A362" s="2" t="s">
        <v>502</v>
      </c>
      <c r="B362" s="13" t="n">
        <v>46270</v>
      </c>
      <c r="C362" s="2" t="s">
        <v>112</v>
      </c>
      <c r="D362" s="2" t="n">
        <v>1</v>
      </c>
      <c r="E362" s="14" t="s">
        <v>503</v>
      </c>
      <c r="F362" s="7" t="n">
        <v>10000</v>
      </c>
    </row>
    <row r="363" customFormat="false" ht="15" hidden="false" customHeight="false" outlineLevel="0" collapsed="false">
      <c r="A363" s="2" t="s">
        <v>502</v>
      </c>
      <c r="B363" s="13" t="n">
        <v>46270</v>
      </c>
      <c r="C363" s="2" t="s">
        <v>108</v>
      </c>
      <c r="D363" s="2" t="n">
        <v>2</v>
      </c>
      <c r="E363" s="14" t="s">
        <v>503</v>
      </c>
      <c r="F363" s="7" t="n">
        <v>20000</v>
      </c>
    </row>
    <row r="364" customFormat="false" ht="15" hidden="false" customHeight="false" outlineLevel="0" collapsed="false">
      <c r="A364" s="2" t="s">
        <v>504</v>
      </c>
      <c r="B364" s="13" t="n">
        <v>46270</v>
      </c>
      <c r="C364" s="2" t="s">
        <v>89</v>
      </c>
      <c r="D364" s="2" t="n">
        <v>1</v>
      </c>
      <c r="E364" s="14" t="s">
        <v>505</v>
      </c>
      <c r="F364" s="7" t="n">
        <v>14000</v>
      </c>
    </row>
    <row r="365" customFormat="false" ht="15" hidden="false" customHeight="false" outlineLevel="0" collapsed="false">
      <c r="A365" s="2" t="s">
        <v>504</v>
      </c>
      <c r="B365" s="13" t="n">
        <v>46270</v>
      </c>
      <c r="C365" s="2" t="s">
        <v>92</v>
      </c>
      <c r="D365" s="2" t="n">
        <v>3</v>
      </c>
      <c r="E365" s="14" t="s">
        <v>505</v>
      </c>
      <c r="F365" s="7" t="n">
        <v>4000</v>
      </c>
    </row>
    <row r="366" customFormat="false" ht="15" hidden="false" customHeight="false" outlineLevel="0" collapsed="false">
      <c r="A366" s="2" t="s">
        <v>504</v>
      </c>
      <c r="B366" s="13" t="n">
        <v>46270</v>
      </c>
      <c r="C366" s="2" t="s">
        <v>84</v>
      </c>
      <c r="D366" s="2" t="n">
        <v>1</v>
      </c>
      <c r="E366" s="14" t="s">
        <v>505</v>
      </c>
      <c r="F366" s="7" t="n">
        <v>5000</v>
      </c>
    </row>
    <row r="367" customFormat="false" ht="15" hidden="false" customHeight="false" outlineLevel="0" collapsed="false">
      <c r="A367" s="2" t="s">
        <v>506</v>
      </c>
      <c r="B367" s="13" t="n">
        <v>46270</v>
      </c>
      <c r="C367" s="2" t="s">
        <v>112</v>
      </c>
      <c r="D367" s="2" t="n">
        <v>1</v>
      </c>
      <c r="E367" s="14" t="s">
        <v>507</v>
      </c>
      <c r="F367" s="7" t="n">
        <v>10000</v>
      </c>
    </row>
    <row r="368" customFormat="false" ht="15" hidden="false" customHeight="false" outlineLevel="0" collapsed="false">
      <c r="A368" s="2" t="s">
        <v>506</v>
      </c>
      <c r="B368" s="13" t="n">
        <v>46270</v>
      </c>
      <c r="C368" s="2" t="s">
        <v>84</v>
      </c>
      <c r="D368" s="2" t="n">
        <v>1</v>
      </c>
      <c r="E368" s="14" t="s">
        <v>507</v>
      </c>
      <c r="F368" s="7" t="n">
        <v>5000</v>
      </c>
    </row>
    <row r="369" customFormat="false" ht="15" hidden="false" customHeight="false" outlineLevel="0" collapsed="false">
      <c r="A369" s="2" t="s">
        <v>508</v>
      </c>
      <c r="B369" s="13" t="n">
        <v>46270</v>
      </c>
      <c r="C369" s="2" t="s">
        <v>132</v>
      </c>
      <c r="D369" s="2" t="n">
        <v>1</v>
      </c>
      <c r="E369" s="14" t="s">
        <v>509</v>
      </c>
      <c r="F369" s="7" t="n">
        <v>15000</v>
      </c>
    </row>
    <row r="370" customFormat="false" ht="15" hidden="false" customHeight="false" outlineLevel="0" collapsed="false">
      <c r="A370" s="2" t="s">
        <v>508</v>
      </c>
      <c r="B370" s="13" t="n">
        <v>46270</v>
      </c>
      <c r="C370" s="2" t="s">
        <v>108</v>
      </c>
      <c r="D370" s="2" t="n">
        <v>1</v>
      </c>
      <c r="E370" s="14" t="s">
        <v>509</v>
      </c>
      <c r="F370" s="7" t="n">
        <v>20000</v>
      </c>
    </row>
    <row r="371" customFormat="false" ht="15" hidden="false" customHeight="false" outlineLevel="0" collapsed="false">
      <c r="A371" s="2" t="s">
        <v>510</v>
      </c>
      <c r="B371" s="13" t="n">
        <v>46270</v>
      </c>
      <c r="C371" s="2" t="s">
        <v>81</v>
      </c>
      <c r="D371" s="2" t="n">
        <v>2</v>
      </c>
      <c r="E371" s="14" t="s">
        <v>509</v>
      </c>
      <c r="F371" s="7" t="n">
        <v>15000</v>
      </c>
    </row>
    <row r="372" customFormat="false" ht="15" hidden="false" customHeight="false" outlineLevel="0" collapsed="false">
      <c r="A372" s="2" t="s">
        <v>511</v>
      </c>
      <c r="B372" s="13" t="n">
        <v>46270</v>
      </c>
      <c r="C372" s="2" t="s">
        <v>132</v>
      </c>
      <c r="D372" s="2" t="n">
        <v>1</v>
      </c>
      <c r="E372" s="14" t="s">
        <v>512</v>
      </c>
      <c r="F372" s="7" t="n">
        <v>15000</v>
      </c>
    </row>
    <row r="373" customFormat="false" ht="15" hidden="false" customHeight="false" outlineLevel="0" collapsed="false">
      <c r="A373" s="2" t="s">
        <v>511</v>
      </c>
      <c r="B373" s="13" t="n">
        <v>46270</v>
      </c>
      <c r="C373" s="2" t="s">
        <v>81</v>
      </c>
      <c r="D373" s="2" t="n">
        <v>1</v>
      </c>
      <c r="E373" s="14" t="s">
        <v>512</v>
      </c>
      <c r="F373" s="7" t="n">
        <v>15000</v>
      </c>
    </row>
    <row r="374" customFormat="false" ht="15" hidden="false" customHeight="false" outlineLevel="0" collapsed="false">
      <c r="A374" s="2" t="s">
        <v>513</v>
      </c>
      <c r="B374" s="13" t="n">
        <v>46270</v>
      </c>
      <c r="C374" s="2" t="s">
        <v>92</v>
      </c>
      <c r="D374" s="2" t="n">
        <v>1</v>
      </c>
      <c r="E374" s="14" t="s">
        <v>514</v>
      </c>
      <c r="F374" s="7" t="n">
        <v>4000</v>
      </c>
    </row>
    <row r="375" customFormat="false" ht="15" hidden="false" customHeight="false" outlineLevel="0" collapsed="false">
      <c r="A375" s="2" t="s">
        <v>513</v>
      </c>
      <c r="B375" s="13" t="n">
        <v>46270</v>
      </c>
      <c r="C375" s="2" t="s">
        <v>186</v>
      </c>
      <c r="D375" s="2" t="n">
        <v>3</v>
      </c>
      <c r="E375" s="14" t="s">
        <v>514</v>
      </c>
      <c r="F375" s="7" t="n">
        <v>7000</v>
      </c>
    </row>
    <row r="376" customFormat="false" ht="15" hidden="false" customHeight="false" outlineLevel="0" collapsed="false">
      <c r="A376" s="2" t="s">
        <v>515</v>
      </c>
      <c r="B376" s="13" t="n">
        <v>46270</v>
      </c>
      <c r="C376" s="2" t="s">
        <v>132</v>
      </c>
      <c r="D376" s="2" t="n">
        <v>2</v>
      </c>
      <c r="E376" s="14" t="s">
        <v>150</v>
      </c>
      <c r="F376" s="7" t="n">
        <v>15000</v>
      </c>
    </row>
    <row r="377" customFormat="false" ht="15" hidden="false" customHeight="false" outlineLevel="0" collapsed="false">
      <c r="A377" s="2" t="s">
        <v>515</v>
      </c>
      <c r="B377" s="13" t="n">
        <v>46270</v>
      </c>
      <c r="C377" s="2" t="s">
        <v>84</v>
      </c>
      <c r="D377" s="2" t="n">
        <v>1</v>
      </c>
      <c r="E377" s="14" t="s">
        <v>150</v>
      </c>
      <c r="F377" s="7" t="n">
        <v>5000</v>
      </c>
    </row>
    <row r="378" customFormat="false" ht="15" hidden="false" customHeight="false" outlineLevel="0" collapsed="false">
      <c r="A378" s="2" t="s">
        <v>516</v>
      </c>
      <c r="B378" s="13" t="n">
        <v>46270</v>
      </c>
      <c r="C378" s="2" t="s">
        <v>79</v>
      </c>
      <c r="D378" s="2" t="n">
        <v>2</v>
      </c>
      <c r="E378" s="14" t="s">
        <v>405</v>
      </c>
      <c r="F378" s="7" t="n">
        <v>16000</v>
      </c>
    </row>
    <row r="379" customFormat="false" ht="15" hidden="false" customHeight="false" outlineLevel="0" collapsed="false">
      <c r="A379" s="2" t="s">
        <v>516</v>
      </c>
      <c r="B379" s="13" t="n">
        <v>46270</v>
      </c>
      <c r="C379" s="2" t="s">
        <v>101</v>
      </c>
      <c r="D379" s="2" t="n">
        <v>1</v>
      </c>
      <c r="E379" s="14" t="s">
        <v>405</v>
      </c>
      <c r="F379" s="7" t="n">
        <v>18000</v>
      </c>
    </row>
    <row r="380" customFormat="false" ht="15" hidden="false" customHeight="false" outlineLevel="0" collapsed="false">
      <c r="A380" s="2" t="s">
        <v>517</v>
      </c>
      <c r="B380" s="13" t="n">
        <v>46270</v>
      </c>
      <c r="C380" s="2" t="s">
        <v>81</v>
      </c>
      <c r="D380" s="2" t="n">
        <v>1</v>
      </c>
      <c r="E380" s="14" t="s">
        <v>518</v>
      </c>
      <c r="F380" s="7" t="n">
        <v>15000</v>
      </c>
    </row>
    <row r="381" customFormat="false" ht="15" hidden="false" customHeight="false" outlineLevel="0" collapsed="false">
      <c r="A381" s="2" t="s">
        <v>517</v>
      </c>
      <c r="B381" s="13" t="n">
        <v>46270</v>
      </c>
      <c r="C381" s="2" t="s">
        <v>132</v>
      </c>
      <c r="D381" s="2" t="n">
        <v>1</v>
      </c>
      <c r="E381" s="14" t="s">
        <v>519</v>
      </c>
      <c r="F381" s="7" t="n">
        <v>15000</v>
      </c>
    </row>
    <row r="382" customFormat="false" ht="15" hidden="false" customHeight="false" outlineLevel="0" collapsed="false">
      <c r="A382" s="2" t="s">
        <v>520</v>
      </c>
      <c r="B382" s="13" t="n">
        <v>46270</v>
      </c>
      <c r="C382" s="2" t="s">
        <v>126</v>
      </c>
      <c r="D382" s="2" t="n">
        <v>3</v>
      </c>
      <c r="E382" s="14" t="s">
        <v>521</v>
      </c>
      <c r="F382" s="7" t="n">
        <v>3000</v>
      </c>
    </row>
    <row r="383" customFormat="false" ht="15" hidden="false" customHeight="false" outlineLevel="0" collapsed="false">
      <c r="A383" s="2" t="s">
        <v>520</v>
      </c>
      <c r="B383" s="13" t="n">
        <v>46270</v>
      </c>
      <c r="C383" s="2" t="s">
        <v>82</v>
      </c>
      <c r="D383" s="2" t="n">
        <v>2</v>
      </c>
      <c r="E383" s="14" t="s">
        <v>521</v>
      </c>
      <c r="F383" s="7" t="n">
        <v>13000</v>
      </c>
    </row>
    <row r="384" customFormat="false" ht="15" hidden="false" customHeight="false" outlineLevel="0" collapsed="false">
      <c r="A384" s="2" t="s">
        <v>522</v>
      </c>
      <c r="B384" s="13" t="n">
        <v>46270</v>
      </c>
      <c r="C384" s="2" t="s">
        <v>84</v>
      </c>
      <c r="D384" s="2" t="n">
        <v>2</v>
      </c>
      <c r="E384" s="14" t="s">
        <v>523</v>
      </c>
      <c r="F384" s="7" t="n">
        <v>5000</v>
      </c>
    </row>
    <row r="385" customFormat="false" ht="15" hidden="false" customHeight="false" outlineLevel="0" collapsed="false">
      <c r="A385" s="2" t="s">
        <v>522</v>
      </c>
      <c r="B385" s="13" t="n">
        <v>46270</v>
      </c>
      <c r="C385" s="2" t="s">
        <v>89</v>
      </c>
      <c r="D385" s="2" t="n">
        <v>1</v>
      </c>
      <c r="E385" s="14" t="s">
        <v>523</v>
      </c>
      <c r="F385" s="7" t="n">
        <v>14000</v>
      </c>
    </row>
    <row r="386" customFormat="false" ht="15" hidden="false" customHeight="false" outlineLevel="0" collapsed="false">
      <c r="A386" s="2" t="s">
        <v>524</v>
      </c>
      <c r="B386" s="13" t="n">
        <v>46270</v>
      </c>
      <c r="C386" s="2" t="s">
        <v>81</v>
      </c>
      <c r="D386" s="2" t="n">
        <v>1</v>
      </c>
      <c r="E386" s="14" t="s">
        <v>525</v>
      </c>
      <c r="F386" s="7" t="n">
        <v>15000</v>
      </c>
    </row>
    <row r="387" customFormat="false" ht="15" hidden="false" customHeight="false" outlineLevel="0" collapsed="false">
      <c r="A387" s="2" t="s">
        <v>524</v>
      </c>
      <c r="B387" s="13" t="n">
        <v>46270</v>
      </c>
      <c r="C387" s="2" t="s">
        <v>112</v>
      </c>
      <c r="D387" s="2" t="n">
        <v>1</v>
      </c>
      <c r="E387" s="14" t="s">
        <v>525</v>
      </c>
      <c r="F387" s="7" t="n">
        <v>10000</v>
      </c>
    </row>
    <row r="388" customFormat="false" ht="15" hidden="false" customHeight="false" outlineLevel="0" collapsed="false">
      <c r="A388" s="2" t="s">
        <v>526</v>
      </c>
      <c r="B388" s="13" t="n">
        <v>46270</v>
      </c>
      <c r="C388" s="2" t="s">
        <v>81</v>
      </c>
      <c r="D388" s="2" t="n">
        <v>3</v>
      </c>
      <c r="E388" s="14" t="s">
        <v>420</v>
      </c>
      <c r="F388" s="7" t="n">
        <v>15000</v>
      </c>
    </row>
    <row r="389" customFormat="false" ht="15" hidden="false" customHeight="false" outlineLevel="0" collapsed="false">
      <c r="A389" s="2" t="s">
        <v>526</v>
      </c>
      <c r="B389" s="13" t="n">
        <v>46270</v>
      </c>
      <c r="C389" s="2" t="s">
        <v>84</v>
      </c>
      <c r="D389" s="2" t="n">
        <v>2</v>
      </c>
      <c r="E389" s="14" t="s">
        <v>420</v>
      </c>
      <c r="F389" s="7" t="n">
        <v>5000</v>
      </c>
    </row>
    <row r="390" customFormat="false" ht="15" hidden="false" customHeight="false" outlineLevel="0" collapsed="false">
      <c r="A390" s="2" t="s">
        <v>526</v>
      </c>
      <c r="B390" s="13" t="n">
        <v>46270</v>
      </c>
      <c r="C390" s="2" t="s">
        <v>79</v>
      </c>
      <c r="D390" s="2" t="n">
        <v>1</v>
      </c>
      <c r="E390" s="14" t="s">
        <v>420</v>
      </c>
      <c r="F390" s="7" t="n">
        <v>16000</v>
      </c>
    </row>
    <row r="391" customFormat="false" ht="15" hidden="false" customHeight="false" outlineLevel="0" collapsed="false">
      <c r="A391" s="2" t="s">
        <v>527</v>
      </c>
      <c r="B391" s="13" t="n">
        <v>46270</v>
      </c>
      <c r="C391" s="2" t="s">
        <v>79</v>
      </c>
      <c r="D391" s="2" t="n">
        <v>1</v>
      </c>
      <c r="E391" s="14" t="s">
        <v>167</v>
      </c>
      <c r="F391" s="7" t="n">
        <v>16000</v>
      </c>
    </row>
    <row r="392" customFormat="false" ht="15" hidden="false" customHeight="false" outlineLevel="0" collapsed="false">
      <c r="A392" s="2" t="s">
        <v>528</v>
      </c>
      <c r="B392" s="13" t="n">
        <v>46270</v>
      </c>
      <c r="C392" s="2" t="s">
        <v>101</v>
      </c>
      <c r="D392" s="2" t="n">
        <v>1</v>
      </c>
      <c r="E392" s="14" t="s">
        <v>337</v>
      </c>
      <c r="F392" s="7" t="n">
        <v>18000</v>
      </c>
    </row>
    <row r="393" customFormat="false" ht="15" hidden="false" customHeight="false" outlineLevel="0" collapsed="false">
      <c r="A393" s="2" t="s">
        <v>529</v>
      </c>
      <c r="B393" s="13" t="n">
        <v>46271</v>
      </c>
      <c r="C393" s="2" t="s">
        <v>530</v>
      </c>
      <c r="D393" s="2" t="n">
        <v>1</v>
      </c>
      <c r="E393" s="14" t="s">
        <v>531</v>
      </c>
      <c r="F393" s="7" t="n">
        <v>15000</v>
      </c>
    </row>
    <row r="394" customFormat="false" ht="15" hidden="false" customHeight="false" outlineLevel="0" collapsed="false">
      <c r="A394" s="2" t="s">
        <v>529</v>
      </c>
      <c r="B394" s="13" t="n">
        <v>46271</v>
      </c>
      <c r="C394" s="2" t="s">
        <v>112</v>
      </c>
      <c r="D394" s="2" t="n">
        <v>1</v>
      </c>
      <c r="E394" s="14" t="s">
        <v>531</v>
      </c>
      <c r="F394" s="7" t="n">
        <v>10000</v>
      </c>
    </row>
    <row r="395" customFormat="false" ht="15" hidden="false" customHeight="false" outlineLevel="0" collapsed="false">
      <c r="A395" s="2" t="s">
        <v>532</v>
      </c>
      <c r="B395" s="13" t="n">
        <v>46271</v>
      </c>
      <c r="C395" s="2" t="s">
        <v>81</v>
      </c>
      <c r="D395" s="2" t="n">
        <v>1</v>
      </c>
      <c r="E395" s="14" t="s">
        <v>533</v>
      </c>
      <c r="F395" s="7" t="n">
        <v>15000</v>
      </c>
    </row>
    <row r="396" customFormat="false" ht="15" hidden="false" customHeight="false" outlineLevel="0" collapsed="false">
      <c r="A396" s="2" t="s">
        <v>532</v>
      </c>
      <c r="B396" s="13" t="n">
        <v>46271</v>
      </c>
      <c r="C396" s="2" t="s">
        <v>89</v>
      </c>
      <c r="D396" s="2" t="n">
        <v>1</v>
      </c>
      <c r="E396" s="14" t="s">
        <v>533</v>
      </c>
      <c r="F396" s="7" t="n">
        <v>14000</v>
      </c>
    </row>
    <row r="397" customFormat="false" ht="15" hidden="false" customHeight="false" outlineLevel="0" collapsed="false">
      <c r="A397" s="2" t="s">
        <v>532</v>
      </c>
      <c r="B397" s="13" t="n">
        <v>46271</v>
      </c>
      <c r="C397" s="2" t="s">
        <v>79</v>
      </c>
      <c r="D397" s="2" t="n">
        <v>2</v>
      </c>
      <c r="E397" s="14" t="s">
        <v>533</v>
      </c>
      <c r="F397" s="7" t="n">
        <v>16000</v>
      </c>
    </row>
    <row r="398" customFormat="false" ht="15" hidden="false" customHeight="false" outlineLevel="0" collapsed="false">
      <c r="A398" s="2" t="s">
        <v>534</v>
      </c>
      <c r="B398" s="13" t="n">
        <v>46271</v>
      </c>
      <c r="C398" s="2" t="s">
        <v>89</v>
      </c>
      <c r="D398" s="2" t="n">
        <v>3</v>
      </c>
      <c r="E398" s="14" t="s">
        <v>535</v>
      </c>
      <c r="F398" s="7" t="n">
        <v>14000</v>
      </c>
    </row>
    <row r="399" customFormat="false" ht="15" hidden="false" customHeight="false" outlineLevel="0" collapsed="false">
      <c r="A399" s="2" t="s">
        <v>536</v>
      </c>
      <c r="B399" s="13" t="n">
        <v>46271</v>
      </c>
      <c r="C399" s="2" t="s">
        <v>89</v>
      </c>
      <c r="D399" s="2" t="n">
        <v>1</v>
      </c>
      <c r="E399" s="14" t="s">
        <v>537</v>
      </c>
      <c r="F399" s="7" t="n">
        <v>14000</v>
      </c>
    </row>
    <row r="400" customFormat="false" ht="15" hidden="false" customHeight="false" outlineLevel="0" collapsed="false">
      <c r="A400" s="2" t="s">
        <v>538</v>
      </c>
      <c r="B400" s="13" t="n">
        <v>46271</v>
      </c>
      <c r="C400" s="2" t="s">
        <v>79</v>
      </c>
      <c r="D400" s="2" t="n">
        <v>1</v>
      </c>
      <c r="E400" s="14" t="s">
        <v>179</v>
      </c>
      <c r="F400" s="7" t="n">
        <v>16000</v>
      </c>
    </row>
    <row r="401" customFormat="false" ht="15" hidden="false" customHeight="false" outlineLevel="0" collapsed="false">
      <c r="A401" s="2" t="s">
        <v>538</v>
      </c>
      <c r="B401" s="13" t="n">
        <v>46271</v>
      </c>
      <c r="C401" s="2" t="s">
        <v>92</v>
      </c>
      <c r="D401" s="2" t="n">
        <v>1</v>
      </c>
      <c r="E401" s="14" t="s">
        <v>179</v>
      </c>
      <c r="F401" s="7" t="n">
        <v>4000</v>
      </c>
    </row>
    <row r="402" customFormat="false" ht="15" hidden="false" customHeight="false" outlineLevel="0" collapsed="false">
      <c r="A402" s="2" t="s">
        <v>539</v>
      </c>
      <c r="B402" s="13" t="n">
        <v>46271</v>
      </c>
      <c r="C402" s="2" t="s">
        <v>81</v>
      </c>
      <c r="D402" s="2" t="n">
        <v>1</v>
      </c>
      <c r="E402" s="14" t="s">
        <v>540</v>
      </c>
      <c r="F402" s="7" t="n">
        <v>15000</v>
      </c>
    </row>
    <row r="403" customFormat="false" ht="15" hidden="false" customHeight="false" outlineLevel="0" collapsed="false">
      <c r="A403" s="2" t="s">
        <v>539</v>
      </c>
      <c r="B403" s="13" t="n">
        <v>46271</v>
      </c>
      <c r="C403" s="2" t="s">
        <v>132</v>
      </c>
      <c r="D403" s="2" t="n">
        <v>2</v>
      </c>
      <c r="E403" s="14" t="s">
        <v>540</v>
      </c>
      <c r="F403" s="7" t="n">
        <v>15000</v>
      </c>
    </row>
    <row r="404" customFormat="false" ht="15" hidden="false" customHeight="false" outlineLevel="0" collapsed="false">
      <c r="A404" s="2" t="s">
        <v>541</v>
      </c>
      <c r="B404" s="13" t="n">
        <v>46271</v>
      </c>
      <c r="C404" s="2" t="s">
        <v>101</v>
      </c>
      <c r="D404" s="2" t="n">
        <v>1</v>
      </c>
      <c r="E404" s="14" t="s">
        <v>443</v>
      </c>
      <c r="F404" s="7" t="n">
        <v>18000</v>
      </c>
    </row>
    <row r="405" customFormat="false" ht="15" hidden="false" customHeight="false" outlineLevel="0" collapsed="false">
      <c r="A405" s="2" t="s">
        <v>541</v>
      </c>
      <c r="B405" s="13" t="n">
        <v>46271</v>
      </c>
      <c r="C405" s="2" t="s">
        <v>542</v>
      </c>
      <c r="D405" s="2" t="n">
        <v>2</v>
      </c>
      <c r="E405" s="14" t="s">
        <v>443</v>
      </c>
      <c r="F405" s="7" t="n">
        <v>4000</v>
      </c>
    </row>
    <row r="406" customFormat="false" ht="15" hidden="false" customHeight="false" outlineLevel="0" collapsed="false">
      <c r="A406" s="2" t="s">
        <v>543</v>
      </c>
      <c r="B406" s="13" t="n">
        <v>46271</v>
      </c>
      <c r="C406" s="2" t="s">
        <v>108</v>
      </c>
      <c r="D406" s="2" t="n">
        <v>1</v>
      </c>
      <c r="E406" s="14" t="s">
        <v>447</v>
      </c>
      <c r="F406" s="7" t="n">
        <v>20000</v>
      </c>
    </row>
    <row r="407" customFormat="false" ht="15" hidden="false" customHeight="false" outlineLevel="0" collapsed="false">
      <c r="A407" s="2" t="s">
        <v>543</v>
      </c>
      <c r="B407" s="13" t="n">
        <v>46271</v>
      </c>
      <c r="C407" s="2" t="s">
        <v>132</v>
      </c>
      <c r="D407" s="2" t="n">
        <v>1</v>
      </c>
      <c r="E407" s="14" t="s">
        <v>447</v>
      </c>
      <c r="F407" s="7" t="n">
        <v>15000</v>
      </c>
    </row>
    <row r="408" customFormat="false" ht="15" hidden="false" customHeight="false" outlineLevel="0" collapsed="false">
      <c r="A408" s="2" t="s">
        <v>544</v>
      </c>
      <c r="B408" s="13" t="n">
        <v>46271</v>
      </c>
      <c r="C408" s="2" t="s">
        <v>108</v>
      </c>
      <c r="D408" s="2" t="n">
        <v>1</v>
      </c>
      <c r="E408" s="14" t="s">
        <v>545</v>
      </c>
      <c r="F408" s="7" t="n">
        <v>20000</v>
      </c>
    </row>
    <row r="409" customFormat="false" ht="15" hidden="false" customHeight="false" outlineLevel="0" collapsed="false">
      <c r="A409" s="2" t="s">
        <v>546</v>
      </c>
      <c r="B409" s="13" t="n">
        <v>46271</v>
      </c>
      <c r="C409" s="2" t="s">
        <v>81</v>
      </c>
      <c r="D409" s="2" t="n">
        <v>2</v>
      </c>
      <c r="E409" s="14" t="s">
        <v>547</v>
      </c>
      <c r="F409" s="7" t="n">
        <v>15000</v>
      </c>
    </row>
    <row r="410" customFormat="false" ht="15" hidden="false" customHeight="false" outlineLevel="0" collapsed="false">
      <c r="A410" s="2" t="s">
        <v>548</v>
      </c>
      <c r="B410" s="13" t="n">
        <v>46271</v>
      </c>
      <c r="C410" s="2" t="s">
        <v>108</v>
      </c>
      <c r="D410" s="2" t="n">
        <v>1</v>
      </c>
      <c r="E410" s="14" t="s">
        <v>281</v>
      </c>
      <c r="F410" s="7" t="n">
        <v>20000</v>
      </c>
    </row>
    <row r="411" customFormat="false" ht="15" hidden="false" customHeight="false" outlineLevel="0" collapsed="false">
      <c r="A411" s="2" t="s">
        <v>548</v>
      </c>
      <c r="B411" s="13" t="n">
        <v>46271</v>
      </c>
      <c r="C411" s="2" t="s">
        <v>112</v>
      </c>
      <c r="D411" s="2" t="n">
        <v>1</v>
      </c>
      <c r="E411" s="14" t="s">
        <v>281</v>
      </c>
      <c r="F411" s="7" t="n">
        <v>10000</v>
      </c>
    </row>
    <row r="412" customFormat="false" ht="15" hidden="false" customHeight="false" outlineLevel="0" collapsed="false">
      <c r="A412" s="2" t="s">
        <v>548</v>
      </c>
      <c r="B412" s="13" t="n">
        <v>46271</v>
      </c>
      <c r="C412" s="2" t="s">
        <v>101</v>
      </c>
      <c r="D412" s="2" t="n">
        <v>2</v>
      </c>
      <c r="E412" s="14" t="s">
        <v>281</v>
      </c>
      <c r="F412" s="7" t="n">
        <v>18000</v>
      </c>
    </row>
    <row r="413" customFormat="false" ht="15" hidden="false" customHeight="false" outlineLevel="0" collapsed="false">
      <c r="A413" s="2" t="s">
        <v>549</v>
      </c>
      <c r="B413" s="13" t="n">
        <v>46271</v>
      </c>
      <c r="C413" s="2" t="s">
        <v>112</v>
      </c>
      <c r="D413" s="2" t="n">
        <v>2</v>
      </c>
      <c r="E413" s="14" t="s">
        <v>457</v>
      </c>
      <c r="F413" s="7" t="n">
        <v>10000</v>
      </c>
    </row>
    <row r="414" customFormat="false" ht="15" hidden="false" customHeight="false" outlineLevel="0" collapsed="false">
      <c r="A414" s="2" t="s">
        <v>550</v>
      </c>
      <c r="B414" s="13" t="n">
        <v>46271</v>
      </c>
      <c r="C414" s="2" t="s">
        <v>84</v>
      </c>
      <c r="D414" s="2" t="n">
        <v>1</v>
      </c>
      <c r="E414" s="14" t="s">
        <v>374</v>
      </c>
      <c r="F414" s="7" t="n">
        <v>5000</v>
      </c>
    </row>
    <row r="415" customFormat="false" ht="15" hidden="false" customHeight="false" outlineLevel="0" collapsed="false">
      <c r="A415" s="2" t="s">
        <v>550</v>
      </c>
      <c r="B415" s="13" t="n">
        <v>46271</v>
      </c>
      <c r="C415" s="2" t="s">
        <v>92</v>
      </c>
      <c r="D415" s="2" t="n">
        <v>1</v>
      </c>
      <c r="E415" s="14" t="s">
        <v>374</v>
      </c>
      <c r="F415" s="7" t="n">
        <v>4000</v>
      </c>
    </row>
    <row r="416" customFormat="false" ht="15" hidden="false" customHeight="false" outlineLevel="0" collapsed="false">
      <c r="A416" s="2" t="s">
        <v>550</v>
      </c>
      <c r="B416" s="13" t="n">
        <v>46271</v>
      </c>
      <c r="C416" s="2" t="s">
        <v>82</v>
      </c>
      <c r="D416" s="2" t="n">
        <v>2</v>
      </c>
      <c r="E416" s="14" t="s">
        <v>374</v>
      </c>
      <c r="F416" s="7" t="n">
        <v>13000</v>
      </c>
    </row>
    <row r="417" customFormat="false" ht="15" hidden="false" customHeight="false" outlineLevel="0" collapsed="false">
      <c r="A417" s="2" t="s">
        <v>551</v>
      </c>
      <c r="B417" s="13" t="n">
        <v>46271</v>
      </c>
      <c r="C417" s="2" t="s">
        <v>186</v>
      </c>
      <c r="D417" s="2" t="n">
        <v>1</v>
      </c>
      <c r="E417" s="14" t="s">
        <v>377</v>
      </c>
      <c r="F417" s="7" t="n">
        <v>7000</v>
      </c>
    </row>
    <row r="418" customFormat="false" ht="15" hidden="false" customHeight="false" outlineLevel="0" collapsed="false">
      <c r="A418" s="2" t="s">
        <v>552</v>
      </c>
      <c r="B418" s="13" t="n">
        <v>46271</v>
      </c>
      <c r="C418" s="2" t="s">
        <v>101</v>
      </c>
      <c r="D418" s="2" t="n">
        <v>2</v>
      </c>
      <c r="E418" s="14" t="s">
        <v>553</v>
      </c>
      <c r="F418" s="7" t="n">
        <v>18000</v>
      </c>
    </row>
    <row r="419" customFormat="false" ht="15" hidden="false" customHeight="false" outlineLevel="0" collapsed="false">
      <c r="A419" s="2" t="s">
        <v>554</v>
      </c>
      <c r="B419" s="13" t="n">
        <v>46271</v>
      </c>
      <c r="C419" s="2" t="s">
        <v>101</v>
      </c>
      <c r="D419" s="2" t="n">
        <v>1</v>
      </c>
      <c r="E419" s="14" t="s">
        <v>99</v>
      </c>
      <c r="F419" s="7" t="n">
        <v>18000</v>
      </c>
    </row>
    <row r="420" customFormat="false" ht="15" hidden="false" customHeight="false" outlineLevel="0" collapsed="false">
      <c r="A420" s="2" t="s">
        <v>555</v>
      </c>
      <c r="B420" s="13" t="n">
        <v>46271</v>
      </c>
      <c r="C420" s="2" t="s">
        <v>81</v>
      </c>
      <c r="D420" s="2" t="n">
        <v>1</v>
      </c>
      <c r="E420" s="14" t="s">
        <v>556</v>
      </c>
      <c r="F420" s="7" t="n">
        <v>15000</v>
      </c>
    </row>
    <row r="421" customFormat="false" ht="15" hidden="false" customHeight="false" outlineLevel="0" collapsed="false">
      <c r="A421" s="2" t="s">
        <v>555</v>
      </c>
      <c r="B421" s="13" t="n">
        <v>46271</v>
      </c>
      <c r="C421" s="2" t="s">
        <v>126</v>
      </c>
      <c r="D421" s="2" t="n">
        <v>1</v>
      </c>
      <c r="E421" s="14" t="s">
        <v>556</v>
      </c>
      <c r="F421" s="7" t="n">
        <v>3000</v>
      </c>
    </row>
    <row r="422" customFormat="false" ht="15" hidden="false" customHeight="false" outlineLevel="0" collapsed="false">
      <c r="A422" s="2" t="s">
        <v>555</v>
      </c>
      <c r="B422" s="13" t="n">
        <v>46271</v>
      </c>
      <c r="C422" s="2" t="s">
        <v>84</v>
      </c>
      <c r="D422" s="2" t="n">
        <v>1</v>
      </c>
      <c r="E422" s="14" t="s">
        <v>556</v>
      </c>
      <c r="F422" s="7" t="n">
        <v>5000</v>
      </c>
    </row>
    <row r="423" customFormat="false" ht="15" hidden="false" customHeight="false" outlineLevel="0" collapsed="false">
      <c r="A423" s="2" t="s">
        <v>557</v>
      </c>
      <c r="B423" s="13" t="n">
        <v>46271</v>
      </c>
      <c r="C423" s="2" t="s">
        <v>84</v>
      </c>
      <c r="D423" s="2" t="n">
        <v>2</v>
      </c>
      <c r="E423" s="14" t="s">
        <v>106</v>
      </c>
      <c r="F423" s="7" t="n">
        <v>5000</v>
      </c>
    </row>
    <row r="424" customFormat="false" ht="15" hidden="false" customHeight="false" outlineLevel="0" collapsed="false">
      <c r="A424" s="2" t="s">
        <v>558</v>
      </c>
      <c r="B424" s="13" t="n">
        <v>46271</v>
      </c>
      <c r="C424" s="2" t="s">
        <v>92</v>
      </c>
      <c r="D424" s="2" t="n">
        <v>1</v>
      </c>
      <c r="E424" s="14" t="s">
        <v>559</v>
      </c>
      <c r="F424" s="7" t="n">
        <v>4000</v>
      </c>
    </row>
    <row r="425" customFormat="false" ht="15" hidden="false" customHeight="false" outlineLevel="0" collapsed="false">
      <c r="A425" s="2" t="s">
        <v>560</v>
      </c>
      <c r="B425" s="13" t="n">
        <v>46271</v>
      </c>
      <c r="C425" s="2" t="s">
        <v>89</v>
      </c>
      <c r="D425" s="2" t="n">
        <v>2</v>
      </c>
      <c r="E425" s="14" t="s">
        <v>561</v>
      </c>
      <c r="F425" s="7" t="n">
        <v>14000</v>
      </c>
    </row>
    <row r="426" customFormat="false" ht="15" hidden="false" customHeight="false" outlineLevel="0" collapsed="false">
      <c r="A426" s="2" t="s">
        <v>560</v>
      </c>
      <c r="B426" s="13" t="n">
        <v>46271</v>
      </c>
      <c r="C426" s="2" t="s">
        <v>84</v>
      </c>
      <c r="D426" s="2" t="n">
        <v>1</v>
      </c>
      <c r="E426" s="14" t="s">
        <v>561</v>
      </c>
      <c r="F426" s="7" t="n">
        <v>5000</v>
      </c>
    </row>
    <row r="427" customFormat="false" ht="15" hidden="false" customHeight="false" outlineLevel="0" collapsed="false">
      <c r="A427" s="2" t="s">
        <v>562</v>
      </c>
      <c r="B427" s="13" t="n">
        <v>46271</v>
      </c>
      <c r="C427" s="2" t="s">
        <v>89</v>
      </c>
      <c r="D427" s="2" t="n">
        <v>2</v>
      </c>
      <c r="E427" s="14" t="s">
        <v>563</v>
      </c>
      <c r="F427" s="7" t="n">
        <v>14000</v>
      </c>
    </row>
    <row r="428" customFormat="false" ht="15" hidden="false" customHeight="false" outlineLevel="0" collapsed="false">
      <c r="A428" s="2" t="s">
        <v>562</v>
      </c>
      <c r="B428" s="13" t="n">
        <v>46271</v>
      </c>
      <c r="C428" s="2" t="s">
        <v>112</v>
      </c>
      <c r="D428" s="2" t="n">
        <v>1</v>
      </c>
      <c r="E428" s="14" t="s">
        <v>563</v>
      </c>
      <c r="F428" s="7" t="n">
        <v>10000</v>
      </c>
    </row>
    <row r="429" customFormat="false" ht="15" hidden="false" customHeight="false" outlineLevel="0" collapsed="false">
      <c r="A429" s="2" t="s">
        <v>564</v>
      </c>
      <c r="B429" s="13" t="n">
        <v>46271</v>
      </c>
      <c r="C429" s="2" t="s">
        <v>126</v>
      </c>
      <c r="D429" s="2" t="n">
        <v>1</v>
      </c>
      <c r="E429" s="14" t="s">
        <v>565</v>
      </c>
      <c r="F429" s="7" t="n">
        <v>3000</v>
      </c>
    </row>
    <row r="430" customFormat="false" ht="15" hidden="false" customHeight="false" outlineLevel="0" collapsed="false">
      <c r="A430" s="2" t="s">
        <v>566</v>
      </c>
      <c r="B430" s="13" t="n">
        <v>46271</v>
      </c>
      <c r="C430" s="2" t="s">
        <v>89</v>
      </c>
      <c r="D430" s="2" t="n">
        <v>1</v>
      </c>
      <c r="E430" s="14" t="s">
        <v>567</v>
      </c>
      <c r="F430" s="7" t="n">
        <v>14000</v>
      </c>
    </row>
    <row r="431" customFormat="false" ht="15" hidden="false" customHeight="false" outlineLevel="0" collapsed="false">
      <c r="A431" s="2" t="s">
        <v>566</v>
      </c>
      <c r="B431" s="13" t="n">
        <v>46271</v>
      </c>
      <c r="C431" s="2" t="s">
        <v>132</v>
      </c>
      <c r="D431" s="2" t="n">
        <v>2</v>
      </c>
      <c r="E431" s="14" t="s">
        <v>567</v>
      </c>
      <c r="F431" s="7" t="n">
        <v>15000</v>
      </c>
    </row>
    <row r="432" customFormat="false" ht="15" hidden="false" customHeight="false" outlineLevel="0" collapsed="false">
      <c r="A432" s="2" t="s">
        <v>568</v>
      </c>
      <c r="B432" s="13" t="n">
        <v>46271</v>
      </c>
      <c r="C432" s="2" t="s">
        <v>132</v>
      </c>
      <c r="D432" s="2" t="n">
        <v>1</v>
      </c>
      <c r="E432" s="14" t="s">
        <v>569</v>
      </c>
      <c r="F432" s="7" t="n">
        <v>15000</v>
      </c>
    </row>
    <row r="433" customFormat="false" ht="15" hidden="false" customHeight="false" outlineLevel="0" collapsed="false">
      <c r="A433" s="2" t="s">
        <v>570</v>
      </c>
      <c r="B433" s="13" t="n">
        <v>46271</v>
      </c>
      <c r="C433" s="2" t="s">
        <v>81</v>
      </c>
      <c r="D433" s="2" t="n">
        <v>2</v>
      </c>
      <c r="E433" s="14" t="s">
        <v>485</v>
      </c>
      <c r="F433" s="7" t="n">
        <v>15000</v>
      </c>
    </row>
    <row r="434" customFormat="false" ht="15" hidden="false" customHeight="false" outlineLevel="0" collapsed="false">
      <c r="A434" s="2" t="s">
        <v>570</v>
      </c>
      <c r="B434" s="13" t="n">
        <v>46271</v>
      </c>
      <c r="C434" s="2" t="s">
        <v>186</v>
      </c>
      <c r="D434" s="2" t="n">
        <v>1</v>
      </c>
      <c r="E434" s="14" t="s">
        <v>485</v>
      </c>
      <c r="F434" s="7" t="n">
        <v>7000</v>
      </c>
    </row>
    <row r="435" customFormat="false" ht="15" hidden="false" customHeight="false" outlineLevel="0" collapsed="false">
      <c r="A435" s="2" t="s">
        <v>571</v>
      </c>
      <c r="B435" s="13" t="n">
        <v>46271</v>
      </c>
      <c r="C435" s="2" t="s">
        <v>81</v>
      </c>
      <c r="D435" s="2" t="n">
        <v>1</v>
      </c>
      <c r="E435" s="14" t="s">
        <v>572</v>
      </c>
      <c r="F435" s="7" t="n">
        <v>15000</v>
      </c>
    </row>
    <row r="436" customFormat="false" ht="15" hidden="false" customHeight="false" outlineLevel="0" collapsed="false">
      <c r="A436" s="2" t="s">
        <v>573</v>
      </c>
      <c r="B436" s="13" t="n">
        <v>46271</v>
      </c>
      <c r="C436" s="2" t="s">
        <v>84</v>
      </c>
      <c r="D436" s="2" t="n">
        <v>1</v>
      </c>
      <c r="E436" s="14" t="s">
        <v>124</v>
      </c>
      <c r="F436" s="7" t="n">
        <v>5000</v>
      </c>
    </row>
    <row r="437" customFormat="false" ht="15" hidden="false" customHeight="false" outlineLevel="0" collapsed="false">
      <c r="A437" s="2" t="s">
        <v>573</v>
      </c>
      <c r="B437" s="13" t="n">
        <v>46271</v>
      </c>
      <c r="C437" s="2" t="s">
        <v>101</v>
      </c>
      <c r="D437" s="2" t="n">
        <v>1</v>
      </c>
      <c r="E437" s="14" t="s">
        <v>124</v>
      </c>
      <c r="F437" s="7" t="n">
        <v>18000</v>
      </c>
    </row>
    <row r="438" customFormat="false" ht="15" hidden="false" customHeight="false" outlineLevel="0" collapsed="false">
      <c r="A438" s="2" t="s">
        <v>574</v>
      </c>
      <c r="B438" s="13" t="n">
        <v>46271</v>
      </c>
      <c r="C438" s="2" t="s">
        <v>132</v>
      </c>
      <c r="D438" s="2" t="n">
        <v>1</v>
      </c>
      <c r="E438" s="14" t="s">
        <v>575</v>
      </c>
      <c r="F438" s="7" t="n">
        <v>15000</v>
      </c>
    </row>
    <row r="439" customFormat="false" ht="15" hidden="false" customHeight="false" outlineLevel="0" collapsed="false">
      <c r="A439" s="2" t="s">
        <v>576</v>
      </c>
      <c r="B439" s="13" t="n">
        <v>46271</v>
      </c>
      <c r="C439" s="2" t="s">
        <v>132</v>
      </c>
      <c r="D439" s="2" t="n">
        <v>1</v>
      </c>
      <c r="E439" s="14" t="s">
        <v>577</v>
      </c>
      <c r="F439" s="7" t="n">
        <v>15000</v>
      </c>
    </row>
    <row r="440" customFormat="false" ht="15" hidden="false" customHeight="false" outlineLevel="0" collapsed="false">
      <c r="A440" s="2" t="s">
        <v>578</v>
      </c>
      <c r="B440" s="13" t="n">
        <v>46271</v>
      </c>
      <c r="C440" s="2" t="s">
        <v>81</v>
      </c>
      <c r="D440" s="2" t="n">
        <v>1</v>
      </c>
      <c r="E440" s="14" t="s">
        <v>579</v>
      </c>
      <c r="F440" s="7" t="n">
        <v>15000</v>
      </c>
    </row>
    <row r="441" customFormat="false" ht="15" hidden="false" customHeight="false" outlineLevel="0" collapsed="false">
      <c r="A441" s="2" t="s">
        <v>578</v>
      </c>
      <c r="B441" s="13" t="n">
        <v>46271</v>
      </c>
      <c r="C441" s="2" t="s">
        <v>186</v>
      </c>
      <c r="D441" s="2" t="n">
        <v>1</v>
      </c>
      <c r="E441" s="14" t="s">
        <v>579</v>
      </c>
      <c r="F441" s="7" t="n">
        <v>7000</v>
      </c>
    </row>
    <row r="442" customFormat="false" ht="15" hidden="false" customHeight="false" outlineLevel="0" collapsed="false">
      <c r="A442" s="2" t="s">
        <v>580</v>
      </c>
      <c r="B442" s="13" t="n">
        <v>46271</v>
      </c>
      <c r="C442" s="2" t="s">
        <v>126</v>
      </c>
      <c r="D442" s="2" t="n">
        <v>2</v>
      </c>
      <c r="E442" s="14" t="s">
        <v>222</v>
      </c>
      <c r="F442" s="7" t="n">
        <v>3000</v>
      </c>
    </row>
    <row r="443" customFormat="false" ht="15" hidden="false" customHeight="false" outlineLevel="0" collapsed="false">
      <c r="A443" s="2" t="s">
        <v>580</v>
      </c>
      <c r="B443" s="13" t="n">
        <v>46271</v>
      </c>
      <c r="C443" s="2" t="s">
        <v>101</v>
      </c>
      <c r="D443" s="2" t="n">
        <v>1</v>
      </c>
      <c r="E443" s="14" t="s">
        <v>222</v>
      </c>
      <c r="F443" s="7" t="n">
        <v>18000</v>
      </c>
    </row>
    <row r="444" customFormat="false" ht="15" hidden="false" customHeight="false" outlineLevel="0" collapsed="false">
      <c r="A444" s="2" t="s">
        <v>580</v>
      </c>
      <c r="B444" s="13" t="n">
        <v>46271</v>
      </c>
      <c r="C444" s="2" t="s">
        <v>84</v>
      </c>
      <c r="D444" s="2" t="n">
        <v>1</v>
      </c>
      <c r="E444" s="14" t="s">
        <v>222</v>
      </c>
      <c r="F444" s="7" t="n">
        <v>5000</v>
      </c>
    </row>
    <row r="445" customFormat="false" ht="15" hidden="false" customHeight="false" outlineLevel="0" collapsed="false">
      <c r="A445" s="2" t="s">
        <v>581</v>
      </c>
      <c r="B445" s="13" t="n">
        <v>46271</v>
      </c>
      <c r="C445" s="2" t="s">
        <v>108</v>
      </c>
      <c r="D445" s="2" t="n">
        <v>1</v>
      </c>
      <c r="E445" s="14" t="s">
        <v>313</v>
      </c>
      <c r="F445" s="7" t="n">
        <v>20000</v>
      </c>
    </row>
    <row r="446" customFormat="false" ht="15" hidden="false" customHeight="false" outlineLevel="0" collapsed="false">
      <c r="A446" s="2" t="s">
        <v>581</v>
      </c>
      <c r="B446" s="13" t="n">
        <v>46271</v>
      </c>
      <c r="C446" s="2" t="s">
        <v>79</v>
      </c>
      <c r="D446" s="2" t="n">
        <v>1</v>
      </c>
      <c r="E446" s="14" t="s">
        <v>314</v>
      </c>
      <c r="F446" s="7" t="n">
        <v>16000</v>
      </c>
    </row>
    <row r="447" customFormat="false" ht="15" hidden="false" customHeight="false" outlineLevel="0" collapsed="false">
      <c r="A447" s="2" t="s">
        <v>582</v>
      </c>
      <c r="B447" s="13" t="n">
        <v>46271</v>
      </c>
      <c r="C447" s="2" t="s">
        <v>186</v>
      </c>
      <c r="D447" s="2" t="n">
        <v>2</v>
      </c>
      <c r="E447" s="14" t="s">
        <v>142</v>
      </c>
      <c r="F447" s="7" t="n">
        <v>7000</v>
      </c>
    </row>
    <row r="448" customFormat="false" ht="15" hidden="false" customHeight="false" outlineLevel="0" collapsed="false">
      <c r="A448" s="2" t="s">
        <v>582</v>
      </c>
      <c r="B448" s="13" t="n">
        <v>46271</v>
      </c>
      <c r="C448" s="2" t="s">
        <v>81</v>
      </c>
      <c r="D448" s="2" t="n">
        <v>1</v>
      </c>
      <c r="E448" s="14" t="s">
        <v>142</v>
      </c>
      <c r="F448" s="7" t="n">
        <v>15000</v>
      </c>
    </row>
    <row r="449" customFormat="false" ht="15" hidden="false" customHeight="false" outlineLevel="0" collapsed="false">
      <c r="A449" s="2" t="s">
        <v>583</v>
      </c>
      <c r="B449" s="13" t="n">
        <v>46271</v>
      </c>
      <c r="C449" s="2" t="s">
        <v>101</v>
      </c>
      <c r="D449" s="2" t="n">
        <v>3</v>
      </c>
      <c r="E449" s="14" t="s">
        <v>584</v>
      </c>
      <c r="F449" s="7" t="n">
        <v>18000</v>
      </c>
    </row>
    <row r="450" customFormat="false" ht="15" hidden="false" customHeight="false" outlineLevel="0" collapsed="false">
      <c r="A450" s="2" t="s">
        <v>583</v>
      </c>
      <c r="B450" s="13" t="n">
        <v>46271</v>
      </c>
      <c r="C450" s="2" t="s">
        <v>81</v>
      </c>
      <c r="D450" s="2" t="n">
        <v>1</v>
      </c>
      <c r="E450" s="14" t="s">
        <v>584</v>
      </c>
      <c r="F450" s="7" t="n">
        <v>15000</v>
      </c>
    </row>
    <row r="451" customFormat="false" ht="15" hidden="false" customHeight="false" outlineLevel="0" collapsed="false">
      <c r="A451" s="2" t="s">
        <v>585</v>
      </c>
      <c r="B451" s="13" t="n">
        <v>46271</v>
      </c>
      <c r="C451" s="2" t="s">
        <v>108</v>
      </c>
      <c r="D451" s="2" t="n">
        <v>2</v>
      </c>
      <c r="E451" s="14" t="s">
        <v>586</v>
      </c>
      <c r="F451" s="7" t="n">
        <v>20000</v>
      </c>
    </row>
    <row r="452" customFormat="false" ht="15" hidden="false" customHeight="false" outlineLevel="0" collapsed="false">
      <c r="A452" s="2" t="s">
        <v>585</v>
      </c>
      <c r="B452" s="13" t="n">
        <v>46271</v>
      </c>
      <c r="C452" s="2" t="s">
        <v>81</v>
      </c>
      <c r="D452" s="2" t="n">
        <v>1</v>
      </c>
      <c r="E452" s="14" t="s">
        <v>586</v>
      </c>
      <c r="F452" s="7" t="n">
        <v>15000</v>
      </c>
    </row>
    <row r="453" customFormat="false" ht="15" hidden="false" customHeight="false" outlineLevel="0" collapsed="false">
      <c r="A453" s="2" t="s">
        <v>585</v>
      </c>
      <c r="B453" s="13" t="n">
        <v>46271</v>
      </c>
      <c r="C453" s="2" t="s">
        <v>82</v>
      </c>
      <c r="D453" s="2" t="n">
        <v>1</v>
      </c>
      <c r="E453" s="14" t="s">
        <v>586</v>
      </c>
      <c r="F453" s="7" t="n">
        <v>13000</v>
      </c>
    </row>
    <row r="454" customFormat="false" ht="15" hidden="false" customHeight="false" outlineLevel="0" collapsed="false">
      <c r="A454" s="2" t="s">
        <v>587</v>
      </c>
      <c r="B454" s="13" t="n">
        <v>46271</v>
      </c>
      <c r="C454" s="2" t="s">
        <v>84</v>
      </c>
      <c r="D454" s="2" t="n">
        <v>2</v>
      </c>
      <c r="E454" s="14" t="s">
        <v>588</v>
      </c>
      <c r="F454" s="7" t="n">
        <v>5000</v>
      </c>
    </row>
    <row r="455" customFormat="false" ht="15" hidden="false" customHeight="false" outlineLevel="0" collapsed="false">
      <c r="A455" s="2" t="s">
        <v>587</v>
      </c>
      <c r="B455" s="13" t="n">
        <v>46271</v>
      </c>
      <c r="C455" s="2" t="s">
        <v>92</v>
      </c>
      <c r="D455" s="2" t="n">
        <v>1</v>
      </c>
      <c r="E455" s="14" t="s">
        <v>588</v>
      </c>
      <c r="F455" s="7" t="n">
        <v>4000</v>
      </c>
    </row>
    <row r="456" customFormat="false" ht="15" hidden="false" customHeight="false" outlineLevel="0" collapsed="false">
      <c r="A456" s="2" t="s">
        <v>589</v>
      </c>
      <c r="B456" s="13" t="n">
        <v>46271</v>
      </c>
      <c r="C456" s="2" t="s">
        <v>84</v>
      </c>
      <c r="D456" s="2" t="n">
        <v>1</v>
      </c>
      <c r="E456" s="14" t="s">
        <v>590</v>
      </c>
      <c r="F456" s="7" t="n">
        <v>5000</v>
      </c>
    </row>
    <row r="457" customFormat="false" ht="15" hidden="false" customHeight="false" outlineLevel="0" collapsed="false">
      <c r="A457" s="2" t="s">
        <v>591</v>
      </c>
      <c r="B457" s="13" t="n">
        <v>46271</v>
      </c>
      <c r="C457" s="2" t="s">
        <v>79</v>
      </c>
      <c r="D457" s="2" t="n">
        <v>2</v>
      </c>
      <c r="E457" s="14" t="s">
        <v>592</v>
      </c>
      <c r="F457" s="7" t="n">
        <v>16000</v>
      </c>
    </row>
    <row r="458" customFormat="false" ht="15" hidden="false" customHeight="false" outlineLevel="0" collapsed="false">
      <c r="A458" s="2" t="s">
        <v>591</v>
      </c>
      <c r="B458" s="13" t="n">
        <v>46271</v>
      </c>
      <c r="C458" s="2" t="s">
        <v>89</v>
      </c>
      <c r="D458" s="2" t="n">
        <v>1</v>
      </c>
      <c r="E458" s="14" t="s">
        <v>592</v>
      </c>
      <c r="F458" s="7" t="n">
        <v>14000</v>
      </c>
    </row>
    <row r="459" customFormat="false" ht="15" hidden="false" customHeight="false" outlineLevel="0" collapsed="false">
      <c r="A459" s="2" t="s">
        <v>593</v>
      </c>
      <c r="B459" s="13" t="n">
        <v>46271</v>
      </c>
      <c r="C459" s="2" t="s">
        <v>126</v>
      </c>
      <c r="D459" s="2" t="n">
        <v>1</v>
      </c>
      <c r="E459" s="14" t="s">
        <v>594</v>
      </c>
      <c r="F459" s="7" t="n">
        <v>3000</v>
      </c>
    </row>
    <row r="460" customFormat="false" ht="15" hidden="false" customHeight="false" outlineLevel="0" collapsed="false">
      <c r="A460" s="2" t="s">
        <v>595</v>
      </c>
      <c r="B460" s="13" t="n">
        <v>46271</v>
      </c>
      <c r="C460" s="2" t="s">
        <v>101</v>
      </c>
      <c r="D460" s="2" t="n">
        <v>1</v>
      </c>
      <c r="E460" s="14" t="s">
        <v>596</v>
      </c>
      <c r="F460" s="7" t="n">
        <v>18000</v>
      </c>
    </row>
    <row r="461" customFormat="false" ht="15" hidden="false" customHeight="false" outlineLevel="0" collapsed="false">
      <c r="A461" s="2" t="s">
        <v>595</v>
      </c>
      <c r="B461" s="13" t="n">
        <v>46271</v>
      </c>
      <c r="C461" s="2" t="s">
        <v>108</v>
      </c>
      <c r="D461" s="2" t="n">
        <v>1</v>
      </c>
      <c r="E461" s="14" t="s">
        <v>596</v>
      </c>
      <c r="F461" s="7" t="n">
        <v>20000</v>
      </c>
    </row>
    <row r="462" customFormat="false" ht="15" hidden="false" customHeight="false" outlineLevel="0" collapsed="false">
      <c r="A462" s="2" t="s">
        <v>597</v>
      </c>
      <c r="B462" s="13" t="n">
        <v>46271</v>
      </c>
      <c r="C462" s="2" t="s">
        <v>132</v>
      </c>
      <c r="D462" s="2" t="n">
        <v>1</v>
      </c>
      <c r="E462" s="14" t="s">
        <v>598</v>
      </c>
      <c r="F462" s="7" t="n">
        <v>15000</v>
      </c>
    </row>
    <row r="463" customFormat="false" ht="15" hidden="false" customHeight="false" outlineLevel="0" collapsed="false">
      <c r="A463" s="2" t="s">
        <v>597</v>
      </c>
      <c r="B463" s="13" t="n">
        <v>46271</v>
      </c>
      <c r="C463" s="2" t="s">
        <v>108</v>
      </c>
      <c r="D463" s="2" t="n">
        <v>1</v>
      </c>
      <c r="E463" s="14" t="s">
        <v>598</v>
      </c>
      <c r="F463" s="7" t="n">
        <v>20000</v>
      </c>
    </row>
    <row r="464" customFormat="false" ht="15" hidden="false" customHeight="false" outlineLevel="0" collapsed="false">
      <c r="A464" s="2" t="s">
        <v>599</v>
      </c>
      <c r="B464" s="13" t="n">
        <v>46271</v>
      </c>
      <c r="C464" s="2" t="s">
        <v>132</v>
      </c>
      <c r="D464" s="2" t="n">
        <v>1</v>
      </c>
      <c r="E464" s="14" t="s">
        <v>321</v>
      </c>
      <c r="F464" s="7" t="n">
        <v>15000</v>
      </c>
    </row>
    <row r="465" customFormat="false" ht="15" hidden="false" customHeight="false" outlineLevel="0" collapsed="false">
      <c r="A465" s="2" t="s">
        <v>600</v>
      </c>
      <c r="B465" s="13" t="n">
        <v>46271</v>
      </c>
      <c r="C465" s="2" t="s">
        <v>89</v>
      </c>
      <c r="D465" s="2" t="n">
        <v>2</v>
      </c>
      <c r="E465" s="14" t="s">
        <v>518</v>
      </c>
      <c r="F465" s="7" t="n">
        <v>14000</v>
      </c>
    </row>
    <row r="466" customFormat="false" ht="15" hidden="false" customHeight="false" outlineLevel="0" collapsed="false">
      <c r="A466" s="2" t="s">
        <v>601</v>
      </c>
      <c r="B466" s="13" t="n">
        <v>46271</v>
      </c>
      <c r="C466" s="2" t="s">
        <v>101</v>
      </c>
      <c r="D466" s="2" t="n">
        <v>1</v>
      </c>
      <c r="E466" s="14" t="s">
        <v>602</v>
      </c>
      <c r="F466" s="7" t="n">
        <v>18000</v>
      </c>
    </row>
    <row r="467" customFormat="false" ht="15" hidden="false" customHeight="false" outlineLevel="0" collapsed="false">
      <c r="A467" s="2" t="s">
        <v>603</v>
      </c>
      <c r="B467" s="13" t="n">
        <v>46271</v>
      </c>
      <c r="C467" s="2" t="s">
        <v>132</v>
      </c>
      <c r="D467" s="2" t="n">
        <v>2</v>
      </c>
      <c r="E467" s="14" t="s">
        <v>602</v>
      </c>
      <c r="F467" s="7" t="n">
        <v>15000</v>
      </c>
    </row>
    <row r="468" customFormat="false" ht="15" hidden="false" customHeight="false" outlineLevel="0" collapsed="false">
      <c r="A468" s="2" t="s">
        <v>603</v>
      </c>
      <c r="B468" s="13" t="n">
        <v>46271</v>
      </c>
      <c r="C468" s="2" t="s">
        <v>101</v>
      </c>
      <c r="D468" s="2" t="n">
        <v>1</v>
      </c>
      <c r="E468" s="14" t="s">
        <v>602</v>
      </c>
      <c r="F468" s="7" t="n">
        <v>18000</v>
      </c>
    </row>
    <row r="469" customFormat="false" ht="15" hidden="false" customHeight="false" outlineLevel="0" collapsed="false">
      <c r="A469" s="2" t="s">
        <v>603</v>
      </c>
      <c r="B469" s="13" t="n">
        <v>46271</v>
      </c>
      <c r="C469" s="2" t="s">
        <v>81</v>
      </c>
      <c r="D469" s="2" t="n">
        <v>2</v>
      </c>
      <c r="E469" s="14" t="s">
        <v>602</v>
      </c>
      <c r="F469" s="7" t="n">
        <v>15000</v>
      </c>
    </row>
    <row r="470" customFormat="false" ht="15" hidden="false" customHeight="false" outlineLevel="0" collapsed="false">
      <c r="A470" s="2" t="s">
        <v>604</v>
      </c>
      <c r="B470" s="13" t="n">
        <v>46271</v>
      </c>
      <c r="C470" s="2" t="s">
        <v>89</v>
      </c>
      <c r="D470" s="2" t="n">
        <v>1</v>
      </c>
      <c r="E470" s="14" t="s">
        <v>605</v>
      </c>
      <c r="F470" s="7" t="n">
        <v>14000</v>
      </c>
    </row>
    <row r="471" customFormat="false" ht="15" hidden="false" customHeight="false" outlineLevel="0" collapsed="false">
      <c r="A471" s="2" t="s">
        <v>604</v>
      </c>
      <c r="B471" s="13" t="n">
        <v>46271</v>
      </c>
      <c r="C471" s="2" t="s">
        <v>84</v>
      </c>
      <c r="D471" s="2" t="n">
        <v>2</v>
      </c>
      <c r="E471" s="14" t="s">
        <v>605</v>
      </c>
      <c r="F471" s="7" t="n">
        <v>5000</v>
      </c>
    </row>
    <row r="472" customFormat="false" ht="15" hidden="false" customHeight="false" outlineLevel="0" collapsed="false">
      <c r="A472" s="2" t="s">
        <v>604</v>
      </c>
      <c r="B472" s="13" t="n">
        <v>46271</v>
      </c>
      <c r="C472" s="2" t="s">
        <v>81</v>
      </c>
      <c r="D472" s="2" t="n">
        <v>1</v>
      </c>
      <c r="E472" s="14" t="s">
        <v>605</v>
      </c>
      <c r="F472" s="7" t="n">
        <v>15000</v>
      </c>
    </row>
    <row r="473" customFormat="false" ht="15" hidden="false" customHeight="false" outlineLevel="0" collapsed="false">
      <c r="A473" s="2" t="s">
        <v>606</v>
      </c>
      <c r="B473" s="13" t="n">
        <v>46271</v>
      </c>
      <c r="C473" s="2" t="s">
        <v>81</v>
      </c>
      <c r="D473" s="2" t="n">
        <v>2</v>
      </c>
      <c r="E473" s="14" t="s">
        <v>607</v>
      </c>
      <c r="F473" s="7" t="n">
        <v>15000</v>
      </c>
    </row>
    <row r="474" customFormat="false" ht="15" hidden="false" customHeight="false" outlineLevel="0" collapsed="false">
      <c r="A474" s="2" t="s">
        <v>608</v>
      </c>
      <c r="B474" s="13" t="n">
        <v>46271</v>
      </c>
      <c r="C474" s="2" t="s">
        <v>79</v>
      </c>
      <c r="D474" s="2" t="n">
        <v>2</v>
      </c>
      <c r="E474" s="14" t="s">
        <v>331</v>
      </c>
      <c r="F474" s="7" t="n">
        <v>16000</v>
      </c>
    </row>
    <row r="475" customFormat="false" ht="15" hidden="false" customHeight="false" outlineLevel="0" collapsed="false">
      <c r="A475" s="2" t="s">
        <v>608</v>
      </c>
      <c r="B475" s="13" t="n">
        <v>46271</v>
      </c>
      <c r="C475" s="2" t="s">
        <v>132</v>
      </c>
      <c r="D475" s="2" t="n">
        <v>1</v>
      </c>
      <c r="E475" s="14" t="s">
        <v>331</v>
      </c>
      <c r="F475" s="7" t="n">
        <v>15000</v>
      </c>
    </row>
    <row r="476" customFormat="false" ht="15" hidden="false" customHeight="false" outlineLevel="0" collapsed="false">
      <c r="A476" s="2" t="s">
        <v>608</v>
      </c>
      <c r="B476" s="13" t="n">
        <v>46271</v>
      </c>
      <c r="C476" s="2" t="s">
        <v>84</v>
      </c>
      <c r="D476" s="2" t="n">
        <v>2</v>
      </c>
      <c r="E476" s="14" t="s">
        <v>331</v>
      </c>
      <c r="F476" s="7" t="n">
        <v>5000</v>
      </c>
    </row>
    <row r="477" customFormat="false" ht="15" hidden="false" customHeight="false" outlineLevel="0" collapsed="false">
      <c r="A477" s="2" t="s">
        <v>609</v>
      </c>
      <c r="B477" s="13" t="n">
        <v>46271</v>
      </c>
      <c r="C477" s="2" t="s">
        <v>126</v>
      </c>
      <c r="D477" s="2" t="n">
        <v>1</v>
      </c>
      <c r="E477" s="14" t="s">
        <v>333</v>
      </c>
      <c r="F477" s="7" t="n">
        <v>3000</v>
      </c>
    </row>
    <row r="478" customFormat="false" ht="15" hidden="false" customHeight="false" outlineLevel="0" collapsed="false">
      <c r="A478" s="2" t="s">
        <v>609</v>
      </c>
      <c r="B478" s="13" t="n">
        <v>46271</v>
      </c>
      <c r="C478" s="2" t="s">
        <v>112</v>
      </c>
      <c r="D478" s="2" t="n">
        <v>1</v>
      </c>
      <c r="E478" s="14" t="s">
        <v>333</v>
      </c>
      <c r="F478" s="7" t="n">
        <v>10000</v>
      </c>
    </row>
    <row r="479" customFormat="false" ht="15" hidden="false" customHeight="false" outlineLevel="0" collapsed="false">
      <c r="A479" s="2" t="s">
        <v>609</v>
      </c>
      <c r="B479" s="13" t="n">
        <v>46271</v>
      </c>
      <c r="C479" s="2" t="s">
        <v>84</v>
      </c>
      <c r="D479" s="2" t="n">
        <v>1</v>
      </c>
      <c r="E479" s="14" t="s">
        <v>333</v>
      </c>
      <c r="F479" s="7" t="n">
        <v>5000</v>
      </c>
    </row>
    <row r="480" customFormat="false" ht="15" hidden="false" customHeight="false" outlineLevel="0" collapsed="false">
      <c r="A480" s="2" t="s">
        <v>610</v>
      </c>
      <c r="B480" s="13" t="n">
        <v>46271</v>
      </c>
      <c r="C480" s="2" t="s">
        <v>186</v>
      </c>
      <c r="D480" s="2" t="n">
        <v>2</v>
      </c>
      <c r="E480" s="14" t="s">
        <v>420</v>
      </c>
      <c r="F480" s="7" t="n">
        <v>7000</v>
      </c>
    </row>
    <row r="481" customFormat="false" ht="15" hidden="false" customHeight="false" outlineLevel="0" collapsed="false">
      <c r="A481" s="2" t="s">
        <v>610</v>
      </c>
      <c r="B481" s="13" t="n">
        <v>46271</v>
      </c>
      <c r="C481" s="2" t="s">
        <v>84</v>
      </c>
      <c r="D481" s="2" t="n">
        <v>1</v>
      </c>
      <c r="E481" s="14" t="s">
        <v>420</v>
      </c>
      <c r="F481" s="7" t="n">
        <v>5000</v>
      </c>
    </row>
    <row r="482" customFormat="false" ht="15" hidden="false" customHeight="false" outlineLevel="0" collapsed="false">
      <c r="A482" s="2" t="s">
        <v>611</v>
      </c>
      <c r="B482" s="13" t="n">
        <v>46271</v>
      </c>
      <c r="C482" s="2" t="s">
        <v>112</v>
      </c>
      <c r="D482" s="2" t="n">
        <v>1</v>
      </c>
      <c r="E482" s="14" t="s">
        <v>335</v>
      </c>
      <c r="F482" s="7" t="n">
        <v>10000</v>
      </c>
    </row>
    <row r="483" customFormat="false" ht="15" hidden="false" customHeight="false" outlineLevel="0" collapsed="false">
      <c r="A483" s="2" t="s">
        <v>612</v>
      </c>
      <c r="B483" s="13" t="n">
        <v>46272</v>
      </c>
      <c r="C483" s="2" t="s">
        <v>89</v>
      </c>
      <c r="D483" s="2" t="n">
        <v>1</v>
      </c>
      <c r="E483" s="14" t="s">
        <v>613</v>
      </c>
      <c r="F483" s="7" t="n">
        <v>14000</v>
      </c>
    </row>
    <row r="484" customFormat="false" ht="15" hidden="false" customHeight="false" outlineLevel="0" collapsed="false">
      <c r="A484" s="2" t="s">
        <v>612</v>
      </c>
      <c r="B484" s="13" t="n">
        <v>46272</v>
      </c>
      <c r="C484" s="2" t="s">
        <v>132</v>
      </c>
      <c r="D484" s="2" t="n">
        <v>2</v>
      </c>
      <c r="E484" s="14" t="s">
        <v>614</v>
      </c>
      <c r="F484" s="7" t="n">
        <v>15000</v>
      </c>
    </row>
    <row r="485" customFormat="false" ht="15" hidden="false" customHeight="false" outlineLevel="0" collapsed="false">
      <c r="A485" s="2" t="s">
        <v>612</v>
      </c>
      <c r="B485" s="13" t="n">
        <v>46272</v>
      </c>
      <c r="C485" s="2" t="s">
        <v>79</v>
      </c>
      <c r="D485" s="2" t="n">
        <v>1</v>
      </c>
      <c r="E485" s="14" t="s">
        <v>613</v>
      </c>
      <c r="F485" s="7" t="n">
        <v>16000</v>
      </c>
    </row>
    <row r="486" customFormat="false" ht="15" hidden="false" customHeight="false" outlineLevel="0" collapsed="false">
      <c r="A486" s="2" t="s">
        <v>615</v>
      </c>
      <c r="B486" s="13" t="n">
        <v>46272</v>
      </c>
      <c r="C486" s="2" t="s">
        <v>108</v>
      </c>
      <c r="D486" s="2" t="n">
        <v>1</v>
      </c>
      <c r="E486" s="14" t="s">
        <v>346</v>
      </c>
      <c r="F486" s="7" t="n">
        <v>20000</v>
      </c>
    </row>
    <row r="487" customFormat="false" ht="15" hidden="false" customHeight="false" outlineLevel="0" collapsed="false">
      <c r="A487" s="2" t="s">
        <v>616</v>
      </c>
      <c r="B487" s="13" t="n">
        <v>46272</v>
      </c>
      <c r="C487" s="2" t="s">
        <v>108</v>
      </c>
      <c r="D487" s="2" t="n">
        <v>1</v>
      </c>
      <c r="E487" s="14" t="s">
        <v>617</v>
      </c>
      <c r="F487" s="7" t="n">
        <v>20000</v>
      </c>
    </row>
    <row r="488" customFormat="false" ht="15" hidden="false" customHeight="false" outlineLevel="0" collapsed="false">
      <c r="A488" s="2" t="s">
        <v>618</v>
      </c>
      <c r="B488" s="13" t="n">
        <v>46272</v>
      </c>
      <c r="C488" s="2" t="s">
        <v>84</v>
      </c>
      <c r="D488" s="2" t="n">
        <v>1</v>
      </c>
      <c r="E488" s="14" t="s">
        <v>281</v>
      </c>
      <c r="F488" s="7" t="n">
        <v>5000</v>
      </c>
    </row>
    <row r="489" customFormat="false" ht="15" hidden="false" customHeight="false" outlineLevel="0" collapsed="false">
      <c r="A489" s="2" t="s">
        <v>619</v>
      </c>
      <c r="B489" s="13" t="n">
        <v>46272</v>
      </c>
      <c r="C489" s="2" t="s">
        <v>84</v>
      </c>
      <c r="D489" s="2" t="n">
        <v>1</v>
      </c>
      <c r="E489" s="14" t="s">
        <v>451</v>
      </c>
      <c r="F489" s="7" t="n">
        <v>5000</v>
      </c>
    </row>
    <row r="490" customFormat="false" ht="15" hidden="false" customHeight="false" outlineLevel="0" collapsed="false">
      <c r="A490" s="2" t="s">
        <v>620</v>
      </c>
      <c r="B490" s="13" t="n">
        <v>46272</v>
      </c>
      <c r="C490" s="2" t="s">
        <v>132</v>
      </c>
      <c r="D490" s="2" t="n">
        <v>1</v>
      </c>
      <c r="E490" s="14" t="s">
        <v>455</v>
      </c>
      <c r="F490" s="7" t="n">
        <v>15000</v>
      </c>
    </row>
    <row r="491" customFormat="false" ht="15" hidden="false" customHeight="false" outlineLevel="0" collapsed="false">
      <c r="A491" s="2" t="s">
        <v>620</v>
      </c>
      <c r="B491" s="13" t="n">
        <v>46272</v>
      </c>
      <c r="C491" s="2" t="s">
        <v>81</v>
      </c>
      <c r="D491" s="2" t="n">
        <v>2</v>
      </c>
      <c r="E491" s="14" t="s">
        <v>455</v>
      </c>
      <c r="F491" s="7" t="n">
        <v>15000</v>
      </c>
    </row>
    <row r="492" customFormat="false" ht="15" hidden="false" customHeight="false" outlineLevel="0" collapsed="false">
      <c r="A492" s="2" t="s">
        <v>620</v>
      </c>
      <c r="B492" s="13" t="n">
        <v>46272</v>
      </c>
      <c r="C492" s="2" t="s">
        <v>101</v>
      </c>
      <c r="D492" s="2" t="n">
        <v>1</v>
      </c>
      <c r="E492" s="14" t="s">
        <v>455</v>
      </c>
      <c r="F492" s="7" t="n">
        <v>18000</v>
      </c>
    </row>
    <row r="493" customFormat="false" ht="15" hidden="false" customHeight="false" outlineLevel="0" collapsed="false">
      <c r="A493" s="2" t="s">
        <v>621</v>
      </c>
      <c r="B493" s="13" t="n">
        <v>46272</v>
      </c>
      <c r="C493" s="2" t="s">
        <v>81</v>
      </c>
      <c r="D493" s="2" t="n">
        <v>2</v>
      </c>
      <c r="E493" s="14" t="s">
        <v>459</v>
      </c>
      <c r="F493" s="7" t="n">
        <v>15000</v>
      </c>
    </row>
    <row r="494" customFormat="false" ht="15" hidden="false" customHeight="false" outlineLevel="0" collapsed="false">
      <c r="A494" s="2" t="s">
        <v>621</v>
      </c>
      <c r="B494" s="13" t="n">
        <v>46272</v>
      </c>
      <c r="C494" s="2" t="s">
        <v>82</v>
      </c>
      <c r="D494" s="2" t="n">
        <v>1</v>
      </c>
      <c r="E494" s="14" t="s">
        <v>459</v>
      </c>
      <c r="F494" s="7" t="n">
        <v>13000</v>
      </c>
    </row>
    <row r="495" customFormat="false" ht="15" hidden="false" customHeight="false" outlineLevel="0" collapsed="false">
      <c r="A495" s="2" t="s">
        <v>622</v>
      </c>
      <c r="B495" s="13" t="n">
        <v>46272</v>
      </c>
      <c r="C495" s="2" t="s">
        <v>101</v>
      </c>
      <c r="D495" s="2" t="n">
        <v>1</v>
      </c>
      <c r="E495" s="14" t="s">
        <v>623</v>
      </c>
      <c r="F495" s="7" t="n">
        <v>18000</v>
      </c>
    </row>
    <row r="496" customFormat="false" ht="15" hidden="false" customHeight="false" outlineLevel="0" collapsed="false">
      <c r="A496" s="2" t="s">
        <v>624</v>
      </c>
      <c r="B496" s="13" t="n">
        <v>46272</v>
      </c>
      <c r="C496" s="2" t="s">
        <v>126</v>
      </c>
      <c r="D496" s="2" t="n">
        <v>1</v>
      </c>
      <c r="E496" s="14" t="s">
        <v>625</v>
      </c>
      <c r="F496" s="7" t="n">
        <v>3000</v>
      </c>
    </row>
    <row r="497" customFormat="false" ht="15" hidden="false" customHeight="false" outlineLevel="0" collapsed="false">
      <c r="A497" s="2" t="s">
        <v>626</v>
      </c>
      <c r="B497" s="13" t="n">
        <v>46272</v>
      </c>
      <c r="C497" s="2" t="s">
        <v>101</v>
      </c>
      <c r="D497" s="2" t="n">
        <v>1</v>
      </c>
      <c r="E497" s="14" t="s">
        <v>374</v>
      </c>
      <c r="F497" s="7" t="n">
        <v>18000</v>
      </c>
    </row>
    <row r="498" customFormat="false" ht="15" hidden="false" customHeight="false" outlineLevel="0" collapsed="false">
      <c r="A498" s="2" t="s">
        <v>627</v>
      </c>
      <c r="B498" s="13" t="n">
        <v>46272</v>
      </c>
      <c r="C498" s="2" t="s">
        <v>81</v>
      </c>
      <c r="D498" s="2" t="n">
        <v>1</v>
      </c>
      <c r="E498" s="14" t="s">
        <v>628</v>
      </c>
      <c r="F498" s="7" t="n">
        <v>15000</v>
      </c>
    </row>
    <row r="499" customFormat="false" ht="15" hidden="false" customHeight="false" outlineLevel="0" collapsed="false">
      <c r="A499" s="2" t="s">
        <v>629</v>
      </c>
      <c r="B499" s="13" t="n">
        <v>46272</v>
      </c>
      <c r="C499" s="2" t="s">
        <v>186</v>
      </c>
      <c r="D499" s="2" t="n">
        <v>3</v>
      </c>
      <c r="E499" s="14" t="s">
        <v>630</v>
      </c>
      <c r="F499" s="7" t="n">
        <v>7000</v>
      </c>
    </row>
    <row r="500" customFormat="false" ht="15" hidden="false" customHeight="false" outlineLevel="0" collapsed="false">
      <c r="A500" s="2" t="s">
        <v>629</v>
      </c>
      <c r="B500" s="13" t="n">
        <v>46272</v>
      </c>
      <c r="C500" s="2" t="s">
        <v>84</v>
      </c>
      <c r="D500" s="2" t="n">
        <v>1</v>
      </c>
      <c r="E500" s="14" t="s">
        <v>630</v>
      </c>
      <c r="F500" s="7" t="n">
        <v>5000</v>
      </c>
    </row>
    <row r="501" customFormat="false" ht="15" hidden="false" customHeight="false" outlineLevel="0" collapsed="false">
      <c r="A501" s="2" t="s">
        <v>629</v>
      </c>
      <c r="B501" s="13" t="n">
        <v>46272</v>
      </c>
      <c r="C501" s="2" t="s">
        <v>108</v>
      </c>
      <c r="D501" s="2" t="n">
        <v>1</v>
      </c>
      <c r="E501" s="14" t="s">
        <v>630</v>
      </c>
      <c r="F501" s="7" t="n">
        <v>20000</v>
      </c>
    </row>
    <row r="502" customFormat="false" ht="15" hidden="false" customHeight="false" outlineLevel="0" collapsed="false">
      <c r="A502" s="2" t="s">
        <v>631</v>
      </c>
      <c r="B502" s="13" t="n">
        <v>46272</v>
      </c>
      <c r="C502" s="2" t="s">
        <v>89</v>
      </c>
      <c r="D502" s="2" t="n">
        <v>1</v>
      </c>
      <c r="E502" s="14" t="s">
        <v>468</v>
      </c>
      <c r="F502" s="7" t="n">
        <v>14000</v>
      </c>
    </row>
    <row r="503" customFormat="false" ht="15" hidden="false" customHeight="false" outlineLevel="0" collapsed="false">
      <c r="A503" s="2" t="s">
        <v>631</v>
      </c>
      <c r="B503" s="13" t="n">
        <v>46272</v>
      </c>
      <c r="C503" s="2" t="s">
        <v>112</v>
      </c>
      <c r="D503" s="2" t="n">
        <v>1</v>
      </c>
      <c r="E503" s="14" t="s">
        <v>468</v>
      </c>
      <c r="F503" s="7" t="n">
        <v>10000</v>
      </c>
    </row>
    <row r="504" customFormat="false" ht="15" hidden="false" customHeight="false" outlineLevel="0" collapsed="false">
      <c r="A504" s="2" t="s">
        <v>632</v>
      </c>
      <c r="B504" s="13" t="n">
        <v>46272</v>
      </c>
      <c r="C504" s="2" t="s">
        <v>108</v>
      </c>
      <c r="D504" s="2" t="n">
        <v>2</v>
      </c>
      <c r="E504" s="14" t="s">
        <v>633</v>
      </c>
      <c r="F504" s="7" t="n">
        <v>20000</v>
      </c>
    </row>
    <row r="505" customFormat="false" ht="15" hidden="false" customHeight="false" outlineLevel="0" collapsed="false">
      <c r="A505" s="2" t="s">
        <v>632</v>
      </c>
      <c r="B505" s="13" t="n">
        <v>46272</v>
      </c>
      <c r="C505" s="2" t="s">
        <v>112</v>
      </c>
      <c r="D505" s="2" t="n">
        <v>2</v>
      </c>
      <c r="E505" s="14" t="s">
        <v>633</v>
      </c>
      <c r="F505" s="7" t="n">
        <v>10000</v>
      </c>
    </row>
    <row r="506" customFormat="false" ht="15" hidden="false" customHeight="false" outlineLevel="0" collapsed="false">
      <c r="A506" s="2" t="s">
        <v>632</v>
      </c>
      <c r="B506" s="13" t="n">
        <v>46272</v>
      </c>
      <c r="C506" s="2" t="s">
        <v>132</v>
      </c>
      <c r="D506" s="2" t="n">
        <v>2</v>
      </c>
      <c r="E506" s="14" t="s">
        <v>633</v>
      </c>
      <c r="F506" s="7" t="n">
        <v>15000</v>
      </c>
    </row>
    <row r="507" customFormat="false" ht="15" hidden="false" customHeight="false" outlineLevel="0" collapsed="false">
      <c r="A507" s="2" t="s">
        <v>634</v>
      </c>
      <c r="B507" s="13" t="n">
        <v>46272</v>
      </c>
      <c r="C507" s="2" t="s">
        <v>84</v>
      </c>
      <c r="D507" s="2" t="n">
        <v>2</v>
      </c>
      <c r="E507" s="14" t="s">
        <v>635</v>
      </c>
      <c r="F507" s="7" t="n">
        <v>5000</v>
      </c>
    </row>
    <row r="508" customFormat="false" ht="15" hidden="false" customHeight="false" outlineLevel="0" collapsed="false">
      <c r="A508" s="2" t="s">
        <v>636</v>
      </c>
      <c r="B508" s="13" t="n">
        <v>46272</v>
      </c>
      <c r="C508" s="2" t="s">
        <v>92</v>
      </c>
      <c r="D508" s="2" t="n">
        <v>1</v>
      </c>
      <c r="E508" s="14" t="s">
        <v>637</v>
      </c>
      <c r="F508" s="7" t="n">
        <v>4000</v>
      </c>
    </row>
    <row r="509" customFormat="false" ht="15" hidden="false" customHeight="false" outlineLevel="0" collapsed="false">
      <c r="A509" s="2" t="s">
        <v>636</v>
      </c>
      <c r="B509" s="13" t="n">
        <v>46272</v>
      </c>
      <c r="C509" s="2" t="s">
        <v>132</v>
      </c>
      <c r="D509" s="2" t="n">
        <v>1</v>
      </c>
      <c r="E509" s="14" t="s">
        <v>637</v>
      </c>
      <c r="F509" s="7" t="n">
        <v>15000</v>
      </c>
    </row>
    <row r="510" customFormat="false" ht="15" hidden="false" customHeight="false" outlineLevel="0" collapsed="false">
      <c r="A510" s="2" t="s">
        <v>638</v>
      </c>
      <c r="B510" s="13" t="n">
        <v>46272</v>
      </c>
      <c r="C510" s="2" t="s">
        <v>92</v>
      </c>
      <c r="D510" s="2" t="n">
        <v>2</v>
      </c>
      <c r="E510" s="14" t="s">
        <v>639</v>
      </c>
      <c r="F510" s="7" t="n">
        <v>4000</v>
      </c>
    </row>
    <row r="511" customFormat="false" ht="15" hidden="false" customHeight="false" outlineLevel="0" collapsed="false">
      <c r="A511" s="2" t="s">
        <v>640</v>
      </c>
      <c r="B511" s="13" t="n">
        <v>46272</v>
      </c>
      <c r="C511" s="2" t="s">
        <v>641</v>
      </c>
      <c r="D511" s="2" t="n">
        <v>2</v>
      </c>
      <c r="E511" s="14" t="s">
        <v>642</v>
      </c>
      <c r="F511" s="7" t="n">
        <v>5000</v>
      </c>
    </row>
    <row r="512" customFormat="false" ht="15" hidden="false" customHeight="false" outlineLevel="0" collapsed="false">
      <c r="A512" s="2" t="s">
        <v>640</v>
      </c>
      <c r="B512" s="13" t="n">
        <v>46272</v>
      </c>
      <c r="C512" s="2" t="s">
        <v>92</v>
      </c>
      <c r="D512" s="2" t="n">
        <v>2</v>
      </c>
      <c r="E512" s="14" t="s">
        <v>642</v>
      </c>
      <c r="F512" s="7" t="n">
        <v>4000</v>
      </c>
    </row>
    <row r="513" customFormat="false" ht="15" hidden="false" customHeight="false" outlineLevel="0" collapsed="false">
      <c r="A513" s="2" t="s">
        <v>643</v>
      </c>
      <c r="B513" s="13" t="n">
        <v>46272</v>
      </c>
      <c r="C513" s="2" t="s">
        <v>101</v>
      </c>
      <c r="D513" s="2" t="n">
        <v>1</v>
      </c>
      <c r="E513" s="14" t="s">
        <v>642</v>
      </c>
      <c r="F513" s="7" t="n">
        <v>18000</v>
      </c>
    </row>
    <row r="514" customFormat="false" ht="15" hidden="false" customHeight="false" outlineLevel="0" collapsed="false">
      <c r="A514" s="2" t="s">
        <v>644</v>
      </c>
      <c r="B514" s="13" t="n">
        <v>46272</v>
      </c>
      <c r="C514" s="2" t="s">
        <v>132</v>
      </c>
      <c r="D514" s="2" t="n">
        <v>2</v>
      </c>
      <c r="E514" s="14" t="s">
        <v>286</v>
      </c>
      <c r="F514" s="7" t="n">
        <v>15000</v>
      </c>
    </row>
    <row r="515" customFormat="false" ht="15" hidden="false" customHeight="false" outlineLevel="0" collapsed="false">
      <c r="A515" s="2" t="s">
        <v>645</v>
      </c>
      <c r="B515" s="13" t="n">
        <v>46272</v>
      </c>
      <c r="C515" s="2" t="s">
        <v>81</v>
      </c>
      <c r="D515" s="2" t="n">
        <v>2</v>
      </c>
      <c r="E515" s="14" t="s">
        <v>646</v>
      </c>
      <c r="F515" s="7" t="n">
        <v>15000</v>
      </c>
    </row>
    <row r="516" customFormat="false" ht="15" hidden="false" customHeight="false" outlineLevel="0" collapsed="false">
      <c r="A516" s="2" t="s">
        <v>647</v>
      </c>
      <c r="B516" s="13" t="n">
        <v>46272</v>
      </c>
      <c r="C516" s="2" t="s">
        <v>79</v>
      </c>
      <c r="D516" s="2" t="n">
        <v>1</v>
      </c>
      <c r="E516" s="14" t="s">
        <v>648</v>
      </c>
      <c r="F516" s="7" t="n">
        <v>16000</v>
      </c>
    </row>
    <row r="517" customFormat="false" ht="15" hidden="false" customHeight="false" outlineLevel="0" collapsed="false">
      <c r="A517" s="2" t="s">
        <v>647</v>
      </c>
      <c r="B517" s="13" t="n">
        <v>46272</v>
      </c>
      <c r="C517" s="2" t="s">
        <v>132</v>
      </c>
      <c r="D517" s="2" t="n">
        <v>2</v>
      </c>
      <c r="E517" s="14" t="s">
        <v>648</v>
      </c>
      <c r="F517" s="7" t="n">
        <v>15000</v>
      </c>
    </row>
    <row r="518" customFormat="false" ht="15" hidden="false" customHeight="false" outlineLevel="0" collapsed="false">
      <c r="A518" s="2" t="s">
        <v>649</v>
      </c>
      <c r="B518" s="13" t="n">
        <v>46272</v>
      </c>
      <c r="C518" s="2" t="s">
        <v>84</v>
      </c>
      <c r="D518" s="2" t="n">
        <v>3</v>
      </c>
      <c r="E518" s="14" t="s">
        <v>650</v>
      </c>
      <c r="F518" s="7" t="n">
        <v>5000</v>
      </c>
    </row>
    <row r="519" customFormat="false" ht="15" hidden="false" customHeight="false" outlineLevel="0" collapsed="false">
      <c r="A519" s="2" t="s">
        <v>649</v>
      </c>
      <c r="B519" s="13" t="n">
        <v>46272</v>
      </c>
      <c r="C519" s="2" t="s">
        <v>101</v>
      </c>
      <c r="D519" s="2" t="n">
        <v>1</v>
      </c>
      <c r="E519" s="14" t="s">
        <v>651</v>
      </c>
      <c r="F519" s="7" t="n">
        <v>18000</v>
      </c>
    </row>
    <row r="520" customFormat="false" ht="15" hidden="false" customHeight="false" outlineLevel="0" collapsed="false">
      <c r="A520" s="2" t="s">
        <v>652</v>
      </c>
      <c r="B520" s="13" t="n">
        <v>46272</v>
      </c>
      <c r="C520" s="2" t="s">
        <v>81</v>
      </c>
      <c r="D520" s="2" t="n">
        <v>2</v>
      </c>
      <c r="E520" s="14" t="s">
        <v>653</v>
      </c>
      <c r="F520" s="7" t="n">
        <v>15000</v>
      </c>
    </row>
    <row r="521" customFormat="false" ht="15" hidden="false" customHeight="false" outlineLevel="0" collapsed="false">
      <c r="A521" s="2" t="s">
        <v>652</v>
      </c>
      <c r="B521" s="13" t="n">
        <v>46272</v>
      </c>
      <c r="C521" s="2" t="s">
        <v>112</v>
      </c>
      <c r="D521" s="2" t="n">
        <v>2</v>
      </c>
      <c r="E521" s="14" t="s">
        <v>653</v>
      </c>
      <c r="F521" s="7" t="n">
        <v>10000</v>
      </c>
    </row>
    <row r="522" customFormat="false" ht="15" hidden="false" customHeight="false" outlineLevel="0" collapsed="false">
      <c r="A522" s="2" t="s">
        <v>652</v>
      </c>
      <c r="B522" s="13" t="n">
        <v>46272</v>
      </c>
      <c r="C522" s="2" t="s">
        <v>84</v>
      </c>
      <c r="D522" s="2" t="n">
        <v>3</v>
      </c>
      <c r="E522" s="14" t="s">
        <v>653</v>
      </c>
      <c r="F522" s="7" t="n">
        <v>5000</v>
      </c>
    </row>
    <row r="523" customFormat="false" ht="15" hidden="false" customHeight="false" outlineLevel="0" collapsed="false">
      <c r="A523" s="2" t="s">
        <v>654</v>
      </c>
      <c r="B523" s="13" t="n">
        <v>46272</v>
      </c>
      <c r="C523" s="2" t="s">
        <v>112</v>
      </c>
      <c r="D523" s="2" t="n">
        <v>2</v>
      </c>
      <c r="E523" s="14" t="s">
        <v>296</v>
      </c>
      <c r="F523" s="7" t="n">
        <v>10000</v>
      </c>
    </row>
    <row r="524" customFormat="false" ht="15" hidden="false" customHeight="false" outlineLevel="0" collapsed="false">
      <c r="A524" s="2" t="s">
        <v>654</v>
      </c>
      <c r="B524" s="13" t="n">
        <v>46272</v>
      </c>
      <c r="C524" s="2" t="s">
        <v>132</v>
      </c>
      <c r="D524" s="2" t="n">
        <v>1</v>
      </c>
      <c r="E524" s="14" t="s">
        <v>296</v>
      </c>
      <c r="F524" s="7" t="n">
        <v>15000</v>
      </c>
    </row>
    <row r="525" customFormat="false" ht="15" hidden="false" customHeight="false" outlineLevel="0" collapsed="false">
      <c r="A525" s="2" t="s">
        <v>655</v>
      </c>
      <c r="B525" s="13" t="n">
        <v>46272</v>
      </c>
      <c r="C525" s="2" t="s">
        <v>89</v>
      </c>
      <c r="D525" s="2" t="n">
        <v>2</v>
      </c>
      <c r="E525" s="14" t="s">
        <v>656</v>
      </c>
      <c r="F525" s="7" t="n">
        <v>14000</v>
      </c>
    </row>
    <row r="526" customFormat="false" ht="15" hidden="false" customHeight="false" outlineLevel="0" collapsed="false">
      <c r="A526" s="2" t="s">
        <v>655</v>
      </c>
      <c r="B526" s="13" t="n">
        <v>46272</v>
      </c>
      <c r="C526" s="2" t="s">
        <v>101</v>
      </c>
      <c r="D526" s="2" t="n">
        <v>2</v>
      </c>
      <c r="E526" s="14" t="s">
        <v>656</v>
      </c>
      <c r="F526" s="7" t="n">
        <v>18000</v>
      </c>
    </row>
    <row r="527" customFormat="false" ht="15" hidden="false" customHeight="false" outlineLevel="0" collapsed="false">
      <c r="A527" s="2" t="s">
        <v>657</v>
      </c>
      <c r="B527" s="13" t="n">
        <v>46272</v>
      </c>
      <c r="C527" s="2" t="s">
        <v>186</v>
      </c>
      <c r="D527" s="2" t="n">
        <v>1</v>
      </c>
      <c r="E527" s="14" t="s">
        <v>658</v>
      </c>
      <c r="F527" s="7" t="n">
        <v>7000</v>
      </c>
    </row>
    <row r="528" customFormat="false" ht="15" hidden="false" customHeight="false" outlineLevel="0" collapsed="false">
      <c r="A528" s="2" t="s">
        <v>657</v>
      </c>
      <c r="B528" s="13" t="n">
        <v>46272</v>
      </c>
      <c r="C528" s="2" t="s">
        <v>84</v>
      </c>
      <c r="D528" s="2" t="n">
        <v>2</v>
      </c>
      <c r="E528" s="14" t="s">
        <v>658</v>
      </c>
      <c r="F528" s="7" t="n">
        <v>5000</v>
      </c>
    </row>
    <row r="529" customFormat="false" ht="15" hidden="false" customHeight="false" outlineLevel="0" collapsed="false">
      <c r="A529" s="2" t="s">
        <v>657</v>
      </c>
      <c r="B529" s="13" t="n">
        <v>46272</v>
      </c>
      <c r="C529" s="2" t="s">
        <v>79</v>
      </c>
      <c r="D529" s="2" t="n">
        <v>2</v>
      </c>
      <c r="E529" s="14" t="s">
        <v>658</v>
      </c>
      <c r="F529" s="7" t="n">
        <v>16000</v>
      </c>
    </row>
    <row r="530" customFormat="false" ht="15" hidden="false" customHeight="false" outlineLevel="0" collapsed="false">
      <c r="A530" s="2" t="s">
        <v>659</v>
      </c>
      <c r="B530" s="13" t="n">
        <v>46272</v>
      </c>
      <c r="C530" s="2" t="s">
        <v>81</v>
      </c>
      <c r="D530" s="2" t="n">
        <v>1</v>
      </c>
      <c r="E530" s="14" t="s">
        <v>660</v>
      </c>
      <c r="F530" s="7" t="n">
        <v>15000</v>
      </c>
    </row>
    <row r="531" customFormat="false" ht="15" hidden="false" customHeight="false" outlineLevel="0" collapsed="false">
      <c r="A531" s="2" t="s">
        <v>661</v>
      </c>
      <c r="B531" s="13" t="n">
        <v>46272</v>
      </c>
      <c r="C531" s="2" t="s">
        <v>101</v>
      </c>
      <c r="D531" s="2" t="n">
        <v>1</v>
      </c>
      <c r="E531" s="14" t="s">
        <v>662</v>
      </c>
      <c r="F531" s="7" t="n">
        <v>18000</v>
      </c>
    </row>
    <row r="532" customFormat="false" ht="15" hidden="false" customHeight="false" outlineLevel="0" collapsed="false">
      <c r="A532" s="2" t="s">
        <v>663</v>
      </c>
      <c r="B532" s="13" t="n">
        <v>46272</v>
      </c>
      <c r="C532" s="2" t="s">
        <v>92</v>
      </c>
      <c r="D532" s="2" t="n">
        <v>2</v>
      </c>
      <c r="E532" s="14" t="s">
        <v>664</v>
      </c>
      <c r="F532" s="7" t="n">
        <v>4000</v>
      </c>
    </row>
    <row r="533" customFormat="false" ht="15" hidden="false" customHeight="false" outlineLevel="0" collapsed="false">
      <c r="A533" s="2" t="s">
        <v>665</v>
      </c>
      <c r="B533" s="13" t="n">
        <v>46272</v>
      </c>
      <c r="C533" s="2" t="s">
        <v>132</v>
      </c>
      <c r="D533" s="2" t="n">
        <v>2</v>
      </c>
      <c r="E533" s="14" t="s">
        <v>666</v>
      </c>
      <c r="F533" s="7" t="n">
        <v>15000</v>
      </c>
    </row>
    <row r="534" customFormat="false" ht="15" hidden="false" customHeight="false" outlineLevel="0" collapsed="false">
      <c r="A534" s="2" t="s">
        <v>667</v>
      </c>
      <c r="B534" s="13" t="n">
        <v>46272</v>
      </c>
      <c r="C534" s="2" t="s">
        <v>79</v>
      </c>
      <c r="D534" s="2" t="n">
        <v>1</v>
      </c>
      <c r="E534" s="14" t="s">
        <v>507</v>
      </c>
      <c r="F534" s="7" t="n">
        <v>16000</v>
      </c>
    </row>
    <row r="535" customFormat="false" ht="15" hidden="false" customHeight="false" outlineLevel="0" collapsed="false">
      <c r="A535" s="2" t="s">
        <v>667</v>
      </c>
      <c r="B535" s="13" t="n">
        <v>46272</v>
      </c>
      <c r="C535" s="2" t="s">
        <v>108</v>
      </c>
      <c r="D535" s="2" t="n">
        <v>1</v>
      </c>
      <c r="E535" s="14" t="s">
        <v>507</v>
      </c>
      <c r="F535" s="7" t="n">
        <v>20000</v>
      </c>
    </row>
    <row r="536" customFormat="false" ht="15" hidden="false" customHeight="false" outlineLevel="0" collapsed="false">
      <c r="A536" s="2" t="s">
        <v>668</v>
      </c>
      <c r="B536" s="13" t="n">
        <v>46272</v>
      </c>
      <c r="C536" s="2" t="s">
        <v>82</v>
      </c>
      <c r="D536" s="2" t="n">
        <v>1</v>
      </c>
      <c r="E536" s="14" t="s">
        <v>669</v>
      </c>
      <c r="F536" s="7" t="n">
        <v>13000</v>
      </c>
    </row>
    <row r="537" customFormat="false" ht="15" hidden="false" customHeight="false" outlineLevel="0" collapsed="false">
      <c r="A537" s="2" t="s">
        <v>670</v>
      </c>
      <c r="B537" s="13" t="n">
        <v>46272</v>
      </c>
      <c r="C537" s="2" t="s">
        <v>112</v>
      </c>
      <c r="D537" s="2" t="n">
        <v>2</v>
      </c>
      <c r="E537" s="14" t="s">
        <v>671</v>
      </c>
      <c r="F537" s="7" t="n">
        <v>10000</v>
      </c>
    </row>
    <row r="538" customFormat="false" ht="15" hidden="false" customHeight="false" outlineLevel="0" collapsed="false">
      <c r="A538" s="2" t="s">
        <v>670</v>
      </c>
      <c r="B538" s="13" t="n">
        <v>46272</v>
      </c>
      <c r="C538" s="2" t="s">
        <v>84</v>
      </c>
      <c r="D538" s="2" t="n">
        <v>1</v>
      </c>
      <c r="E538" s="14" t="s">
        <v>671</v>
      </c>
      <c r="F538" s="7" t="n">
        <v>5000</v>
      </c>
    </row>
    <row r="539" customFormat="false" ht="15" hidden="false" customHeight="false" outlineLevel="0" collapsed="false">
      <c r="A539" s="2" t="s">
        <v>672</v>
      </c>
      <c r="B539" s="13" t="n">
        <v>46272</v>
      </c>
      <c r="C539" s="2" t="s">
        <v>81</v>
      </c>
      <c r="D539" s="2" t="n">
        <v>1</v>
      </c>
      <c r="E539" s="14" t="s">
        <v>673</v>
      </c>
      <c r="F539" s="7" t="n">
        <v>15000</v>
      </c>
    </row>
    <row r="540" customFormat="false" ht="15" hidden="false" customHeight="false" outlineLevel="0" collapsed="false">
      <c r="A540" s="2" t="s">
        <v>672</v>
      </c>
      <c r="B540" s="13" t="n">
        <v>46272</v>
      </c>
      <c r="C540" s="2" t="s">
        <v>84</v>
      </c>
      <c r="D540" s="2" t="n">
        <v>1</v>
      </c>
      <c r="E540" s="14" t="s">
        <v>673</v>
      </c>
      <c r="F540" s="7" t="n">
        <v>5000</v>
      </c>
    </row>
    <row r="541" customFormat="false" ht="15" hidden="false" customHeight="false" outlineLevel="0" collapsed="false">
      <c r="A541" s="2" t="s">
        <v>674</v>
      </c>
      <c r="B541" s="13" t="n">
        <v>46272</v>
      </c>
      <c r="C541" s="2" t="s">
        <v>81</v>
      </c>
      <c r="D541" s="2" t="n">
        <v>1</v>
      </c>
      <c r="E541" s="14" t="s">
        <v>146</v>
      </c>
      <c r="F541" s="7" t="n">
        <v>15000</v>
      </c>
    </row>
    <row r="542" customFormat="false" ht="15" hidden="false" customHeight="false" outlineLevel="0" collapsed="false">
      <c r="A542" s="2" t="s">
        <v>674</v>
      </c>
      <c r="B542" s="13" t="n">
        <v>46272</v>
      </c>
      <c r="C542" s="2" t="s">
        <v>132</v>
      </c>
      <c r="D542" s="2" t="n">
        <v>1</v>
      </c>
      <c r="E542" s="14" t="s">
        <v>146</v>
      </c>
      <c r="F542" s="7" t="n">
        <v>15000</v>
      </c>
    </row>
    <row r="543" customFormat="false" ht="15" hidden="false" customHeight="false" outlineLevel="0" collapsed="false">
      <c r="A543" s="2" t="s">
        <v>675</v>
      </c>
      <c r="B543" s="13" t="n">
        <v>46272</v>
      </c>
      <c r="C543" s="2" t="s">
        <v>108</v>
      </c>
      <c r="D543" s="2" t="n">
        <v>2</v>
      </c>
      <c r="E543" s="14" t="s">
        <v>596</v>
      </c>
      <c r="F543" s="7" t="n">
        <v>20000</v>
      </c>
    </row>
    <row r="544" customFormat="false" ht="15" hidden="false" customHeight="false" outlineLevel="0" collapsed="false">
      <c r="A544" s="2" t="s">
        <v>676</v>
      </c>
      <c r="B544" s="13" t="n">
        <v>46272</v>
      </c>
      <c r="C544" s="2" t="s">
        <v>101</v>
      </c>
      <c r="D544" s="2" t="n">
        <v>1</v>
      </c>
      <c r="E544" s="14" t="s">
        <v>677</v>
      </c>
      <c r="F544" s="7" t="n">
        <v>18000</v>
      </c>
    </row>
    <row r="545" customFormat="false" ht="15" hidden="false" customHeight="false" outlineLevel="0" collapsed="false">
      <c r="A545" s="2" t="s">
        <v>676</v>
      </c>
      <c r="B545" s="13" t="n">
        <v>46272</v>
      </c>
      <c r="C545" s="2" t="s">
        <v>79</v>
      </c>
      <c r="D545" s="2" t="n">
        <v>2</v>
      </c>
      <c r="E545" s="14" t="s">
        <v>677</v>
      </c>
      <c r="F545" s="7" t="n">
        <v>16000</v>
      </c>
    </row>
    <row r="546" customFormat="false" ht="15" hidden="false" customHeight="false" outlineLevel="0" collapsed="false">
      <c r="A546" s="2" t="s">
        <v>676</v>
      </c>
      <c r="B546" s="13" t="n">
        <v>46272</v>
      </c>
      <c r="C546" s="2" t="s">
        <v>89</v>
      </c>
      <c r="D546" s="2" t="n">
        <v>1</v>
      </c>
      <c r="E546" s="14" t="s">
        <v>677</v>
      </c>
      <c r="F546" s="7" t="n">
        <v>14000</v>
      </c>
    </row>
    <row r="547" customFormat="false" ht="15" hidden="false" customHeight="false" outlineLevel="0" collapsed="false">
      <c r="A547" s="2" t="s">
        <v>678</v>
      </c>
      <c r="B547" s="13" t="n">
        <v>46272</v>
      </c>
      <c r="C547" s="2" t="s">
        <v>112</v>
      </c>
      <c r="D547" s="2" t="n">
        <v>2</v>
      </c>
      <c r="E547" s="14" t="s">
        <v>407</v>
      </c>
      <c r="F547" s="7" t="n">
        <v>10000</v>
      </c>
    </row>
    <row r="548" customFormat="false" ht="15" hidden="false" customHeight="false" outlineLevel="0" collapsed="false">
      <c r="A548" s="2" t="s">
        <v>678</v>
      </c>
      <c r="B548" s="13" t="n">
        <v>46272</v>
      </c>
      <c r="C548" s="2" t="s">
        <v>186</v>
      </c>
      <c r="D548" s="2" t="n">
        <v>3</v>
      </c>
      <c r="E548" s="14" t="s">
        <v>407</v>
      </c>
      <c r="F548" s="7" t="n">
        <v>7000</v>
      </c>
    </row>
    <row r="549" customFormat="false" ht="15" hidden="false" customHeight="false" outlineLevel="0" collapsed="false">
      <c r="A549" s="2" t="s">
        <v>679</v>
      </c>
      <c r="B549" s="13" t="n">
        <v>46272</v>
      </c>
      <c r="C549" s="2" t="s">
        <v>101</v>
      </c>
      <c r="D549" s="2" t="n">
        <v>1</v>
      </c>
      <c r="E549" s="14" t="s">
        <v>680</v>
      </c>
      <c r="F549" s="7" t="n">
        <v>18000</v>
      </c>
    </row>
    <row r="550" customFormat="false" ht="15" hidden="false" customHeight="false" outlineLevel="0" collapsed="false">
      <c r="A550" s="2" t="s">
        <v>681</v>
      </c>
      <c r="B550" s="13" t="n">
        <v>46272</v>
      </c>
      <c r="C550" s="2" t="s">
        <v>81</v>
      </c>
      <c r="D550" s="2" t="n">
        <v>1</v>
      </c>
      <c r="E550" s="14" t="s">
        <v>521</v>
      </c>
      <c r="F550" s="7" t="n">
        <v>15000</v>
      </c>
    </row>
    <row r="551" customFormat="false" ht="15" hidden="false" customHeight="false" outlineLevel="0" collapsed="false">
      <c r="A551" s="2" t="s">
        <v>681</v>
      </c>
      <c r="B551" s="13" t="n">
        <v>46272</v>
      </c>
      <c r="C551" s="2" t="s">
        <v>84</v>
      </c>
      <c r="D551" s="2" t="n">
        <v>1</v>
      </c>
      <c r="E551" s="14" t="s">
        <v>521</v>
      </c>
      <c r="F551" s="7" t="n">
        <v>5000</v>
      </c>
    </row>
    <row r="552" customFormat="false" ht="15" hidden="false" customHeight="false" outlineLevel="0" collapsed="false">
      <c r="A552" s="2" t="s">
        <v>681</v>
      </c>
      <c r="B552" s="13" t="n">
        <v>46272</v>
      </c>
      <c r="C552" s="2" t="s">
        <v>101</v>
      </c>
      <c r="D552" s="2" t="n">
        <v>1</v>
      </c>
      <c r="E552" s="14" t="s">
        <v>521</v>
      </c>
      <c r="F552" s="7" t="n">
        <v>18000</v>
      </c>
    </row>
    <row r="553" customFormat="false" ht="15" hidden="false" customHeight="false" outlineLevel="0" collapsed="false">
      <c r="A553" s="2" t="s">
        <v>682</v>
      </c>
      <c r="B553" s="13" t="n">
        <v>46272</v>
      </c>
      <c r="C553" s="2" t="s">
        <v>81</v>
      </c>
      <c r="D553" s="2" t="n">
        <v>1</v>
      </c>
      <c r="E553" s="14" t="s">
        <v>683</v>
      </c>
      <c r="F553" s="7" t="n">
        <v>15000</v>
      </c>
    </row>
    <row r="554" customFormat="false" ht="15" hidden="false" customHeight="false" outlineLevel="0" collapsed="false">
      <c r="A554" s="2" t="s">
        <v>682</v>
      </c>
      <c r="B554" s="13" t="n">
        <v>46272</v>
      </c>
      <c r="C554" s="2" t="s">
        <v>186</v>
      </c>
      <c r="D554" s="2" t="n">
        <v>2</v>
      </c>
      <c r="E554" s="14" t="s">
        <v>683</v>
      </c>
      <c r="F554" s="7" t="n">
        <v>7000</v>
      </c>
    </row>
    <row r="555" customFormat="false" ht="15" hidden="false" customHeight="false" outlineLevel="0" collapsed="false">
      <c r="A555" s="2" t="s">
        <v>684</v>
      </c>
      <c r="B555" s="13" t="n">
        <v>46272</v>
      </c>
      <c r="C555" s="2" t="s">
        <v>132</v>
      </c>
      <c r="D555" s="2" t="n">
        <v>1</v>
      </c>
      <c r="E555" s="14" t="s">
        <v>685</v>
      </c>
      <c r="F555" s="7" t="n">
        <v>15000</v>
      </c>
    </row>
    <row r="556" customFormat="false" ht="15" hidden="false" customHeight="false" outlineLevel="0" collapsed="false">
      <c r="A556" s="2" t="s">
        <v>684</v>
      </c>
      <c r="B556" s="13" t="n">
        <v>46272</v>
      </c>
      <c r="C556" s="2" t="s">
        <v>101</v>
      </c>
      <c r="D556" s="2" t="n">
        <v>2</v>
      </c>
      <c r="E556" s="14" t="s">
        <v>685</v>
      </c>
      <c r="F556" s="7" t="n">
        <v>18000</v>
      </c>
    </row>
    <row r="557" customFormat="false" ht="15" hidden="false" customHeight="false" outlineLevel="0" collapsed="false">
      <c r="A557" s="2" t="s">
        <v>686</v>
      </c>
      <c r="B557" s="13" t="n">
        <v>46272</v>
      </c>
      <c r="C557" s="2" t="s">
        <v>84</v>
      </c>
      <c r="D557" s="2" t="n">
        <v>1</v>
      </c>
      <c r="E557" s="14" t="s">
        <v>687</v>
      </c>
      <c r="F557" s="7" t="n">
        <v>5000</v>
      </c>
    </row>
    <row r="558" customFormat="false" ht="15" hidden="false" customHeight="false" outlineLevel="0" collapsed="false">
      <c r="A558" s="2" t="s">
        <v>688</v>
      </c>
      <c r="B558" s="13" t="n">
        <v>46272</v>
      </c>
      <c r="C558" s="2" t="s">
        <v>82</v>
      </c>
      <c r="D558" s="2" t="n">
        <v>2</v>
      </c>
      <c r="E558" s="14" t="s">
        <v>689</v>
      </c>
      <c r="F558" s="7" t="n">
        <v>13000</v>
      </c>
    </row>
    <row r="559" customFormat="false" ht="15" hidden="false" customHeight="false" outlineLevel="0" collapsed="false">
      <c r="A559" s="2" t="s">
        <v>690</v>
      </c>
      <c r="B559" s="13" t="n">
        <v>46273</v>
      </c>
      <c r="C559" s="2" t="s">
        <v>84</v>
      </c>
      <c r="D559" s="2" t="n">
        <v>1</v>
      </c>
      <c r="E559" s="14" t="s">
        <v>691</v>
      </c>
      <c r="F559" s="7" t="n">
        <v>5000</v>
      </c>
    </row>
    <row r="560" customFormat="false" ht="15" hidden="false" customHeight="false" outlineLevel="0" collapsed="false">
      <c r="A560" s="2" t="s">
        <v>690</v>
      </c>
      <c r="B560" s="13" t="n">
        <v>46273</v>
      </c>
      <c r="C560" s="2" t="s">
        <v>108</v>
      </c>
      <c r="D560" s="2" t="n">
        <v>1</v>
      </c>
      <c r="E560" s="14" t="s">
        <v>691</v>
      </c>
      <c r="F560" s="7" t="n">
        <v>20000</v>
      </c>
    </row>
    <row r="561" customFormat="false" ht="15" hidden="false" customHeight="false" outlineLevel="0" collapsed="false">
      <c r="A561" s="2" t="s">
        <v>690</v>
      </c>
      <c r="B561" s="13" t="n">
        <v>46273</v>
      </c>
      <c r="C561" s="2" t="s">
        <v>112</v>
      </c>
      <c r="D561" s="2" t="n">
        <v>1</v>
      </c>
      <c r="E561" s="14" t="s">
        <v>691</v>
      </c>
      <c r="F561" s="7" t="n">
        <v>10000</v>
      </c>
    </row>
    <row r="562" customFormat="false" ht="15" hidden="false" customHeight="false" outlineLevel="0" collapsed="false">
      <c r="A562" s="2" t="s">
        <v>692</v>
      </c>
      <c r="B562" s="13" t="n">
        <v>46273</v>
      </c>
      <c r="C562" s="2" t="s">
        <v>186</v>
      </c>
      <c r="D562" s="2" t="n">
        <v>1</v>
      </c>
      <c r="E562" s="14" t="s">
        <v>693</v>
      </c>
      <c r="F562" s="7" t="n">
        <v>7000</v>
      </c>
    </row>
    <row r="563" customFormat="false" ht="15" hidden="false" customHeight="false" outlineLevel="0" collapsed="false">
      <c r="A563" s="2" t="s">
        <v>692</v>
      </c>
      <c r="B563" s="13" t="n">
        <v>46273</v>
      </c>
      <c r="C563" s="2" t="s">
        <v>92</v>
      </c>
      <c r="D563" s="2" t="n">
        <v>1</v>
      </c>
      <c r="E563" s="14" t="s">
        <v>693</v>
      </c>
      <c r="F563" s="7" t="n">
        <v>4000</v>
      </c>
    </row>
    <row r="564" customFormat="false" ht="15" hidden="false" customHeight="false" outlineLevel="0" collapsed="false">
      <c r="A564" s="2" t="s">
        <v>694</v>
      </c>
      <c r="B564" s="13" t="n">
        <v>46273</v>
      </c>
      <c r="C564" s="2" t="s">
        <v>81</v>
      </c>
      <c r="D564" s="2" t="n">
        <v>1</v>
      </c>
      <c r="E564" s="14" t="s">
        <v>695</v>
      </c>
      <c r="F564" s="7" t="n">
        <v>15000</v>
      </c>
    </row>
    <row r="565" customFormat="false" ht="15" hidden="false" customHeight="false" outlineLevel="0" collapsed="false">
      <c r="A565" s="2" t="s">
        <v>694</v>
      </c>
      <c r="B565" s="13" t="n">
        <v>46273</v>
      </c>
      <c r="C565" s="2" t="s">
        <v>101</v>
      </c>
      <c r="D565" s="2" t="n">
        <v>1</v>
      </c>
      <c r="E565" s="14"/>
      <c r="F565" s="7" t="n">
        <v>18000</v>
      </c>
    </row>
    <row r="566" customFormat="false" ht="15" hidden="false" customHeight="false" outlineLevel="0" collapsed="false">
      <c r="A566" s="2" t="s">
        <v>696</v>
      </c>
      <c r="B566" s="13" t="n">
        <v>46273</v>
      </c>
      <c r="C566" s="2" t="s">
        <v>101</v>
      </c>
      <c r="D566" s="2" t="n">
        <v>1</v>
      </c>
      <c r="E566" s="14" t="s">
        <v>697</v>
      </c>
      <c r="F566" s="7" t="n">
        <v>18000</v>
      </c>
    </row>
    <row r="567" customFormat="false" ht="15" hidden="false" customHeight="false" outlineLevel="0" collapsed="false">
      <c r="A567" s="2" t="s">
        <v>698</v>
      </c>
      <c r="B567" s="13" t="n">
        <v>46273</v>
      </c>
      <c r="C567" s="2" t="s">
        <v>101</v>
      </c>
      <c r="D567" s="2" t="n">
        <v>1</v>
      </c>
      <c r="E567" s="14" t="s">
        <v>699</v>
      </c>
      <c r="F567" s="7" t="n">
        <v>18000</v>
      </c>
    </row>
    <row r="568" customFormat="false" ht="15" hidden="false" customHeight="false" outlineLevel="0" collapsed="false">
      <c r="A568" s="2" t="s">
        <v>700</v>
      </c>
      <c r="B568" s="13" t="n">
        <v>46273</v>
      </c>
      <c r="C568" s="2" t="s">
        <v>84</v>
      </c>
      <c r="D568" s="2" t="n">
        <v>1</v>
      </c>
      <c r="E568" s="14" t="s">
        <v>617</v>
      </c>
      <c r="F568" s="7" t="n">
        <v>5000</v>
      </c>
    </row>
    <row r="569" customFormat="false" ht="15" hidden="false" customHeight="false" outlineLevel="0" collapsed="false">
      <c r="A569" s="2" t="s">
        <v>701</v>
      </c>
      <c r="B569" s="13" t="n">
        <v>46273</v>
      </c>
      <c r="C569" s="2" t="s">
        <v>82</v>
      </c>
      <c r="D569" s="2" t="n">
        <v>1</v>
      </c>
      <c r="E569" s="14" t="s">
        <v>702</v>
      </c>
      <c r="F569" s="7" t="n">
        <v>13000</v>
      </c>
    </row>
    <row r="570" customFormat="false" ht="15" hidden="false" customHeight="false" outlineLevel="0" collapsed="false">
      <c r="A570" s="2" t="s">
        <v>701</v>
      </c>
      <c r="B570" s="13" t="n">
        <v>46273</v>
      </c>
      <c r="C570" s="2" t="s">
        <v>79</v>
      </c>
      <c r="D570" s="2" t="n">
        <v>1</v>
      </c>
      <c r="E570" s="14" t="s">
        <v>702</v>
      </c>
      <c r="F570" s="7" t="n">
        <v>16000</v>
      </c>
    </row>
    <row r="571" customFormat="false" ht="15" hidden="false" customHeight="false" outlineLevel="0" collapsed="false">
      <c r="A571" s="2" t="s">
        <v>703</v>
      </c>
      <c r="B571" s="13" t="n">
        <v>46273</v>
      </c>
      <c r="C571" s="2" t="s">
        <v>81</v>
      </c>
      <c r="D571" s="2" t="n">
        <v>2</v>
      </c>
      <c r="E571" s="14" t="s">
        <v>356</v>
      </c>
      <c r="F571" s="7" t="n">
        <v>15000</v>
      </c>
    </row>
    <row r="572" customFormat="false" ht="15" hidden="false" customHeight="false" outlineLevel="0" collapsed="false">
      <c r="A572" s="2" t="s">
        <v>703</v>
      </c>
      <c r="B572" s="13" t="n">
        <v>46273</v>
      </c>
      <c r="C572" s="2" t="s">
        <v>89</v>
      </c>
      <c r="D572" s="2" t="n">
        <v>1</v>
      </c>
      <c r="E572" s="14" t="s">
        <v>356</v>
      </c>
      <c r="F572" s="7" t="n">
        <v>14000</v>
      </c>
    </row>
    <row r="573" customFormat="false" ht="15" hidden="false" customHeight="false" outlineLevel="0" collapsed="false">
      <c r="A573" s="2" t="s">
        <v>703</v>
      </c>
      <c r="B573" s="13" t="n">
        <v>46273</v>
      </c>
      <c r="C573" s="2" t="s">
        <v>112</v>
      </c>
      <c r="D573" s="2" t="n">
        <v>1</v>
      </c>
      <c r="E573" s="14" t="s">
        <v>356</v>
      </c>
      <c r="F573" s="7" t="n">
        <v>10000</v>
      </c>
    </row>
    <row r="574" customFormat="false" ht="15" hidden="false" customHeight="false" outlineLevel="0" collapsed="false">
      <c r="A574" s="2" t="s">
        <v>704</v>
      </c>
      <c r="B574" s="13" t="n">
        <v>46273</v>
      </c>
      <c r="C574" s="2" t="s">
        <v>101</v>
      </c>
      <c r="D574" s="2" t="n">
        <v>1</v>
      </c>
      <c r="E574" s="14" t="s">
        <v>705</v>
      </c>
      <c r="F574" s="7" t="n">
        <v>18000</v>
      </c>
    </row>
    <row r="575" customFormat="false" ht="15" hidden="false" customHeight="false" outlineLevel="0" collapsed="false">
      <c r="A575" s="2" t="s">
        <v>706</v>
      </c>
      <c r="B575" s="13" t="n">
        <v>46273</v>
      </c>
      <c r="C575" s="2" t="s">
        <v>92</v>
      </c>
      <c r="D575" s="2" t="n">
        <v>2</v>
      </c>
      <c r="E575" s="14" t="s">
        <v>459</v>
      </c>
      <c r="F575" s="7" t="n">
        <v>4000</v>
      </c>
    </row>
    <row r="576" customFormat="false" ht="15" hidden="false" customHeight="false" outlineLevel="0" collapsed="false">
      <c r="A576" s="2" t="s">
        <v>706</v>
      </c>
      <c r="B576" s="13" t="n">
        <v>46273</v>
      </c>
      <c r="C576" s="2" t="s">
        <v>108</v>
      </c>
      <c r="D576" s="2" t="n">
        <v>2</v>
      </c>
      <c r="E576" s="14" t="s">
        <v>459</v>
      </c>
      <c r="F576" s="7" t="n">
        <v>20000</v>
      </c>
    </row>
    <row r="577" customFormat="false" ht="15" hidden="false" customHeight="false" outlineLevel="0" collapsed="false">
      <c r="A577" s="2" t="s">
        <v>707</v>
      </c>
      <c r="B577" s="13" t="n">
        <v>46273</v>
      </c>
      <c r="C577" s="2" t="s">
        <v>186</v>
      </c>
      <c r="D577" s="2" t="n">
        <v>1</v>
      </c>
      <c r="E577" s="14" t="s">
        <v>708</v>
      </c>
      <c r="F577" s="7" t="n">
        <v>7000</v>
      </c>
    </row>
    <row r="578" customFormat="false" ht="15" hidden="false" customHeight="false" outlineLevel="0" collapsed="false">
      <c r="A578" s="2" t="s">
        <v>707</v>
      </c>
      <c r="B578" s="13" t="n">
        <v>46273</v>
      </c>
      <c r="C578" s="2" t="s">
        <v>101</v>
      </c>
      <c r="D578" s="2" t="n">
        <v>1</v>
      </c>
      <c r="E578" s="14" t="s">
        <v>708</v>
      </c>
      <c r="F578" s="7" t="n">
        <v>18000</v>
      </c>
    </row>
    <row r="579" customFormat="false" ht="15" hidden="false" customHeight="false" outlineLevel="0" collapsed="false">
      <c r="A579" s="2" t="s">
        <v>709</v>
      </c>
      <c r="B579" s="13" t="n">
        <v>46273</v>
      </c>
      <c r="C579" s="2" t="s">
        <v>89</v>
      </c>
      <c r="D579" s="2" t="n">
        <v>1</v>
      </c>
      <c r="E579" s="14" t="s">
        <v>372</v>
      </c>
      <c r="F579" s="7" t="n">
        <v>14000</v>
      </c>
    </row>
    <row r="580" customFormat="false" ht="15" hidden="false" customHeight="false" outlineLevel="0" collapsed="false">
      <c r="A580" s="2" t="s">
        <v>709</v>
      </c>
      <c r="B580" s="13" t="n">
        <v>46273</v>
      </c>
      <c r="C580" s="2" t="s">
        <v>81</v>
      </c>
      <c r="D580" s="2" t="n">
        <v>2</v>
      </c>
      <c r="E580" s="14" t="s">
        <v>372</v>
      </c>
      <c r="F580" s="7" t="n">
        <v>15000</v>
      </c>
    </row>
    <row r="581" customFormat="false" ht="15" hidden="false" customHeight="false" outlineLevel="0" collapsed="false">
      <c r="A581" s="2" t="s">
        <v>710</v>
      </c>
      <c r="B581" s="13" t="n">
        <v>46273</v>
      </c>
      <c r="C581" s="2" t="s">
        <v>84</v>
      </c>
      <c r="D581" s="2" t="n">
        <v>1</v>
      </c>
      <c r="E581" s="14" t="s">
        <v>372</v>
      </c>
      <c r="F581" s="7" t="n">
        <v>5000</v>
      </c>
    </row>
    <row r="582" customFormat="false" ht="15" hidden="false" customHeight="false" outlineLevel="0" collapsed="false">
      <c r="A582" s="2" t="s">
        <v>711</v>
      </c>
      <c r="B582" s="13" t="n">
        <v>46273</v>
      </c>
      <c r="C582" s="2" t="s">
        <v>132</v>
      </c>
      <c r="D582" s="2" t="n">
        <v>1</v>
      </c>
      <c r="E582" s="14" t="s">
        <v>90</v>
      </c>
      <c r="F582" s="7" t="n">
        <v>15000</v>
      </c>
    </row>
    <row r="583" customFormat="false" ht="15" hidden="false" customHeight="false" outlineLevel="0" collapsed="false">
      <c r="A583" s="2" t="s">
        <v>712</v>
      </c>
      <c r="B583" s="13" t="n">
        <v>46273</v>
      </c>
      <c r="C583" s="2" t="s">
        <v>81</v>
      </c>
      <c r="D583" s="2" t="n">
        <v>2</v>
      </c>
      <c r="E583" s="14" t="s">
        <v>713</v>
      </c>
      <c r="F583" s="7" t="n">
        <v>15000</v>
      </c>
    </row>
    <row r="584" customFormat="false" ht="15" hidden="false" customHeight="false" outlineLevel="0" collapsed="false">
      <c r="A584" s="2" t="s">
        <v>712</v>
      </c>
      <c r="B584" s="13" t="n">
        <v>46273</v>
      </c>
      <c r="C584" s="2" t="s">
        <v>84</v>
      </c>
      <c r="D584" s="2" t="n">
        <v>1</v>
      </c>
      <c r="E584" s="14" t="s">
        <v>713</v>
      </c>
      <c r="F584" s="7" t="n">
        <v>5000</v>
      </c>
    </row>
    <row r="585" customFormat="false" ht="15" hidden="false" customHeight="false" outlineLevel="0" collapsed="false">
      <c r="A585" s="2" t="s">
        <v>714</v>
      </c>
      <c r="B585" s="13" t="n">
        <v>46273</v>
      </c>
      <c r="C585" s="2" t="s">
        <v>81</v>
      </c>
      <c r="D585" s="2" t="n">
        <v>2</v>
      </c>
      <c r="E585" s="14" t="s">
        <v>197</v>
      </c>
      <c r="F585" s="7" t="n">
        <v>15000</v>
      </c>
    </row>
    <row r="586" customFormat="false" ht="15" hidden="false" customHeight="false" outlineLevel="0" collapsed="false">
      <c r="A586" s="2" t="s">
        <v>715</v>
      </c>
      <c r="B586" s="13" t="n">
        <v>46273</v>
      </c>
      <c r="C586" s="2" t="s">
        <v>186</v>
      </c>
      <c r="D586" s="2" t="n">
        <v>1</v>
      </c>
      <c r="E586" s="14" t="s">
        <v>716</v>
      </c>
      <c r="F586" s="7" t="n">
        <v>7000</v>
      </c>
    </row>
    <row r="587" customFormat="false" ht="15" hidden="false" customHeight="false" outlineLevel="0" collapsed="false">
      <c r="A587" s="2" t="s">
        <v>717</v>
      </c>
      <c r="B587" s="13" t="n">
        <v>46273</v>
      </c>
      <c r="C587" s="2" t="s">
        <v>126</v>
      </c>
      <c r="D587" s="2" t="n">
        <v>1</v>
      </c>
      <c r="E587" s="14" t="s">
        <v>716</v>
      </c>
      <c r="F587" s="7" t="n">
        <v>3000</v>
      </c>
    </row>
    <row r="588" customFormat="false" ht="15" hidden="false" customHeight="false" outlineLevel="0" collapsed="false">
      <c r="A588" s="2" t="s">
        <v>717</v>
      </c>
      <c r="B588" s="13" t="n">
        <v>46273</v>
      </c>
      <c r="C588" s="2" t="s">
        <v>89</v>
      </c>
      <c r="D588" s="2" t="n">
        <v>2</v>
      </c>
      <c r="E588" s="14" t="s">
        <v>716</v>
      </c>
      <c r="F588" s="7" t="n">
        <v>14000</v>
      </c>
    </row>
    <row r="589" customFormat="false" ht="15" hidden="false" customHeight="false" outlineLevel="0" collapsed="false">
      <c r="A589" s="2" t="s">
        <v>718</v>
      </c>
      <c r="B589" s="13" t="n">
        <v>46273</v>
      </c>
      <c r="C589" s="2" t="s">
        <v>132</v>
      </c>
      <c r="D589" s="2" t="n">
        <v>2</v>
      </c>
      <c r="E589" s="14" t="s">
        <v>637</v>
      </c>
      <c r="F589" s="7" t="n">
        <v>15000</v>
      </c>
    </row>
    <row r="590" customFormat="false" ht="15" hidden="false" customHeight="false" outlineLevel="0" collapsed="false">
      <c r="A590" s="2" t="s">
        <v>719</v>
      </c>
      <c r="B590" s="13" t="n">
        <v>46273</v>
      </c>
      <c r="C590" s="2" t="s">
        <v>79</v>
      </c>
      <c r="D590" s="2" t="n">
        <v>2</v>
      </c>
      <c r="E590" s="14" t="s">
        <v>553</v>
      </c>
      <c r="F590" s="7" t="n">
        <v>16000</v>
      </c>
    </row>
    <row r="591" customFormat="false" ht="15" hidden="false" customHeight="false" outlineLevel="0" collapsed="false">
      <c r="A591" s="2" t="s">
        <v>719</v>
      </c>
      <c r="B591" s="13" t="n">
        <v>46273</v>
      </c>
      <c r="C591" s="2" t="s">
        <v>186</v>
      </c>
      <c r="D591" s="2" t="n">
        <v>1</v>
      </c>
      <c r="E591" s="14" t="s">
        <v>553</v>
      </c>
      <c r="F591" s="7" t="n">
        <v>7000</v>
      </c>
    </row>
    <row r="592" customFormat="false" ht="15" hidden="false" customHeight="false" outlineLevel="0" collapsed="false">
      <c r="A592" s="2" t="s">
        <v>720</v>
      </c>
      <c r="B592" s="13" t="n">
        <v>46273</v>
      </c>
      <c r="C592" s="2" t="s">
        <v>108</v>
      </c>
      <c r="D592" s="2" t="n">
        <v>2</v>
      </c>
      <c r="E592" s="14" t="s">
        <v>642</v>
      </c>
      <c r="F592" s="7" t="n">
        <v>20000</v>
      </c>
    </row>
    <row r="593" customFormat="false" ht="15" hidden="false" customHeight="false" outlineLevel="0" collapsed="false">
      <c r="A593" s="2" t="s">
        <v>720</v>
      </c>
      <c r="B593" s="13" t="n">
        <v>46273</v>
      </c>
      <c r="C593" s="2" t="s">
        <v>101</v>
      </c>
      <c r="D593" s="2" t="n">
        <v>1</v>
      </c>
      <c r="E593" s="14" t="s">
        <v>642</v>
      </c>
      <c r="F593" s="7" t="n">
        <v>18000</v>
      </c>
    </row>
    <row r="594" customFormat="false" ht="15" hidden="false" customHeight="false" outlineLevel="0" collapsed="false">
      <c r="A594" s="2" t="s">
        <v>720</v>
      </c>
      <c r="B594" s="13" t="n">
        <v>46273</v>
      </c>
      <c r="C594" s="2" t="s">
        <v>82</v>
      </c>
      <c r="D594" s="2" t="n">
        <v>1</v>
      </c>
      <c r="E594" s="14" t="s">
        <v>642</v>
      </c>
      <c r="F594" s="7" t="n">
        <v>13000</v>
      </c>
    </row>
    <row r="595" customFormat="false" ht="15" hidden="false" customHeight="false" outlineLevel="0" collapsed="false">
      <c r="A595" s="2" t="s">
        <v>721</v>
      </c>
      <c r="B595" s="13" t="n">
        <v>46273</v>
      </c>
      <c r="C595" s="2" t="s">
        <v>84</v>
      </c>
      <c r="D595" s="2" t="n">
        <v>1</v>
      </c>
      <c r="E595" s="14" t="s">
        <v>722</v>
      </c>
      <c r="F595" s="7" t="n">
        <v>5000</v>
      </c>
    </row>
    <row r="596" customFormat="false" ht="15" hidden="false" customHeight="false" outlineLevel="0" collapsed="false">
      <c r="A596" s="2" t="s">
        <v>723</v>
      </c>
      <c r="B596" s="13" t="n">
        <v>46273</v>
      </c>
      <c r="C596" s="2" t="s">
        <v>89</v>
      </c>
      <c r="D596" s="2" t="n">
        <v>2</v>
      </c>
      <c r="E596" s="14" t="s">
        <v>569</v>
      </c>
      <c r="F596" s="7" t="n">
        <v>14000</v>
      </c>
    </row>
    <row r="597" customFormat="false" ht="15" hidden="false" customHeight="false" outlineLevel="0" collapsed="false">
      <c r="A597" s="2" t="s">
        <v>724</v>
      </c>
      <c r="B597" s="13" t="n">
        <v>46273</v>
      </c>
      <c r="C597" s="2" t="s">
        <v>92</v>
      </c>
      <c r="D597" s="2" t="n">
        <v>1</v>
      </c>
      <c r="E597" s="14" t="s">
        <v>725</v>
      </c>
      <c r="F597" s="7" t="n">
        <v>0</v>
      </c>
    </row>
    <row r="598" customFormat="false" ht="15" hidden="false" customHeight="false" outlineLevel="0" collapsed="false">
      <c r="A598" s="2" t="s">
        <v>724</v>
      </c>
      <c r="B598" s="13" t="n">
        <v>46273</v>
      </c>
      <c r="C598" s="2" t="s">
        <v>186</v>
      </c>
      <c r="D598" s="2" t="n">
        <v>1</v>
      </c>
      <c r="E598" s="14" t="s">
        <v>725</v>
      </c>
      <c r="F598" s="7" t="n">
        <v>7000</v>
      </c>
    </row>
    <row r="599" customFormat="false" ht="15" hidden="false" customHeight="false" outlineLevel="0" collapsed="false">
      <c r="A599" s="2" t="s">
        <v>726</v>
      </c>
      <c r="B599" s="13" t="n">
        <v>46273</v>
      </c>
      <c r="C599" s="2" t="s">
        <v>112</v>
      </c>
      <c r="D599" s="2" t="n">
        <v>2</v>
      </c>
      <c r="E599" s="14" t="s">
        <v>120</v>
      </c>
      <c r="F599" s="7" t="n">
        <v>10000</v>
      </c>
    </row>
    <row r="600" customFormat="false" ht="15" hidden="false" customHeight="false" outlineLevel="0" collapsed="false">
      <c r="A600" s="2" t="s">
        <v>726</v>
      </c>
      <c r="B600" s="13" t="n">
        <v>46273</v>
      </c>
      <c r="C600" s="2" t="s">
        <v>101</v>
      </c>
      <c r="D600" s="2" t="n">
        <v>1</v>
      </c>
      <c r="E600" s="14" t="s">
        <v>120</v>
      </c>
      <c r="F600" s="7" t="n">
        <v>18000</v>
      </c>
    </row>
    <row r="601" customFormat="false" ht="15" hidden="false" customHeight="false" outlineLevel="0" collapsed="false">
      <c r="A601" s="2" t="s">
        <v>727</v>
      </c>
      <c r="B601" s="13" t="n">
        <v>46273</v>
      </c>
      <c r="C601" s="2" t="s">
        <v>101</v>
      </c>
      <c r="D601" s="2" t="n">
        <v>1</v>
      </c>
      <c r="E601" s="14" t="s">
        <v>298</v>
      </c>
      <c r="F601" s="7" t="n">
        <v>18000</v>
      </c>
    </row>
    <row r="602" customFormat="false" ht="15" hidden="false" customHeight="false" outlineLevel="0" collapsed="false">
      <c r="A602" s="2" t="s">
        <v>728</v>
      </c>
      <c r="B602" s="13" t="n">
        <v>46273</v>
      </c>
      <c r="C602" s="2" t="s">
        <v>132</v>
      </c>
      <c r="D602" s="2" t="n">
        <v>1</v>
      </c>
      <c r="E602" s="14" t="s">
        <v>124</v>
      </c>
      <c r="F602" s="7" t="n">
        <v>15000</v>
      </c>
    </row>
    <row r="603" customFormat="false" ht="15" hidden="false" customHeight="false" outlineLevel="0" collapsed="false">
      <c r="A603" s="2" t="s">
        <v>729</v>
      </c>
      <c r="B603" s="13" t="n">
        <v>46273</v>
      </c>
      <c r="C603" s="2" t="s">
        <v>81</v>
      </c>
      <c r="D603" s="2" t="n">
        <v>1</v>
      </c>
      <c r="E603" s="14" t="s">
        <v>300</v>
      </c>
      <c r="F603" s="7" t="n">
        <v>15000</v>
      </c>
    </row>
    <row r="604" customFormat="false" ht="15" hidden="false" customHeight="false" outlineLevel="0" collapsed="false">
      <c r="A604" s="2" t="s">
        <v>730</v>
      </c>
      <c r="B604" s="13" t="n">
        <v>46273</v>
      </c>
      <c r="C604" s="2" t="s">
        <v>186</v>
      </c>
      <c r="D604" s="2" t="n">
        <v>2</v>
      </c>
      <c r="E604" s="14" t="s">
        <v>731</v>
      </c>
      <c r="F604" s="7" t="n">
        <v>7000</v>
      </c>
    </row>
    <row r="605" customFormat="false" ht="15" hidden="false" customHeight="false" outlineLevel="0" collapsed="false">
      <c r="A605" s="2" t="s">
        <v>732</v>
      </c>
      <c r="B605" s="13" t="n">
        <v>46273</v>
      </c>
      <c r="C605" s="2" t="s">
        <v>84</v>
      </c>
      <c r="D605" s="2" t="n">
        <v>1</v>
      </c>
      <c r="E605" s="14" t="s">
        <v>129</v>
      </c>
      <c r="F605" s="7" t="n">
        <v>5000</v>
      </c>
    </row>
    <row r="606" customFormat="false" ht="15" hidden="false" customHeight="false" outlineLevel="0" collapsed="false">
      <c r="A606" s="2" t="s">
        <v>733</v>
      </c>
      <c r="B606" s="13" t="n">
        <v>46273</v>
      </c>
      <c r="C606" s="2" t="s">
        <v>82</v>
      </c>
      <c r="D606" s="2" t="n">
        <v>3</v>
      </c>
      <c r="E606" s="14" t="s">
        <v>734</v>
      </c>
      <c r="F606" s="7" t="n">
        <v>13000</v>
      </c>
    </row>
    <row r="607" customFormat="false" ht="15" hidden="false" customHeight="false" outlineLevel="0" collapsed="false">
      <c r="A607" s="2" t="s">
        <v>735</v>
      </c>
      <c r="B607" s="13" t="n">
        <v>46273</v>
      </c>
      <c r="C607" s="2" t="s">
        <v>84</v>
      </c>
      <c r="D607" s="2" t="n">
        <v>2</v>
      </c>
      <c r="E607" s="14" t="s">
        <v>736</v>
      </c>
      <c r="F607" s="7" t="n">
        <v>5000</v>
      </c>
    </row>
    <row r="608" customFormat="false" ht="15" hidden="false" customHeight="false" outlineLevel="0" collapsed="false">
      <c r="A608" s="2" t="s">
        <v>735</v>
      </c>
      <c r="B608" s="13" t="n">
        <v>46273</v>
      </c>
      <c r="C608" s="2" t="s">
        <v>112</v>
      </c>
      <c r="D608" s="2" t="n">
        <v>1</v>
      </c>
      <c r="E608" s="14" t="s">
        <v>736</v>
      </c>
      <c r="F608" s="7" t="n">
        <v>10000</v>
      </c>
    </row>
    <row r="609" customFormat="false" ht="15" hidden="false" customHeight="false" outlineLevel="0" collapsed="false">
      <c r="A609" s="2" t="s">
        <v>737</v>
      </c>
      <c r="B609" s="13" t="n">
        <v>46273</v>
      </c>
      <c r="C609" s="2" t="s">
        <v>81</v>
      </c>
      <c r="D609" s="2" t="n">
        <v>1</v>
      </c>
      <c r="E609" s="14" t="s">
        <v>579</v>
      </c>
      <c r="F609" s="7" t="n">
        <v>15000</v>
      </c>
    </row>
    <row r="610" customFormat="false" ht="15" hidden="false" customHeight="false" outlineLevel="0" collapsed="false">
      <c r="A610" s="2" t="s">
        <v>738</v>
      </c>
      <c r="B610" s="13" t="n">
        <v>46273</v>
      </c>
      <c r="C610" s="2" t="s">
        <v>81</v>
      </c>
      <c r="D610" s="2" t="n">
        <v>1</v>
      </c>
      <c r="E610" s="14" t="s">
        <v>739</v>
      </c>
      <c r="F610" s="7" t="n">
        <v>15000</v>
      </c>
    </row>
    <row r="611" customFormat="false" ht="15" hidden="false" customHeight="false" outlineLevel="0" collapsed="false">
      <c r="A611" s="2" t="s">
        <v>738</v>
      </c>
      <c r="B611" s="13" t="n">
        <v>46273</v>
      </c>
      <c r="C611" s="2" t="s">
        <v>92</v>
      </c>
      <c r="D611" s="2" t="n">
        <v>1</v>
      </c>
      <c r="E611" s="14" t="s">
        <v>739</v>
      </c>
      <c r="F611" s="7" t="n">
        <v>4000</v>
      </c>
    </row>
    <row r="612" customFormat="false" ht="15" hidden="false" customHeight="false" outlineLevel="0" collapsed="false">
      <c r="A612" s="2" t="s">
        <v>738</v>
      </c>
      <c r="B612" s="13" t="n">
        <v>46273</v>
      </c>
      <c r="C612" s="2" t="s">
        <v>126</v>
      </c>
      <c r="D612" s="2" t="n">
        <v>1</v>
      </c>
      <c r="E612" s="14" t="s">
        <v>739</v>
      </c>
      <c r="F612" s="7" t="n">
        <v>3000</v>
      </c>
    </row>
    <row r="613" customFormat="false" ht="15" hidden="false" customHeight="false" outlineLevel="0" collapsed="false">
      <c r="A613" s="2" t="s">
        <v>740</v>
      </c>
      <c r="B613" s="13" t="n">
        <v>46273</v>
      </c>
      <c r="C613" s="2" t="s">
        <v>81</v>
      </c>
      <c r="D613" s="2" t="n">
        <v>1</v>
      </c>
      <c r="E613" s="14" t="s">
        <v>584</v>
      </c>
      <c r="F613" s="7" t="n">
        <v>15000</v>
      </c>
    </row>
    <row r="614" customFormat="false" ht="15" hidden="false" customHeight="false" outlineLevel="0" collapsed="false">
      <c r="A614" s="2" t="s">
        <v>741</v>
      </c>
      <c r="B614" s="13" t="n">
        <v>46273</v>
      </c>
      <c r="C614" s="2" t="s">
        <v>84</v>
      </c>
      <c r="D614" s="2" t="n">
        <v>1</v>
      </c>
      <c r="E614" s="14" t="s">
        <v>588</v>
      </c>
      <c r="F614" s="7" t="n">
        <v>5000</v>
      </c>
    </row>
    <row r="615" customFormat="false" ht="15" hidden="false" customHeight="false" outlineLevel="0" collapsed="false">
      <c r="A615" s="2" t="s">
        <v>742</v>
      </c>
      <c r="B615" s="13" t="n">
        <v>46273</v>
      </c>
      <c r="C615" s="2" t="s">
        <v>92</v>
      </c>
      <c r="D615" s="2" t="n">
        <v>1</v>
      </c>
      <c r="E615" s="14" t="s">
        <v>590</v>
      </c>
      <c r="F615" s="7" t="n">
        <v>4000</v>
      </c>
    </row>
    <row r="616" customFormat="false" ht="15" hidden="false" customHeight="false" outlineLevel="0" collapsed="false">
      <c r="A616" s="2" t="s">
        <v>742</v>
      </c>
      <c r="B616" s="13" t="n">
        <v>46273</v>
      </c>
      <c r="C616" s="2" t="s">
        <v>101</v>
      </c>
      <c r="D616" s="2" t="n">
        <v>1</v>
      </c>
      <c r="E616" s="14" t="s">
        <v>590</v>
      </c>
      <c r="F616" s="7" t="n">
        <v>18000</v>
      </c>
    </row>
    <row r="617" customFormat="false" ht="15" hidden="false" customHeight="false" outlineLevel="0" collapsed="false">
      <c r="A617" s="2" t="s">
        <v>743</v>
      </c>
      <c r="B617" s="13" t="n">
        <v>46273</v>
      </c>
      <c r="C617" s="2" t="s">
        <v>84</v>
      </c>
      <c r="D617" s="2" t="n">
        <v>1</v>
      </c>
      <c r="E617" s="14" t="s">
        <v>671</v>
      </c>
      <c r="F617" s="7" t="n">
        <v>5000</v>
      </c>
    </row>
    <row r="618" customFormat="false" ht="15" hidden="false" customHeight="false" outlineLevel="0" collapsed="false">
      <c r="A618" s="2" t="s">
        <v>744</v>
      </c>
      <c r="B618" s="13" t="n">
        <v>46273</v>
      </c>
      <c r="C618" s="2" t="s">
        <v>92</v>
      </c>
      <c r="D618" s="2" t="n">
        <v>1</v>
      </c>
      <c r="E618" s="14" t="s">
        <v>745</v>
      </c>
      <c r="F618" s="7" t="n">
        <v>4000</v>
      </c>
    </row>
    <row r="619" customFormat="false" ht="15" hidden="false" customHeight="false" outlineLevel="0" collapsed="false">
      <c r="A619" s="2" t="s">
        <v>746</v>
      </c>
      <c r="B619" s="13" t="n">
        <v>46273</v>
      </c>
      <c r="C619" s="2" t="s">
        <v>101</v>
      </c>
      <c r="D619" s="2" t="n">
        <v>2</v>
      </c>
      <c r="E619" s="14" t="s">
        <v>237</v>
      </c>
      <c r="F619" s="7" t="n">
        <v>18000</v>
      </c>
    </row>
    <row r="620" customFormat="false" ht="15" hidden="false" customHeight="false" outlineLevel="0" collapsed="false">
      <c r="A620" s="2" t="s">
        <v>746</v>
      </c>
      <c r="B620" s="13" t="n">
        <v>46273</v>
      </c>
      <c r="C620" s="2" t="s">
        <v>132</v>
      </c>
      <c r="D620" s="2" t="n">
        <v>1</v>
      </c>
      <c r="E620" s="14" t="s">
        <v>237</v>
      </c>
      <c r="F620" s="7" t="n">
        <v>15000</v>
      </c>
    </row>
    <row r="621" customFormat="false" ht="15" hidden="false" customHeight="false" outlineLevel="0" collapsed="false">
      <c r="A621" s="2" t="s">
        <v>747</v>
      </c>
      <c r="B621" s="13" t="n">
        <v>46273</v>
      </c>
      <c r="C621" s="2" t="s">
        <v>126</v>
      </c>
      <c r="D621" s="2" t="n">
        <v>1</v>
      </c>
      <c r="E621" s="14" t="s">
        <v>748</v>
      </c>
      <c r="F621" s="7" t="n">
        <v>3000</v>
      </c>
    </row>
    <row r="622" customFormat="false" ht="15" hidden="false" customHeight="false" outlineLevel="0" collapsed="false">
      <c r="A622" s="2" t="s">
        <v>747</v>
      </c>
      <c r="B622" s="13" t="n">
        <v>46273</v>
      </c>
      <c r="C622" s="2" t="s">
        <v>79</v>
      </c>
      <c r="D622" s="2" t="n">
        <v>2</v>
      </c>
      <c r="E622" s="14" t="s">
        <v>748</v>
      </c>
      <c r="F622" s="7" t="n">
        <v>16000</v>
      </c>
    </row>
    <row r="623" customFormat="false" ht="15" hidden="false" customHeight="false" outlineLevel="0" collapsed="false">
      <c r="A623" s="2" t="s">
        <v>749</v>
      </c>
      <c r="B623" s="13" t="n">
        <v>46273</v>
      </c>
      <c r="C623" s="2" t="s">
        <v>186</v>
      </c>
      <c r="D623" s="2" t="n">
        <v>1</v>
      </c>
      <c r="E623" s="14" t="s">
        <v>750</v>
      </c>
      <c r="F623" s="7" t="n">
        <v>7000</v>
      </c>
    </row>
    <row r="624" customFormat="false" ht="15" hidden="false" customHeight="false" outlineLevel="0" collapsed="false">
      <c r="A624" s="2" t="s">
        <v>749</v>
      </c>
      <c r="B624" s="13" t="n">
        <v>46273</v>
      </c>
      <c r="C624" s="2" t="s">
        <v>89</v>
      </c>
      <c r="D624" s="2" t="n">
        <v>2</v>
      </c>
      <c r="E624" s="14" t="s">
        <v>750</v>
      </c>
      <c r="F624" s="7" t="n">
        <v>14000</v>
      </c>
    </row>
    <row r="625" customFormat="false" ht="15" hidden="false" customHeight="false" outlineLevel="0" collapsed="false">
      <c r="A625" s="2" t="s">
        <v>751</v>
      </c>
      <c r="B625" s="13" t="n">
        <v>46273</v>
      </c>
      <c r="C625" s="2" t="s">
        <v>79</v>
      </c>
      <c r="D625" s="2" t="n">
        <v>1</v>
      </c>
      <c r="E625" s="14" t="s">
        <v>752</v>
      </c>
      <c r="F625" s="7" t="n">
        <v>16000</v>
      </c>
    </row>
    <row r="626" customFormat="false" ht="15" hidden="false" customHeight="false" outlineLevel="0" collapsed="false">
      <c r="A626" s="2" t="s">
        <v>751</v>
      </c>
      <c r="B626" s="13" t="n">
        <v>46273</v>
      </c>
      <c r="C626" s="2" t="s">
        <v>89</v>
      </c>
      <c r="D626" s="2" t="n">
        <v>1</v>
      </c>
      <c r="E626" s="14" t="s">
        <v>752</v>
      </c>
      <c r="F626" s="7" t="n">
        <v>14000</v>
      </c>
    </row>
    <row r="627" customFormat="false" ht="15" hidden="false" customHeight="false" outlineLevel="0" collapsed="false">
      <c r="A627" s="2" t="s">
        <v>753</v>
      </c>
      <c r="B627" s="13" t="n">
        <v>46273</v>
      </c>
      <c r="C627" s="2" t="s">
        <v>186</v>
      </c>
      <c r="D627" s="2" t="n">
        <v>1</v>
      </c>
      <c r="E627" s="14" t="s">
        <v>754</v>
      </c>
      <c r="F627" s="7" t="n">
        <v>7000</v>
      </c>
    </row>
    <row r="628" customFormat="false" ht="15" hidden="false" customHeight="false" outlineLevel="0" collapsed="false">
      <c r="A628" s="2" t="s">
        <v>753</v>
      </c>
      <c r="B628" s="13" t="n">
        <v>46273</v>
      </c>
      <c r="C628" s="2" t="s">
        <v>84</v>
      </c>
      <c r="D628" s="2" t="n">
        <v>2</v>
      </c>
      <c r="E628" s="14" t="s">
        <v>754</v>
      </c>
      <c r="F628" s="7" t="n">
        <v>5000</v>
      </c>
    </row>
    <row r="629" customFormat="false" ht="15" hidden="false" customHeight="false" outlineLevel="0" collapsed="false">
      <c r="A629" s="2" t="s">
        <v>755</v>
      </c>
      <c r="B629" s="13" t="n">
        <v>46273</v>
      </c>
      <c r="C629" s="2" t="s">
        <v>79</v>
      </c>
      <c r="D629" s="2" t="n">
        <v>1</v>
      </c>
      <c r="E629" s="14" t="s">
        <v>251</v>
      </c>
      <c r="F629" s="7" t="n">
        <v>16000</v>
      </c>
    </row>
    <row r="630" customFormat="false" ht="15" hidden="false" customHeight="false" outlineLevel="0" collapsed="false">
      <c r="A630" s="2" t="s">
        <v>755</v>
      </c>
      <c r="B630" s="13" t="n">
        <v>46273</v>
      </c>
      <c r="C630" s="2" t="s">
        <v>101</v>
      </c>
      <c r="D630" s="2" t="n">
        <v>1</v>
      </c>
      <c r="E630" s="14" t="s">
        <v>251</v>
      </c>
      <c r="F630" s="7" t="n">
        <v>18000</v>
      </c>
    </row>
    <row r="631" customFormat="false" ht="15" hidden="false" customHeight="false" outlineLevel="0" collapsed="false">
      <c r="A631" s="2" t="s">
        <v>755</v>
      </c>
      <c r="B631" s="13" t="n">
        <v>46273</v>
      </c>
      <c r="C631" s="2" t="s">
        <v>92</v>
      </c>
      <c r="D631" s="2" t="n">
        <v>1</v>
      </c>
      <c r="E631" s="14" t="s">
        <v>251</v>
      </c>
      <c r="F631" s="7" t="n">
        <v>4000</v>
      </c>
    </row>
    <row r="632" customFormat="false" ht="15" hidden="false" customHeight="false" outlineLevel="0" collapsed="false">
      <c r="A632" s="2" t="s">
        <v>756</v>
      </c>
      <c r="B632" s="13" t="n">
        <v>46273</v>
      </c>
      <c r="C632" s="2" t="s">
        <v>108</v>
      </c>
      <c r="D632" s="2" t="n">
        <v>2</v>
      </c>
      <c r="E632" s="14" t="s">
        <v>158</v>
      </c>
      <c r="F632" s="7" t="n">
        <v>20000</v>
      </c>
    </row>
    <row r="633" customFormat="false" ht="15" hidden="false" customHeight="false" outlineLevel="0" collapsed="false">
      <c r="A633" s="2" t="s">
        <v>756</v>
      </c>
      <c r="B633" s="13" t="n">
        <v>46273</v>
      </c>
      <c r="C633" s="2" t="s">
        <v>101</v>
      </c>
      <c r="D633" s="2" t="n">
        <v>1</v>
      </c>
      <c r="E633" s="14" t="s">
        <v>158</v>
      </c>
      <c r="F633" s="7" t="n">
        <v>18000</v>
      </c>
    </row>
    <row r="634" customFormat="false" ht="15" hidden="false" customHeight="false" outlineLevel="0" collapsed="false">
      <c r="A634" s="2" t="s">
        <v>757</v>
      </c>
      <c r="B634" s="13" t="n">
        <v>46273</v>
      </c>
      <c r="C634" s="2" t="s">
        <v>89</v>
      </c>
      <c r="D634" s="2" t="n">
        <v>1</v>
      </c>
      <c r="E634" s="14" t="s">
        <v>758</v>
      </c>
      <c r="F634" s="7" t="n">
        <v>14000</v>
      </c>
    </row>
    <row r="635" customFormat="false" ht="15" hidden="false" customHeight="false" outlineLevel="0" collapsed="false">
      <c r="A635" s="2" t="s">
        <v>757</v>
      </c>
      <c r="B635" s="13" t="n">
        <v>46273</v>
      </c>
      <c r="C635" s="2" t="s">
        <v>84</v>
      </c>
      <c r="D635" s="2" t="n">
        <v>2</v>
      </c>
      <c r="E635" s="14" t="s">
        <v>758</v>
      </c>
      <c r="F635" s="7" t="n">
        <v>5000</v>
      </c>
    </row>
    <row r="636" customFormat="false" ht="15" hidden="false" customHeight="false" outlineLevel="0" collapsed="false">
      <c r="A636" s="2" t="s">
        <v>757</v>
      </c>
      <c r="B636" s="13" t="n">
        <v>46273</v>
      </c>
      <c r="C636" s="2" t="s">
        <v>79</v>
      </c>
      <c r="D636" s="2" t="n">
        <v>1</v>
      </c>
      <c r="E636" s="14" t="s">
        <v>758</v>
      </c>
      <c r="F636" s="7" t="n">
        <v>16000</v>
      </c>
    </row>
    <row r="637" customFormat="false" ht="15" hidden="false" customHeight="false" outlineLevel="0" collapsed="false">
      <c r="A637" s="2" t="s">
        <v>759</v>
      </c>
      <c r="B637" s="13" t="n">
        <v>46273</v>
      </c>
      <c r="C637" s="2" t="s">
        <v>82</v>
      </c>
      <c r="D637" s="2" t="n">
        <v>1</v>
      </c>
      <c r="E637" s="14" t="s">
        <v>760</v>
      </c>
      <c r="F637" s="7" t="n">
        <v>13000</v>
      </c>
    </row>
    <row r="638" customFormat="false" ht="15" hidden="false" customHeight="false" outlineLevel="0" collapsed="false">
      <c r="A638" s="2" t="s">
        <v>761</v>
      </c>
      <c r="B638" s="13" t="n">
        <v>46273</v>
      </c>
      <c r="C638" s="2" t="s">
        <v>79</v>
      </c>
      <c r="D638" s="2" t="n">
        <v>1</v>
      </c>
      <c r="E638" s="14" t="s">
        <v>762</v>
      </c>
      <c r="F638" s="7" t="n">
        <v>16000</v>
      </c>
    </row>
    <row r="639" customFormat="false" ht="15" hidden="false" customHeight="false" outlineLevel="0" collapsed="false">
      <c r="A639" s="2" t="s">
        <v>761</v>
      </c>
      <c r="B639" s="13" t="n">
        <v>46273</v>
      </c>
      <c r="C639" s="2" t="s">
        <v>89</v>
      </c>
      <c r="D639" s="2" t="n">
        <v>1</v>
      </c>
      <c r="E639" s="14" t="s">
        <v>762</v>
      </c>
      <c r="F639" s="7" t="n">
        <v>14000</v>
      </c>
    </row>
    <row r="640" customFormat="false" ht="15" hidden="false" customHeight="false" outlineLevel="0" collapsed="false">
      <c r="A640" s="2" t="s">
        <v>763</v>
      </c>
      <c r="B640" s="13" t="n">
        <v>46273</v>
      </c>
      <c r="C640" s="2" t="s">
        <v>82</v>
      </c>
      <c r="D640" s="2" t="n">
        <v>1</v>
      </c>
      <c r="E640" s="14" t="s">
        <v>764</v>
      </c>
      <c r="F640" s="7" t="n">
        <v>13000</v>
      </c>
    </row>
    <row r="641" customFormat="false" ht="15" hidden="false" customHeight="false" outlineLevel="0" collapsed="false">
      <c r="A641" s="2" t="s">
        <v>763</v>
      </c>
      <c r="B641" s="13" t="n">
        <v>46273</v>
      </c>
      <c r="C641" s="2" t="s">
        <v>126</v>
      </c>
      <c r="D641" s="2" t="n">
        <v>2</v>
      </c>
      <c r="E641" s="14" t="s">
        <v>764</v>
      </c>
      <c r="F641" s="7" t="n">
        <v>3000</v>
      </c>
    </row>
    <row r="642" customFormat="false" ht="15" hidden="false" customHeight="false" outlineLevel="0" collapsed="false">
      <c r="A642" s="2" t="s">
        <v>765</v>
      </c>
      <c r="B642" s="13" t="n">
        <v>46274</v>
      </c>
      <c r="C642" s="2" t="s">
        <v>186</v>
      </c>
      <c r="D642" s="2" t="n">
        <v>1</v>
      </c>
      <c r="E642" s="14" t="s">
        <v>430</v>
      </c>
      <c r="F642" s="7" t="n">
        <v>7000</v>
      </c>
    </row>
    <row r="643" customFormat="false" ht="15" hidden="false" customHeight="false" outlineLevel="0" collapsed="false">
      <c r="A643" s="2" t="s">
        <v>766</v>
      </c>
      <c r="B643" s="13" t="n">
        <v>46274</v>
      </c>
      <c r="C643" s="2" t="s">
        <v>84</v>
      </c>
      <c r="D643" s="2" t="n">
        <v>1</v>
      </c>
      <c r="E643" s="14" t="s">
        <v>767</v>
      </c>
      <c r="F643" s="7" t="n">
        <v>5000</v>
      </c>
    </row>
    <row r="644" customFormat="false" ht="15" hidden="false" customHeight="false" outlineLevel="0" collapsed="false">
      <c r="A644" s="2" t="s">
        <v>766</v>
      </c>
      <c r="B644" s="13" t="n">
        <v>46274</v>
      </c>
      <c r="C644" s="2" t="s">
        <v>101</v>
      </c>
      <c r="D644" s="2" t="n">
        <v>1</v>
      </c>
      <c r="E644" s="14" t="s">
        <v>767</v>
      </c>
      <c r="F644" s="7" t="n">
        <v>18000</v>
      </c>
    </row>
    <row r="645" customFormat="false" ht="15" hidden="false" customHeight="false" outlineLevel="0" collapsed="false">
      <c r="A645" s="2" t="s">
        <v>768</v>
      </c>
      <c r="B645" s="13" t="n">
        <v>46274</v>
      </c>
      <c r="C645" s="2" t="s">
        <v>112</v>
      </c>
      <c r="D645" s="2" t="n">
        <v>1</v>
      </c>
      <c r="E645" s="14" t="s">
        <v>769</v>
      </c>
      <c r="F645" s="7" t="n">
        <v>10000</v>
      </c>
    </row>
    <row r="646" customFormat="false" ht="15" hidden="false" customHeight="false" outlineLevel="0" collapsed="false">
      <c r="A646" s="2" t="s">
        <v>768</v>
      </c>
      <c r="B646" s="13" t="n">
        <v>46274</v>
      </c>
      <c r="C646" s="2" t="s">
        <v>79</v>
      </c>
      <c r="D646" s="2" t="n">
        <v>2</v>
      </c>
      <c r="E646" s="14" t="s">
        <v>770</v>
      </c>
      <c r="F646" s="7" t="n">
        <v>16000</v>
      </c>
    </row>
    <row r="647" customFormat="false" ht="15" hidden="false" customHeight="false" outlineLevel="0" collapsed="false">
      <c r="A647" s="2" t="s">
        <v>771</v>
      </c>
      <c r="B647" s="13" t="n">
        <v>46274</v>
      </c>
      <c r="C647" s="2" t="s">
        <v>84</v>
      </c>
      <c r="D647" s="2" t="n">
        <v>1</v>
      </c>
      <c r="E647" s="14" t="s">
        <v>772</v>
      </c>
      <c r="F647" s="7" t="n">
        <v>5000</v>
      </c>
    </row>
    <row r="648" customFormat="false" ht="15" hidden="false" customHeight="false" outlineLevel="0" collapsed="false">
      <c r="A648" s="2" t="s">
        <v>773</v>
      </c>
      <c r="B648" s="13" t="n">
        <v>46274</v>
      </c>
      <c r="C648" s="2" t="s">
        <v>101</v>
      </c>
      <c r="D648" s="2" t="n">
        <v>1</v>
      </c>
      <c r="E648" s="14" t="s">
        <v>774</v>
      </c>
      <c r="F648" s="7" t="n">
        <v>18000</v>
      </c>
    </row>
    <row r="649" customFormat="false" ht="15" hidden="false" customHeight="false" outlineLevel="0" collapsed="false">
      <c r="A649" s="2" t="s">
        <v>773</v>
      </c>
      <c r="B649" s="13" t="n">
        <v>46274</v>
      </c>
      <c r="C649" s="2" t="s">
        <v>81</v>
      </c>
      <c r="D649" s="2" t="n">
        <v>1</v>
      </c>
      <c r="E649" s="14" t="s">
        <v>774</v>
      </c>
      <c r="F649" s="7" t="n">
        <v>15000</v>
      </c>
    </row>
    <row r="650" customFormat="false" ht="15" hidden="false" customHeight="false" outlineLevel="0" collapsed="false">
      <c r="A650" s="2" t="s">
        <v>773</v>
      </c>
      <c r="B650" s="13" t="n">
        <v>46274</v>
      </c>
      <c r="C650" s="2" t="s">
        <v>92</v>
      </c>
      <c r="D650" s="2" t="n">
        <v>1</v>
      </c>
      <c r="E650" s="14" t="s">
        <v>774</v>
      </c>
      <c r="F650" s="7" t="n">
        <v>4000</v>
      </c>
    </row>
    <row r="651" customFormat="false" ht="15" hidden="false" customHeight="false" outlineLevel="0" collapsed="false">
      <c r="A651" s="2" t="s">
        <v>775</v>
      </c>
      <c r="B651" s="13" t="n">
        <v>46274</v>
      </c>
      <c r="C651" s="2" t="s">
        <v>84</v>
      </c>
      <c r="D651" s="2" t="n">
        <v>1</v>
      </c>
      <c r="E651" s="14" t="s">
        <v>699</v>
      </c>
      <c r="F651" s="7" t="n">
        <v>5000</v>
      </c>
    </row>
    <row r="652" customFormat="false" ht="15" hidden="false" customHeight="false" outlineLevel="0" collapsed="false">
      <c r="A652" s="2" t="s">
        <v>776</v>
      </c>
      <c r="B652" s="13" t="n">
        <v>46274</v>
      </c>
      <c r="C652" s="2" t="s">
        <v>132</v>
      </c>
      <c r="D652" s="2" t="n">
        <v>1</v>
      </c>
      <c r="E652" s="14" t="s">
        <v>617</v>
      </c>
      <c r="F652" s="7" t="n">
        <v>15000</v>
      </c>
    </row>
    <row r="653" customFormat="false" ht="15" hidden="false" customHeight="false" outlineLevel="0" collapsed="false">
      <c r="A653" s="2" t="s">
        <v>776</v>
      </c>
      <c r="B653" s="13" t="n">
        <v>46274</v>
      </c>
      <c r="C653" s="2" t="s">
        <v>112</v>
      </c>
      <c r="D653" s="2" t="n">
        <v>1</v>
      </c>
      <c r="E653" s="14" t="s">
        <v>617</v>
      </c>
      <c r="F653" s="7" t="n">
        <v>10000</v>
      </c>
    </row>
    <row r="654" customFormat="false" ht="15" hidden="false" customHeight="false" outlineLevel="0" collapsed="false">
      <c r="A654" s="2" t="s">
        <v>776</v>
      </c>
      <c r="B654" s="13" t="n">
        <v>46274</v>
      </c>
      <c r="C654" s="2" t="s">
        <v>82</v>
      </c>
      <c r="D654" s="2" t="n">
        <v>2</v>
      </c>
      <c r="E654" s="14" t="s">
        <v>617</v>
      </c>
      <c r="F654" s="7" t="n">
        <v>13000</v>
      </c>
    </row>
    <row r="655" customFormat="false" ht="15" hidden="false" customHeight="false" outlineLevel="0" collapsed="false">
      <c r="A655" s="2" t="s">
        <v>777</v>
      </c>
      <c r="B655" s="13" t="n">
        <v>46274</v>
      </c>
      <c r="C655" s="2" t="s">
        <v>101</v>
      </c>
      <c r="D655" s="2" t="n">
        <v>1</v>
      </c>
      <c r="E655" s="14" t="s">
        <v>778</v>
      </c>
      <c r="F655" s="7" t="n">
        <v>18000</v>
      </c>
    </row>
    <row r="656" customFormat="false" ht="15" hidden="false" customHeight="false" outlineLevel="0" collapsed="false">
      <c r="A656" s="2" t="s">
        <v>777</v>
      </c>
      <c r="B656" s="13" t="n">
        <v>46274</v>
      </c>
      <c r="C656" s="2" t="s">
        <v>84</v>
      </c>
      <c r="D656" s="2" t="n">
        <v>2</v>
      </c>
      <c r="E656" s="14" t="s">
        <v>778</v>
      </c>
      <c r="F656" s="7" t="n">
        <v>5000</v>
      </c>
    </row>
    <row r="657" customFormat="false" ht="15" hidden="false" customHeight="false" outlineLevel="0" collapsed="false">
      <c r="A657" s="2" t="s">
        <v>779</v>
      </c>
      <c r="B657" s="13" t="n">
        <v>46274</v>
      </c>
      <c r="C657" s="2" t="s">
        <v>79</v>
      </c>
      <c r="D657" s="2" t="n">
        <v>1</v>
      </c>
      <c r="E657" s="14" t="s">
        <v>181</v>
      </c>
      <c r="F657" s="7" t="n">
        <v>16000</v>
      </c>
    </row>
    <row r="658" customFormat="false" ht="15" hidden="false" customHeight="false" outlineLevel="0" collapsed="false">
      <c r="A658" s="2" t="s">
        <v>780</v>
      </c>
      <c r="B658" s="13" t="n">
        <v>46274</v>
      </c>
      <c r="C658" s="2" t="s">
        <v>84</v>
      </c>
      <c r="D658" s="2" t="n">
        <v>1</v>
      </c>
      <c r="E658" s="14" t="s">
        <v>781</v>
      </c>
      <c r="F658" s="7" t="n">
        <v>5000</v>
      </c>
    </row>
    <row r="659" customFormat="false" ht="15" hidden="false" customHeight="false" outlineLevel="0" collapsed="false">
      <c r="A659" s="2" t="s">
        <v>782</v>
      </c>
      <c r="B659" s="13" t="n">
        <v>46274</v>
      </c>
      <c r="C659" s="2" t="s">
        <v>112</v>
      </c>
      <c r="D659" s="2" t="n">
        <v>2</v>
      </c>
      <c r="E659" s="14" t="s">
        <v>449</v>
      </c>
      <c r="F659" s="7" t="n">
        <v>10000</v>
      </c>
    </row>
    <row r="660" customFormat="false" ht="15" hidden="false" customHeight="false" outlineLevel="0" collapsed="false">
      <c r="A660" s="2" t="s">
        <v>783</v>
      </c>
      <c r="B660" s="13" t="n">
        <v>46274</v>
      </c>
      <c r="C660" s="2" t="s">
        <v>112</v>
      </c>
      <c r="D660" s="2" t="n">
        <v>1</v>
      </c>
      <c r="E660" s="14" t="s">
        <v>453</v>
      </c>
      <c r="F660" s="7" t="n">
        <v>10000</v>
      </c>
    </row>
    <row r="661" customFormat="false" ht="15" hidden="false" customHeight="false" outlineLevel="0" collapsed="false">
      <c r="A661" s="2" t="s">
        <v>783</v>
      </c>
      <c r="B661" s="13" t="n">
        <v>46274</v>
      </c>
      <c r="C661" s="2" t="s">
        <v>92</v>
      </c>
      <c r="D661" s="2" t="n">
        <v>2</v>
      </c>
      <c r="E661" s="14" t="s">
        <v>453</v>
      </c>
      <c r="F661" s="7" t="n">
        <v>4000</v>
      </c>
    </row>
    <row r="662" customFormat="false" ht="15" hidden="false" customHeight="false" outlineLevel="0" collapsed="false">
      <c r="A662" s="2" t="s">
        <v>784</v>
      </c>
      <c r="B662" s="13" t="n">
        <v>46274</v>
      </c>
      <c r="C662" s="2" t="s">
        <v>126</v>
      </c>
      <c r="D662" s="2" t="n">
        <v>1</v>
      </c>
      <c r="E662" s="14" t="s">
        <v>90</v>
      </c>
      <c r="F662" s="7" t="n">
        <v>3000</v>
      </c>
    </row>
    <row r="663" customFormat="false" ht="15" hidden="false" customHeight="false" outlineLevel="0" collapsed="false">
      <c r="A663" s="2" t="s">
        <v>784</v>
      </c>
      <c r="B663" s="13" t="n">
        <v>46274</v>
      </c>
      <c r="C663" s="2" t="s">
        <v>101</v>
      </c>
      <c r="D663" s="2" t="n">
        <v>1</v>
      </c>
      <c r="E663" s="14" t="s">
        <v>90</v>
      </c>
      <c r="F663" s="7" t="n">
        <v>18000</v>
      </c>
    </row>
    <row r="664" customFormat="false" ht="15" hidden="false" customHeight="false" outlineLevel="0" collapsed="false">
      <c r="A664" s="2" t="s">
        <v>785</v>
      </c>
      <c r="B664" s="13" t="n">
        <v>46274</v>
      </c>
      <c r="C664" s="2" t="s">
        <v>108</v>
      </c>
      <c r="D664" s="2" t="n">
        <v>2</v>
      </c>
      <c r="E664" s="14" t="s">
        <v>786</v>
      </c>
      <c r="F664" s="7" t="n">
        <v>20000</v>
      </c>
    </row>
    <row r="665" customFormat="false" ht="15" hidden="false" customHeight="false" outlineLevel="0" collapsed="false">
      <c r="A665" s="2" t="s">
        <v>787</v>
      </c>
      <c r="B665" s="13" t="n">
        <v>46274</v>
      </c>
      <c r="C665" s="2" t="s">
        <v>84</v>
      </c>
      <c r="D665" s="2" t="n">
        <v>1</v>
      </c>
      <c r="E665" s="14" t="s">
        <v>102</v>
      </c>
      <c r="F665" s="7" t="n">
        <v>5000</v>
      </c>
    </row>
    <row r="666" customFormat="false" ht="15" hidden="false" customHeight="false" outlineLevel="0" collapsed="false">
      <c r="A666" s="2" t="s">
        <v>788</v>
      </c>
      <c r="B666" s="13" t="n">
        <v>46274</v>
      </c>
      <c r="C666" s="2" t="s">
        <v>108</v>
      </c>
      <c r="D666" s="2" t="n">
        <v>1</v>
      </c>
      <c r="E666" s="14" t="s">
        <v>102</v>
      </c>
      <c r="F666" s="7" t="n">
        <v>20000</v>
      </c>
    </row>
    <row r="667" customFormat="false" ht="15" hidden="false" customHeight="false" outlineLevel="0" collapsed="false">
      <c r="A667" s="2" t="s">
        <v>789</v>
      </c>
      <c r="B667" s="13" t="n">
        <v>46274</v>
      </c>
      <c r="C667" s="2" t="s">
        <v>84</v>
      </c>
      <c r="D667" s="2" t="n">
        <v>1</v>
      </c>
      <c r="E667" s="14" t="s">
        <v>477</v>
      </c>
      <c r="F667" s="7" t="n">
        <v>5000</v>
      </c>
    </row>
    <row r="668" customFormat="false" ht="15" hidden="false" customHeight="false" outlineLevel="0" collapsed="false">
      <c r="A668" s="2" t="s">
        <v>790</v>
      </c>
      <c r="B668" s="13" t="n">
        <v>46274</v>
      </c>
      <c r="C668" s="2" t="s">
        <v>81</v>
      </c>
      <c r="D668" s="2" t="n">
        <v>3</v>
      </c>
      <c r="E668" s="14" t="s">
        <v>206</v>
      </c>
      <c r="F668" s="7" t="n">
        <v>15000</v>
      </c>
    </row>
    <row r="669" customFormat="false" ht="15" hidden="false" customHeight="false" outlineLevel="0" collapsed="false">
      <c r="A669" s="2" t="s">
        <v>790</v>
      </c>
      <c r="B669" s="13" t="n">
        <v>46274</v>
      </c>
      <c r="C669" s="2" t="s">
        <v>89</v>
      </c>
      <c r="D669" s="2" t="n">
        <v>2</v>
      </c>
      <c r="E669" s="14" t="s">
        <v>206</v>
      </c>
      <c r="F669" s="7" t="n">
        <v>14000</v>
      </c>
    </row>
    <row r="670" customFormat="false" ht="15" hidden="false" customHeight="false" outlineLevel="0" collapsed="false">
      <c r="A670" s="2" t="s">
        <v>791</v>
      </c>
      <c r="B670" s="13" t="n">
        <v>46274</v>
      </c>
      <c r="C670" s="2" t="s">
        <v>792</v>
      </c>
      <c r="D670" s="2" t="n">
        <v>1</v>
      </c>
      <c r="E670" s="14" t="s">
        <v>556</v>
      </c>
      <c r="F670" s="7" t="n">
        <v>13000</v>
      </c>
    </row>
    <row r="671" customFormat="false" ht="15" hidden="false" customHeight="false" outlineLevel="0" collapsed="false">
      <c r="A671" s="2" t="s">
        <v>791</v>
      </c>
      <c r="B671" s="13" t="n">
        <v>46274</v>
      </c>
      <c r="C671" s="2" t="s">
        <v>81</v>
      </c>
      <c r="D671" s="2" t="n">
        <v>1</v>
      </c>
      <c r="E671" s="14" t="s">
        <v>556</v>
      </c>
      <c r="F671" s="7" t="n">
        <v>15000</v>
      </c>
    </row>
    <row r="672" customFormat="false" ht="15" hidden="false" customHeight="false" outlineLevel="0" collapsed="false">
      <c r="A672" s="2" t="s">
        <v>793</v>
      </c>
      <c r="B672" s="13" t="n">
        <v>46274</v>
      </c>
      <c r="C672" s="2" t="s">
        <v>81</v>
      </c>
      <c r="D672" s="2" t="n">
        <v>2</v>
      </c>
      <c r="E672" s="14" t="s">
        <v>794</v>
      </c>
      <c r="F672" s="7" t="n">
        <v>15000</v>
      </c>
    </row>
    <row r="673" customFormat="false" ht="15" hidden="false" customHeight="false" outlineLevel="0" collapsed="false">
      <c r="A673" s="2" t="s">
        <v>795</v>
      </c>
      <c r="B673" s="13" t="n">
        <v>46274</v>
      </c>
      <c r="C673" s="2" t="s">
        <v>132</v>
      </c>
      <c r="D673" s="2" t="n">
        <v>1</v>
      </c>
      <c r="E673" s="14" t="s">
        <v>796</v>
      </c>
      <c r="F673" s="7" t="n">
        <v>15000</v>
      </c>
    </row>
    <row r="674" customFormat="false" ht="15" hidden="false" customHeight="false" outlineLevel="0" collapsed="false">
      <c r="A674" s="2" t="s">
        <v>797</v>
      </c>
      <c r="B674" s="13" t="n">
        <v>46274</v>
      </c>
      <c r="C674" s="2" t="s">
        <v>108</v>
      </c>
      <c r="D674" s="2" t="n">
        <v>3</v>
      </c>
      <c r="E674" s="14" t="s">
        <v>798</v>
      </c>
      <c r="F674" s="7" t="n">
        <v>20000</v>
      </c>
    </row>
    <row r="675" customFormat="false" ht="15" hidden="false" customHeight="false" outlineLevel="0" collapsed="false">
      <c r="A675" s="2" t="s">
        <v>797</v>
      </c>
      <c r="B675" s="13" t="n">
        <v>46274</v>
      </c>
      <c r="C675" s="2" t="s">
        <v>81</v>
      </c>
      <c r="D675" s="2" t="n">
        <v>1</v>
      </c>
      <c r="E675" s="14" t="s">
        <v>798</v>
      </c>
      <c r="F675" s="7" t="n">
        <v>15000</v>
      </c>
    </row>
    <row r="676" customFormat="false" ht="15" hidden="false" customHeight="false" outlineLevel="0" collapsed="false">
      <c r="A676" s="2" t="s">
        <v>799</v>
      </c>
      <c r="B676" s="13" t="n">
        <v>46274</v>
      </c>
      <c r="C676" s="2" t="s">
        <v>89</v>
      </c>
      <c r="D676" s="2" t="n">
        <v>1</v>
      </c>
      <c r="E676" s="14" t="s">
        <v>300</v>
      </c>
      <c r="F676" s="7" t="n">
        <v>14000</v>
      </c>
    </row>
    <row r="677" customFormat="false" ht="15" hidden="false" customHeight="false" outlineLevel="0" collapsed="false">
      <c r="A677" s="2" t="s">
        <v>799</v>
      </c>
      <c r="B677" s="13" t="n">
        <v>46274</v>
      </c>
      <c r="C677" s="2" t="s">
        <v>186</v>
      </c>
      <c r="D677" s="2" t="n">
        <v>1</v>
      </c>
      <c r="E677" s="14" t="s">
        <v>300</v>
      </c>
      <c r="F677" s="7" t="n">
        <v>7000</v>
      </c>
    </row>
    <row r="678" customFormat="false" ht="15" hidden="false" customHeight="false" outlineLevel="0" collapsed="false">
      <c r="A678" s="2" t="s">
        <v>799</v>
      </c>
      <c r="B678" s="13" t="n">
        <v>46274</v>
      </c>
      <c r="C678" s="2" t="s">
        <v>108</v>
      </c>
      <c r="D678" s="2" t="n">
        <v>1</v>
      </c>
      <c r="E678" s="14" t="s">
        <v>300</v>
      </c>
      <c r="F678" s="7" t="n">
        <v>20000</v>
      </c>
    </row>
    <row r="679" customFormat="false" ht="15" hidden="false" customHeight="false" outlineLevel="0" collapsed="false">
      <c r="A679" s="2" t="s">
        <v>800</v>
      </c>
      <c r="B679" s="13" t="n">
        <v>46274</v>
      </c>
      <c r="C679" s="2" t="s">
        <v>89</v>
      </c>
      <c r="D679" s="2" t="n">
        <v>2</v>
      </c>
      <c r="E679" s="14" t="s">
        <v>801</v>
      </c>
      <c r="F679" s="7" t="n">
        <v>14000</v>
      </c>
    </row>
    <row r="680" customFormat="false" ht="15" hidden="false" customHeight="false" outlineLevel="0" collapsed="false">
      <c r="A680" s="2" t="s">
        <v>802</v>
      </c>
      <c r="B680" s="13" t="n">
        <v>46274</v>
      </c>
      <c r="C680" s="2" t="s">
        <v>101</v>
      </c>
      <c r="D680" s="2" t="n">
        <v>1</v>
      </c>
      <c r="E680" s="14" t="s">
        <v>803</v>
      </c>
      <c r="F680" s="7" t="n">
        <v>18000</v>
      </c>
    </row>
    <row r="681" customFormat="false" ht="15" hidden="false" customHeight="false" outlineLevel="0" collapsed="false">
      <c r="A681" s="2" t="s">
        <v>804</v>
      </c>
      <c r="B681" s="13" t="n">
        <v>46274</v>
      </c>
      <c r="C681" s="2" t="s">
        <v>126</v>
      </c>
      <c r="D681" s="2" t="n">
        <v>1</v>
      </c>
      <c r="E681" s="14" t="s">
        <v>805</v>
      </c>
      <c r="F681" s="7" t="n">
        <v>3000</v>
      </c>
    </row>
    <row r="682" customFormat="false" ht="15" hidden="false" customHeight="false" outlineLevel="0" collapsed="false">
      <c r="A682" s="2" t="s">
        <v>804</v>
      </c>
      <c r="B682" s="13" t="n">
        <v>46274</v>
      </c>
      <c r="C682" s="2" t="s">
        <v>79</v>
      </c>
      <c r="D682" s="2" t="n">
        <v>1</v>
      </c>
      <c r="E682" s="14" t="s">
        <v>805</v>
      </c>
      <c r="F682" s="7" t="n">
        <v>16000</v>
      </c>
    </row>
    <row r="683" customFormat="false" ht="15" hidden="false" customHeight="false" outlineLevel="0" collapsed="false">
      <c r="A683" s="2" t="s">
        <v>806</v>
      </c>
      <c r="B683" s="13" t="n">
        <v>46274</v>
      </c>
      <c r="C683" s="2" t="s">
        <v>132</v>
      </c>
      <c r="D683" s="2" t="n">
        <v>3</v>
      </c>
      <c r="E683" s="14" t="s">
        <v>807</v>
      </c>
      <c r="F683" s="7" t="n">
        <v>15000</v>
      </c>
    </row>
    <row r="684" customFormat="false" ht="15" hidden="false" customHeight="false" outlineLevel="0" collapsed="false">
      <c r="A684" s="2" t="s">
        <v>808</v>
      </c>
      <c r="B684" s="13" t="n">
        <v>46274</v>
      </c>
      <c r="C684" s="2" t="s">
        <v>81</v>
      </c>
      <c r="D684" s="2" t="n">
        <v>1</v>
      </c>
      <c r="E684" s="14" t="s">
        <v>809</v>
      </c>
      <c r="F684" s="7" t="n">
        <v>15000</v>
      </c>
    </row>
    <row r="685" customFormat="false" ht="15" hidden="false" customHeight="false" outlineLevel="0" collapsed="false">
      <c r="A685" s="2" t="s">
        <v>810</v>
      </c>
      <c r="B685" s="13" t="n">
        <v>46274</v>
      </c>
      <c r="C685" s="2" t="s">
        <v>79</v>
      </c>
      <c r="D685" s="2" t="n">
        <v>1</v>
      </c>
      <c r="E685" s="14" t="s">
        <v>809</v>
      </c>
      <c r="F685" s="7" t="n">
        <v>16000</v>
      </c>
    </row>
    <row r="686" customFormat="false" ht="15" hidden="false" customHeight="false" outlineLevel="0" collapsed="false">
      <c r="A686" s="2" t="s">
        <v>811</v>
      </c>
      <c r="B686" s="13" t="n">
        <v>46274</v>
      </c>
      <c r="C686" s="2" t="s">
        <v>101</v>
      </c>
      <c r="D686" s="2" t="n">
        <v>1</v>
      </c>
      <c r="E686" s="14" t="s">
        <v>812</v>
      </c>
      <c r="F686" s="7" t="n">
        <v>18000</v>
      </c>
    </row>
    <row r="687" customFormat="false" ht="15" hidden="false" customHeight="false" outlineLevel="0" collapsed="false">
      <c r="A687" s="2" t="s">
        <v>811</v>
      </c>
      <c r="B687" s="13" t="n">
        <v>46274</v>
      </c>
      <c r="C687" s="2" t="s">
        <v>89</v>
      </c>
      <c r="D687" s="2"/>
      <c r="E687" s="14" t="s">
        <v>812</v>
      </c>
      <c r="F687" s="7" t="n">
        <v>14000</v>
      </c>
    </row>
    <row r="688" customFormat="false" ht="15" hidden="false" customHeight="false" outlineLevel="0" collapsed="false">
      <c r="A688" s="2" t="s">
        <v>813</v>
      </c>
      <c r="B688" s="13" t="n">
        <v>46274</v>
      </c>
      <c r="C688" s="2" t="s">
        <v>101</v>
      </c>
      <c r="D688" s="2" t="n">
        <v>1</v>
      </c>
      <c r="E688" s="14" t="s">
        <v>592</v>
      </c>
      <c r="F688" s="7" t="n">
        <v>18000</v>
      </c>
    </row>
    <row r="689" customFormat="false" ht="15" hidden="false" customHeight="false" outlineLevel="0" collapsed="false">
      <c r="A689" s="2" t="s">
        <v>814</v>
      </c>
      <c r="B689" s="13" t="n">
        <v>46274</v>
      </c>
      <c r="C689" s="2" t="s">
        <v>132</v>
      </c>
      <c r="D689" s="2" t="n">
        <v>2</v>
      </c>
      <c r="E689" s="14" t="s">
        <v>815</v>
      </c>
      <c r="F689" s="7" t="n">
        <v>15000</v>
      </c>
    </row>
    <row r="690" customFormat="false" ht="15" hidden="false" customHeight="false" outlineLevel="0" collapsed="false">
      <c r="A690" s="2" t="s">
        <v>814</v>
      </c>
      <c r="B690" s="13" t="n">
        <v>46274</v>
      </c>
      <c r="C690" s="2" t="s">
        <v>101</v>
      </c>
      <c r="D690" s="2" t="n">
        <v>1</v>
      </c>
      <c r="E690" s="14" t="s">
        <v>815</v>
      </c>
      <c r="F690" s="7" t="n">
        <v>18000</v>
      </c>
    </row>
    <row r="691" customFormat="false" ht="15" hidden="false" customHeight="false" outlineLevel="0" collapsed="false">
      <c r="A691" s="2" t="s">
        <v>814</v>
      </c>
      <c r="B691" s="13" t="n">
        <v>46274</v>
      </c>
      <c r="C691" s="2" t="s">
        <v>84</v>
      </c>
      <c r="D691" s="2" t="n">
        <v>1</v>
      </c>
      <c r="E691" s="14" t="s">
        <v>815</v>
      </c>
      <c r="F691" s="7" t="n">
        <v>5000</v>
      </c>
    </row>
    <row r="692" customFormat="false" ht="15" hidden="false" customHeight="false" outlineLevel="0" collapsed="false">
      <c r="A692" s="2" t="s">
        <v>816</v>
      </c>
      <c r="B692" s="13" t="n">
        <v>46274</v>
      </c>
      <c r="C692" s="2" t="s">
        <v>132</v>
      </c>
      <c r="D692" s="2" t="n">
        <v>1</v>
      </c>
      <c r="E692" s="14" t="s">
        <v>815</v>
      </c>
      <c r="F692" s="7" t="n">
        <v>15000</v>
      </c>
    </row>
    <row r="693" customFormat="false" ht="15" hidden="false" customHeight="false" outlineLevel="0" collapsed="false">
      <c r="A693" s="2" t="s">
        <v>816</v>
      </c>
      <c r="B693" s="13" t="n">
        <v>46274</v>
      </c>
      <c r="C693" s="2" t="s">
        <v>79</v>
      </c>
      <c r="D693" s="2" t="n">
        <v>1</v>
      </c>
      <c r="E693" s="14" t="s">
        <v>815</v>
      </c>
      <c r="F693" s="7" t="n">
        <v>16000</v>
      </c>
    </row>
    <row r="694" customFormat="false" ht="15" hidden="false" customHeight="false" outlineLevel="0" collapsed="false">
      <c r="A694" s="2" t="s">
        <v>817</v>
      </c>
      <c r="B694" s="13" t="n">
        <v>46274</v>
      </c>
      <c r="C694" s="2" t="s">
        <v>81</v>
      </c>
      <c r="D694" s="2" t="n">
        <v>1</v>
      </c>
      <c r="E694" s="14" t="s">
        <v>818</v>
      </c>
      <c r="F694" s="7" t="n">
        <v>15000</v>
      </c>
    </row>
    <row r="695" customFormat="false" ht="15" hidden="false" customHeight="false" outlineLevel="0" collapsed="false">
      <c r="A695" s="2" t="s">
        <v>817</v>
      </c>
      <c r="B695" s="13" t="n">
        <v>46274</v>
      </c>
      <c r="C695" s="2" t="s">
        <v>89</v>
      </c>
      <c r="D695" s="2" t="n">
        <v>1</v>
      </c>
      <c r="E695" s="14" t="s">
        <v>818</v>
      </c>
      <c r="F695" s="7" t="n">
        <v>14000</v>
      </c>
    </row>
    <row r="696" customFormat="false" ht="15" hidden="false" customHeight="false" outlineLevel="0" collapsed="false">
      <c r="A696" s="2" t="s">
        <v>819</v>
      </c>
      <c r="B696" s="13" t="n">
        <v>46274</v>
      </c>
      <c r="C696" s="2" t="s">
        <v>79</v>
      </c>
      <c r="D696" s="2" t="n">
        <v>1</v>
      </c>
      <c r="E696" s="14" t="s">
        <v>745</v>
      </c>
      <c r="F696" s="7" t="n">
        <v>16000</v>
      </c>
    </row>
    <row r="697" customFormat="false" ht="15" hidden="false" customHeight="false" outlineLevel="0" collapsed="false">
      <c r="A697" s="2" t="s">
        <v>819</v>
      </c>
      <c r="B697" s="13" t="n">
        <v>46274</v>
      </c>
      <c r="C697" s="2" t="s">
        <v>108</v>
      </c>
      <c r="D697" s="2" t="n">
        <v>2</v>
      </c>
      <c r="E697" s="14" t="s">
        <v>745</v>
      </c>
      <c r="F697" s="7" t="n">
        <v>20000</v>
      </c>
    </row>
    <row r="698" customFormat="false" ht="15" hidden="false" customHeight="false" outlineLevel="0" collapsed="false">
      <c r="A698" s="2" t="s">
        <v>820</v>
      </c>
      <c r="B698" s="13" t="n">
        <v>46274</v>
      </c>
      <c r="C698" s="2" t="s">
        <v>82</v>
      </c>
      <c r="D698" s="2" t="n">
        <v>1</v>
      </c>
      <c r="E698" s="14" t="s">
        <v>821</v>
      </c>
      <c r="F698" s="7" t="n">
        <v>13000</v>
      </c>
    </row>
    <row r="699" customFormat="false" ht="15" hidden="false" customHeight="false" outlineLevel="0" collapsed="false">
      <c r="A699" s="2" t="s">
        <v>822</v>
      </c>
      <c r="B699" s="13" t="n">
        <v>46274</v>
      </c>
      <c r="C699" s="2" t="s">
        <v>79</v>
      </c>
      <c r="D699" s="2" t="n">
        <v>1</v>
      </c>
      <c r="E699" s="14" t="s">
        <v>823</v>
      </c>
      <c r="F699" s="7" t="n">
        <v>16000</v>
      </c>
    </row>
    <row r="700" customFormat="false" ht="15" hidden="false" customHeight="false" outlineLevel="0" collapsed="false">
      <c r="A700" s="2" t="s">
        <v>824</v>
      </c>
      <c r="B700" s="13" t="n">
        <v>46274</v>
      </c>
      <c r="C700" s="2" t="s">
        <v>126</v>
      </c>
      <c r="D700" s="2" t="n">
        <v>1</v>
      </c>
      <c r="E700" s="14" t="s">
        <v>241</v>
      </c>
      <c r="F700" s="7" t="n">
        <v>3000</v>
      </c>
    </row>
    <row r="701" customFormat="false" ht="15" hidden="false" customHeight="false" outlineLevel="0" collapsed="false">
      <c r="A701" s="2" t="s">
        <v>824</v>
      </c>
      <c r="B701" s="13" t="n">
        <v>46274</v>
      </c>
      <c r="C701" s="2" t="s">
        <v>79</v>
      </c>
      <c r="D701" s="2" t="n">
        <v>2</v>
      </c>
      <c r="E701" s="14" t="s">
        <v>241</v>
      </c>
      <c r="F701" s="7" t="n">
        <v>16000</v>
      </c>
    </row>
    <row r="702" customFormat="false" ht="15" hidden="false" customHeight="false" outlineLevel="0" collapsed="false">
      <c r="A702" s="2" t="s">
        <v>825</v>
      </c>
      <c r="B702" s="13" t="n">
        <v>46274</v>
      </c>
      <c r="C702" s="2" t="s">
        <v>89</v>
      </c>
      <c r="D702" s="2" t="n">
        <v>1</v>
      </c>
      <c r="E702" s="14" t="s">
        <v>826</v>
      </c>
      <c r="F702" s="7" t="n">
        <v>14000</v>
      </c>
    </row>
    <row r="703" customFormat="false" ht="15" hidden="false" customHeight="false" outlineLevel="0" collapsed="false">
      <c r="A703" s="2" t="s">
        <v>825</v>
      </c>
      <c r="B703" s="13" t="n">
        <v>46274</v>
      </c>
      <c r="C703" s="2" t="s">
        <v>79</v>
      </c>
      <c r="D703" s="2" t="n">
        <v>1</v>
      </c>
      <c r="E703" s="14" t="s">
        <v>826</v>
      </c>
      <c r="F703" s="7" t="n">
        <v>16000</v>
      </c>
    </row>
    <row r="704" customFormat="false" ht="15" hidden="false" customHeight="false" outlineLevel="0" collapsed="false">
      <c r="A704" s="2" t="s">
        <v>825</v>
      </c>
      <c r="B704" s="13" t="n">
        <v>46274</v>
      </c>
      <c r="C704" s="2" t="s">
        <v>84</v>
      </c>
      <c r="D704" s="2" t="n">
        <v>1</v>
      </c>
      <c r="E704" s="14" t="s">
        <v>826</v>
      </c>
      <c r="F704" s="7" t="n">
        <v>5000</v>
      </c>
    </row>
    <row r="705" customFormat="false" ht="15" hidden="false" customHeight="false" outlineLevel="0" collapsed="false">
      <c r="A705" s="2" t="s">
        <v>827</v>
      </c>
      <c r="B705" s="13" t="n">
        <v>46274</v>
      </c>
      <c r="C705" s="2" t="s">
        <v>79</v>
      </c>
      <c r="D705" s="2" t="n">
        <v>1</v>
      </c>
      <c r="E705" s="14" t="s">
        <v>247</v>
      </c>
      <c r="F705" s="7" t="n">
        <v>16000</v>
      </c>
    </row>
    <row r="706" customFormat="false" ht="15" hidden="false" customHeight="false" outlineLevel="0" collapsed="false">
      <c r="A706" s="2" t="s">
        <v>827</v>
      </c>
      <c r="B706" s="13" t="n">
        <v>46274</v>
      </c>
      <c r="C706" s="2" t="s">
        <v>89</v>
      </c>
      <c r="D706" s="2" t="n">
        <v>1</v>
      </c>
      <c r="E706" s="14" t="s">
        <v>247</v>
      </c>
      <c r="F706" s="7" t="n">
        <v>14000</v>
      </c>
    </row>
    <row r="707" customFormat="false" ht="15" hidden="false" customHeight="false" outlineLevel="0" collapsed="false">
      <c r="A707" s="2" t="s">
        <v>828</v>
      </c>
      <c r="B707" s="13" t="n">
        <v>46274</v>
      </c>
      <c r="C707" s="2" t="s">
        <v>81</v>
      </c>
      <c r="D707" s="2" t="n">
        <v>1</v>
      </c>
      <c r="E707" s="14" t="s">
        <v>829</v>
      </c>
      <c r="F707" s="7" t="n">
        <v>15000</v>
      </c>
    </row>
    <row r="708" customFormat="false" ht="15" hidden="false" customHeight="false" outlineLevel="0" collapsed="false">
      <c r="A708" s="2" t="s">
        <v>830</v>
      </c>
      <c r="B708" s="13" t="n">
        <v>46274</v>
      </c>
      <c r="C708" s="2" t="s">
        <v>89</v>
      </c>
      <c r="D708" s="2" t="n">
        <v>1</v>
      </c>
      <c r="E708" s="14" t="s">
        <v>754</v>
      </c>
      <c r="F708" s="7" t="n">
        <v>14000</v>
      </c>
    </row>
    <row r="709" customFormat="false" ht="15" hidden="false" customHeight="false" outlineLevel="0" collapsed="false">
      <c r="A709" s="2" t="s">
        <v>830</v>
      </c>
      <c r="B709" s="13" t="n">
        <v>46274</v>
      </c>
      <c r="C709" s="2" t="s">
        <v>186</v>
      </c>
      <c r="D709" s="2" t="n">
        <v>3</v>
      </c>
      <c r="E709" s="14" t="s">
        <v>754</v>
      </c>
      <c r="F709" s="7" t="n">
        <v>7000</v>
      </c>
    </row>
    <row r="710" customFormat="false" ht="15" hidden="false" customHeight="false" outlineLevel="0" collapsed="false">
      <c r="A710" s="2" t="s">
        <v>831</v>
      </c>
      <c r="B710" s="13" t="n">
        <v>46274</v>
      </c>
      <c r="C710" s="2" t="s">
        <v>84</v>
      </c>
      <c r="D710" s="2" t="n">
        <v>1</v>
      </c>
      <c r="E710" s="14" t="s">
        <v>832</v>
      </c>
      <c r="F710" s="7" t="n">
        <v>5000</v>
      </c>
    </row>
    <row r="711" customFormat="false" ht="15" hidden="false" customHeight="false" outlineLevel="0" collapsed="false">
      <c r="A711" s="2" t="s">
        <v>833</v>
      </c>
      <c r="B711" s="13" t="n">
        <v>46274</v>
      </c>
      <c r="C711" s="2" t="s">
        <v>79</v>
      </c>
      <c r="D711" s="2" t="n">
        <v>1</v>
      </c>
      <c r="E711" s="14" t="s">
        <v>834</v>
      </c>
      <c r="F711" s="7" t="n">
        <v>16000</v>
      </c>
    </row>
    <row r="712" customFormat="false" ht="15" hidden="false" customHeight="false" outlineLevel="0" collapsed="false">
      <c r="A712" s="2" t="s">
        <v>833</v>
      </c>
      <c r="B712" s="13" t="n">
        <v>46274</v>
      </c>
      <c r="C712" s="2" t="s">
        <v>132</v>
      </c>
      <c r="D712" s="2" t="n">
        <v>3</v>
      </c>
      <c r="E712" s="14" t="s">
        <v>834</v>
      </c>
      <c r="F712" s="7" t="n">
        <v>15000</v>
      </c>
    </row>
    <row r="713" customFormat="false" ht="15" hidden="false" customHeight="false" outlineLevel="0" collapsed="false">
      <c r="A713" s="2" t="s">
        <v>835</v>
      </c>
      <c r="B713" s="13" t="n">
        <v>46274</v>
      </c>
      <c r="C713" s="2" t="s">
        <v>836</v>
      </c>
      <c r="D713" s="2" t="n">
        <v>1</v>
      </c>
      <c r="E713" s="14" t="s">
        <v>837</v>
      </c>
      <c r="F713" s="7" t="n">
        <v>7000</v>
      </c>
    </row>
    <row r="714" customFormat="false" ht="15" hidden="false" customHeight="false" outlineLevel="0" collapsed="false">
      <c r="A714" s="2" t="s">
        <v>835</v>
      </c>
      <c r="B714" s="13" t="n">
        <v>46274</v>
      </c>
      <c r="C714" s="2" t="s">
        <v>89</v>
      </c>
      <c r="D714" s="2" t="n">
        <v>1</v>
      </c>
      <c r="E714" s="14" t="s">
        <v>837</v>
      </c>
      <c r="F714" s="7" t="n">
        <v>14000</v>
      </c>
    </row>
    <row r="715" customFormat="false" ht="15" hidden="false" customHeight="false" outlineLevel="0" collapsed="false">
      <c r="A715" s="2" t="s">
        <v>838</v>
      </c>
      <c r="B715" s="13" t="n">
        <v>46275</v>
      </c>
      <c r="C715" s="2" t="s">
        <v>81</v>
      </c>
      <c r="D715" s="2" t="n">
        <v>3</v>
      </c>
      <c r="E715" s="14" t="s">
        <v>839</v>
      </c>
      <c r="F715" s="7" t="n">
        <v>15000</v>
      </c>
    </row>
    <row r="716" customFormat="false" ht="15" hidden="false" customHeight="false" outlineLevel="0" collapsed="false">
      <c r="A716" s="2" t="s">
        <v>838</v>
      </c>
      <c r="B716" s="13" t="n">
        <v>46275</v>
      </c>
      <c r="C716" s="2" t="s">
        <v>84</v>
      </c>
      <c r="D716" s="2" t="n">
        <v>1</v>
      </c>
      <c r="E716" s="14" t="s">
        <v>839</v>
      </c>
      <c r="F716" s="7" t="n">
        <v>5000</v>
      </c>
    </row>
    <row r="717" customFormat="false" ht="15" hidden="false" customHeight="false" outlineLevel="0" collapsed="false">
      <c r="A717" s="2" t="s">
        <v>840</v>
      </c>
      <c r="B717" s="13" t="n">
        <v>46275</v>
      </c>
      <c r="C717" s="2" t="s">
        <v>101</v>
      </c>
      <c r="D717" s="2" t="n">
        <v>2</v>
      </c>
      <c r="E717" s="14" t="s">
        <v>841</v>
      </c>
      <c r="F717" s="7" t="n">
        <v>18000</v>
      </c>
    </row>
    <row r="718" customFormat="false" ht="15" hidden="false" customHeight="false" outlineLevel="0" collapsed="false">
      <c r="A718" s="2" t="s">
        <v>842</v>
      </c>
      <c r="B718" s="13" t="n">
        <v>46275</v>
      </c>
      <c r="C718" s="2" t="s">
        <v>101</v>
      </c>
      <c r="D718" s="2" t="n">
        <v>1</v>
      </c>
      <c r="E718" s="14" t="s">
        <v>843</v>
      </c>
      <c r="F718" s="7" t="n">
        <v>18000</v>
      </c>
    </row>
    <row r="719" customFormat="false" ht="15" hidden="false" customHeight="false" outlineLevel="0" collapsed="false">
      <c r="A719" s="2" t="s">
        <v>844</v>
      </c>
      <c r="B719" s="13" t="n">
        <v>46275</v>
      </c>
      <c r="C719" s="2" t="s">
        <v>89</v>
      </c>
      <c r="D719" s="2" t="n">
        <v>1</v>
      </c>
      <c r="E719" s="14" t="s">
        <v>531</v>
      </c>
      <c r="F719" s="7" t="n">
        <v>14000</v>
      </c>
    </row>
    <row r="720" customFormat="false" ht="15" hidden="false" customHeight="false" outlineLevel="0" collapsed="false">
      <c r="A720" s="2" t="s">
        <v>845</v>
      </c>
      <c r="B720" s="13" t="n">
        <v>46275</v>
      </c>
      <c r="C720" s="2" t="s">
        <v>132</v>
      </c>
      <c r="D720" s="2" t="n">
        <v>1</v>
      </c>
      <c r="E720" s="14" t="s">
        <v>846</v>
      </c>
      <c r="F720" s="7" t="n">
        <v>15000</v>
      </c>
    </row>
    <row r="721" customFormat="false" ht="15" hidden="false" customHeight="false" outlineLevel="0" collapsed="false">
      <c r="A721" s="2" t="s">
        <v>845</v>
      </c>
      <c r="B721" s="13" t="n">
        <v>46275</v>
      </c>
      <c r="C721" s="2" t="s">
        <v>112</v>
      </c>
      <c r="D721" s="2" t="n">
        <v>1</v>
      </c>
      <c r="E721" s="14" t="s">
        <v>846</v>
      </c>
      <c r="F721" s="7" t="n">
        <v>10000</v>
      </c>
    </row>
    <row r="722" customFormat="false" ht="15" hidden="false" customHeight="false" outlineLevel="0" collapsed="false">
      <c r="A722" s="2" t="s">
        <v>847</v>
      </c>
      <c r="B722" s="13" t="n">
        <v>46275</v>
      </c>
      <c r="C722" s="2" t="s">
        <v>81</v>
      </c>
      <c r="D722" s="2" t="n">
        <v>1</v>
      </c>
      <c r="E722" s="14" t="s">
        <v>848</v>
      </c>
      <c r="F722" s="7" t="n">
        <v>15000</v>
      </c>
    </row>
    <row r="723" customFormat="false" ht="15" hidden="false" customHeight="false" outlineLevel="0" collapsed="false">
      <c r="A723" s="2" t="s">
        <v>847</v>
      </c>
      <c r="B723" s="13" t="n">
        <v>46275</v>
      </c>
      <c r="C723" s="2" t="s">
        <v>112</v>
      </c>
      <c r="D723" s="2" t="n">
        <v>3</v>
      </c>
      <c r="E723" s="14" t="s">
        <v>848</v>
      </c>
      <c r="F723" s="7" t="n">
        <v>10000</v>
      </c>
    </row>
    <row r="724" customFormat="false" ht="15" hidden="false" customHeight="false" outlineLevel="0" collapsed="false">
      <c r="A724" s="2" t="s">
        <v>849</v>
      </c>
      <c r="B724" s="13" t="n">
        <v>46275</v>
      </c>
      <c r="C724" s="2" t="s">
        <v>81</v>
      </c>
      <c r="D724" s="2" t="n">
        <v>2</v>
      </c>
      <c r="E724" s="14" t="s">
        <v>850</v>
      </c>
      <c r="F724" s="7" t="n">
        <v>15000</v>
      </c>
    </row>
    <row r="725" customFormat="false" ht="15" hidden="false" customHeight="false" outlineLevel="0" collapsed="false">
      <c r="A725" s="2" t="s">
        <v>851</v>
      </c>
      <c r="B725" s="13" t="n">
        <v>46275</v>
      </c>
      <c r="C725" s="2" t="s">
        <v>81</v>
      </c>
      <c r="D725" s="2" t="n">
        <v>1</v>
      </c>
      <c r="E725" s="14" t="s">
        <v>852</v>
      </c>
      <c r="F725" s="7" t="n">
        <v>15000</v>
      </c>
    </row>
    <row r="726" customFormat="false" ht="15" hidden="false" customHeight="false" outlineLevel="0" collapsed="false">
      <c r="A726" s="2" t="s">
        <v>853</v>
      </c>
      <c r="B726" s="13" t="n">
        <v>46275</v>
      </c>
      <c r="C726" s="2" t="s">
        <v>132</v>
      </c>
      <c r="D726" s="2" t="n">
        <v>1</v>
      </c>
      <c r="E726" s="14" t="s">
        <v>275</v>
      </c>
      <c r="F726" s="7" t="n">
        <v>15000</v>
      </c>
    </row>
    <row r="727" customFormat="false" ht="15" hidden="false" customHeight="false" outlineLevel="0" collapsed="false">
      <c r="A727" s="2" t="s">
        <v>853</v>
      </c>
      <c r="B727" s="13" t="n">
        <v>46275</v>
      </c>
      <c r="C727" s="2" t="s">
        <v>108</v>
      </c>
      <c r="D727" s="2" t="n">
        <v>1</v>
      </c>
      <c r="E727" s="14" t="s">
        <v>275</v>
      </c>
      <c r="F727" s="7" t="n">
        <v>20000</v>
      </c>
    </row>
    <row r="728" customFormat="false" ht="15" hidden="false" customHeight="false" outlineLevel="0" collapsed="false">
      <c r="A728" s="2" t="s">
        <v>854</v>
      </c>
      <c r="B728" s="13" t="n">
        <v>46275</v>
      </c>
      <c r="C728" s="2" t="s">
        <v>112</v>
      </c>
      <c r="D728" s="2" t="n">
        <v>2</v>
      </c>
      <c r="E728" s="14" t="s">
        <v>774</v>
      </c>
      <c r="F728" s="7" t="n">
        <v>10000</v>
      </c>
    </row>
    <row r="729" customFormat="false" ht="15" hidden="false" customHeight="false" outlineLevel="0" collapsed="false">
      <c r="A729" s="2" t="s">
        <v>855</v>
      </c>
      <c r="B729" s="13" t="n">
        <v>46275</v>
      </c>
      <c r="C729" s="2" t="s">
        <v>84</v>
      </c>
      <c r="D729" s="2" t="n">
        <v>1</v>
      </c>
      <c r="E729" s="14" t="s">
        <v>179</v>
      </c>
      <c r="F729" s="7" t="n">
        <v>5000</v>
      </c>
    </row>
    <row r="730" customFormat="false" ht="15" hidden="false" customHeight="false" outlineLevel="0" collapsed="false">
      <c r="A730" s="2" t="s">
        <v>855</v>
      </c>
      <c r="B730" s="13" t="n">
        <v>46275</v>
      </c>
      <c r="C730" s="2" t="s">
        <v>101</v>
      </c>
      <c r="D730" s="2" t="n">
        <v>2</v>
      </c>
      <c r="E730" s="14" t="s">
        <v>179</v>
      </c>
      <c r="F730" s="7" t="n">
        <v>18000</v>
      </c>
    </row>
    <row r="731" customFormat="false" ht="15" hidden="false" customHeight="false" outlineLevel="0" collapsed="false">
      <c r="A731" s="2" t="s">
        <v>856</v>
      </c>
      <c r="B731" s="13" t="n">
        <v>46275</v>
      </c>
      <c r="C731" s="2" t="s">
        <v>132</v>
      </c>
      <c r="D731" s="2" t="n">
        <v>1</v>
      </c>
      <c r="E731" s="14" t="s">
        <v>857</v>
      </c>
      <c r="F731" s="7" t="n">
        <v>15000</v>
      </c>
    </row>
    <row r="732" customFormat="false" ht="15" hidden="false" customHeight="false" outlineLevel="0" collapsed="false">
      <c r="A732" s="2" t="s">
        <v>858</v>
      </c>
      <c r="B732" s="13" t="n">
        <v>46275</v>
      </c>
      <c r="C732" s="2" t="s">
        <v>101</v>
      </c>
      <c r="D732" s="2" t="n">
        <v>1</v>
      </c>
      <c r="E732" s="14" t="s">
        <v>702</v>
      </c>
      <c r="F732" s="7" t="n">
        <v>18000</v>
      </c>
    </row>
    <row r="733" customFormat="false" ht="15" hidden="false" customHeight="false" outlineLevel="0" collapsed="false">
      <c r="A733" s="2" t="s">
        <v>858</v>
      </c>
      <c r="B733" s="13" t="n">
        <v>46275</v>
      </c>
      <c r="C733" s="2" t="s">
        <v>81</v>
      </c>
      <c r="D733" s="2" t="n">
        <v>1</v>
      </c>
      <c r="E733" s="14" t="s">
        <v>702</v>
      </c>
      <c r="F733" s="7" t="n">
        <v>15000</v>
      </c>
    </row>
    <row r="734" customFormat="false" ht="15" hidden="false" customHeight="false" outlineLevel="0" collapsed="false">
      <c r="A734" s="2" t="s">
        <v>858</v>
      </c>
      <c r="B734" s="13" t="n">
        <v>46275</v>
      </c>
      <c r="C734" s="2" t="s">
        <v>79</v>
      </c>
      <c r="D734" s="2" t="n">
        <v>1</v>
      </c>
      <c r="E734" s="14" t="s">
        <v>702</v>
      </c>
      <c r="F734" s="7" t="n">
        <v>16000</v>
      </c>
    </row>
    <row r="735" customFormat="false" ht="15" hidden="false" customHeight="false" outlineLevel="0" collapsed="false">
      <c r="A735" s="2" t="s">
        <v>859</v>
      </c>
      <c r="B735" s="13" t="n">
        <v>46275</v>
      </c>
      <c r="C735" s="2" t="s">
        <v>79</v>
      </c>
      <c r="D735" s="2" t="n">
        <v>1</v>
      </c>
      <c r="E735" s="14" t="s">
        <v>860</v>
      </c>
      <c r="F735" s="7" t="n">
        <v>16000</v>
      </c>
    </row>
    <row r="736" customFormat="false" ht="15" hidden="false" customHeight="false" outlineLevel="0" collapsed="false">
      <c r="A736" s="2" t="s">
        <v>861</v>
      </c>
      <c r="B736" s="13" t="n">
        <v>46275</v>
      </c>
      <c r="C736" s="2" t="s">
        <v>84</v>
      </c>
      <c r="D736" s="2" t="n">
        <v>1</v>
      </c>
      <c r="E736" s="14" t="s">
        <v>279</v>
      </c>
      <c r="F736" s="7" t="n">
        <v>5000</v>
      </c>
    </row>
    <row r="737" customFormat="false" ht="15" hidden="false" customHeight="false" outlineLevel="0" collapsed="false">
      <c r="A737" s="2" t="s">
        <v>861</v>
      </c>
      <c r="B737" s="13" t="n">
        <v>46275</v>
      </c>
      <c r="C737" s="2" t="s">
        <v>79</v>
      </c>
      <c r="D737" s="2" t="n">
        <v>1</v>
      </c>
      <c r="E737" s="14" t="s">
        <v>279</v>
      </c>
      <c r="F737" s="7" t="n">
        <v>16000</v>
      </c>
    </row>
    <row r="738" customFormat="false" ht="15" hidden="false" customHeight="false" outlineLevel="0" collapsed="false">
      <c r="A738" s="2" t="s">
        <v>862</v>
      </c>
      <c r="B738" s="13" t="n">
        <v>46275</v>
      </c>
      <c r="C738" s="2" t="s">
        <v>84</v>
      </c>
      <c r="D738" s="2" t="n">
        <v>1</v>
      </c>
      <c r="E738" s="14" t="s">
        <v>863</v>
      </c>
      <c r="F738" s="7" t="n">
        <v>5000</v>
      </c>
    </row>
    <row r="739" customFormat="false" ht="15" hidden="false" customHeight="false" outlineLevel="0" collapsed="false">
      <c r="A739" s="2" t="s">
        <v>864</v>
      </c>
      <c r="B739" s="13" t="n">
        <v>46275</v>
      </c>
      <c r="C739" s="2" t="s">
        <v>132</v>
      </c>
      <c r="D739" s="2" t="n">
        <v>1</v>
      </c>
      <c r="E739" s="14" t="s">
        <v>545</v>
      </c>
      <c r="F739" s="7" t="n">
        <v>15000</v>
      </c>
    </row>
    <row r="740" customFormat="false" ht="15" hidden="false" customHeight="false" outlineLevel="0" collapsed="false">
      <c r="A740" s="2" t="s">
        <v>865</v>
      </c>
      <c r="B740" s="13" t="n">
        <v>46275</v>
      </c>
      <c r="C740" s="2" t="s">
        <v>84</v>
      </c>
      <c r="D740" s="2" t="n">
        <v>3</v>
      </c>
      <c r="E740" s="14" t="s">
        <v>866</v>
      </c>
      <c r="F740" s="7" t="n">
        <v>5000</v>
      </c>
    </row>
    <row r="741" customFormat="false" ht="15" hidden="false" customHeight="false" outlineLevel="0" collapsed="false">
      <c r="A741" s="2" t="s">
        <v>867</v>
      </c>
      <c r="B741" s="13" t="n">
        <v>46275</v>
      </c>
      <c r="C741" s="2" t="s">
        <v>108</v>
      </c>
      <c r="D741" s="2" t="n">
        <v>2</v>
      </c>
      <c r="E741" s="14" t="s">
        <v>708</v>
      </c>
      <c r="F741" s="7" t="n">
        <v>20000</v>
      </c>
    </row>
    <row r="742" customFormat="false" ht="15" hidden="false" customHeight="false" outlineLevel="0" collapsed="false">
      <c r="A742" s="2" t="s">
        <v>867</v>
      </c>
      <c r="B742" s="13" t="n">
        <v>46275</v>
      </c>
      <c r="C742" s="2" t="s">
        <v>81</v>
      </c>
      <c r="D742" s="2" t="n">
        <v>1</v>
      </c>
      <c r="E742" s="14" t="s">
        <v>708</v>
      </c>
      <c r="F742" s="7" t="n">
        <v>15000</v>
      </c>
    </row>
    <row r="743" customFormat="false" ht="15" hidden="false" customHeight="false" outlineLevel="0" collapsed="false">
      <c r="A743" s="2" t="s">
        <v>868</v>
      </c>
      <c r="B743" s="13" t="n">
        <v>46275</v>
      </c>
      <c r="C743" s="2" t="s">
        <v>84</v>
      </c>
      <c r="D743" s="2" t="n">
        <v>1</v>
      </c>
      <c r="E743" s="14" t="s">
        <v>869</v>
      </c>
      <c r="F743" s="7" t="n">
        <v>5000</v>
      </c>
    </row>
    <row r="744" customFormat="false" ht="15" hidden="false" customHeight="false" outlineLevel="0" collapsed="false">
      <c r="A744" s="2" t="s">
        <v>868</v>
      </c>
      <c r="B744" s="13" t="n">
        <v>46275</v>
      </c>
      <c r="C744" s="2" t="s">
        <v>108</v>
      </c>
      <c r="D744" s="2" t="n">
        <v>1</v>
      </c>
      <c r="E744" s="14" t="s">
        <v>869</v>
      </c>
      <c r="F744" s="7" t="n">
        <v>20000</v>
      </c>
    </row>
    <row r="745" customFormat="false" ht="15" hidden="false" customHeight="false" outlineLevel="0" collapsed="false">
      <c r="A745" s="2" t="s">
        <v>868</v>
      </c>
      <c r="B745" s="13" t="n">
        <v>46275</v>
      </c>
      <c r="C745" s="2" t="s">
        <v>92</v>
      </c>
      <c r="D745" s="2" t="n">
        <v>3</v>
      </c>
      <c r="E745" s="14" t="s">
        <v>869</v>
      </c>
      <c r="F745" s="7" t="n">
        <v>4000</v>
      </c>
    </row>
    <row r="746" customFormat="false" ht="15" hidden="false" customHeight="false" outlineLevel="0" collapsed="false">
      <c r="A746" s="2" t="s">
        <v>870</v>
      </c>
      <c r="B746" s="13" t="n">
        <v>46275</v>
      </c>
      <c r="C746" s="2" t="s">
        <v>112</v>
      </c>
      <c r="D746" s="2" t="n">
        <v>1</v>
      </c>
      <c r="E746" s="14" t="s">
        <v>370</v>
      </c>
      <c r="F746" s="7" t="n">
        <v>10000</v>
      </c>
    </row>
    <row r="747" customFormat="false" ht="15" hidden="false" customHeight="false" outlineLevel="0" collapsed="false">
      <c r="A747" s="2" t="s">
        <v>870</v>
      </c>
      <c r="B747" s="13" t="n">
        <v>46275</v>
      </c>
      <c r="C747" s="2" t="s">
        <v>81</v>
      </c>
      <c r="D747" s="2" t="n">
        <v>2</v>
      </c>
      <c r="E747" s="14" t="s">
        <v>370</v>
      </c>
      <c r="F747" s="7" t="n">
        <v>15000</v>
      </c>
    </row>
    <row r="748" customFormat="false" ht="15" hidden="false" customHeight="false" outlineLevel="0" collapsed="false">
      <c r="A748" s="2" t="s">
        <v>870</v>
      </c>
      <c r="B748" s="13" t="n">
        <v>46275</v>
      </c>
      <c r="C748" s="2" t="s">
        <v>82</v>
      </c>
      <c r="D748" s="2" t="n">
        <v>1</v>
      </c>
      <c r="E748" s="14" t="s">
        <v>370</v>
      </c>
      <c r="F748" s="7" t="n">
        <v>13000</v>
      </c>
    </row>
    <row r="749" customFormat="false" ht="15" hidden="false" customHeight="false" outlineLevel="0" collapsed="false">
      <c r="A749" s="2" t="s">
        <v>871</v>
      </c>
      <c r="B749" s="13" t="n">
        <v>46275</v>
      </c>
      <c r="C749" s="2" t="s">
        <v>112</v>
      </c>
      <c r="D749" s="2" t="n">
        <v>1</v>
      </c>
      <c r="E749" s="14" t="s">
        <v>872</v>
      </c>
      <c r="F749" s="7" t="n">
        <v>10000</v>
      </c>
    </row>
    <row r="750" customFormat="false" ht="15" hidden="false" customHeight="false" outlineLevel="0" collapsed="false">
      <c r="A750" s="2" t="s">
        <v>871</v>
      </c>
      <c r="B750" s="13" t="n">
        <v>46275</v>
      </c>
      <c r="C750" s="2" t="s">
        <v>132</v>
      </c>
      <c r="D750" s="2" t="n">
        <v>1</v>
      </c>
      <c r="E750" s="14" t="s">
        <v>872</v>
      </c>
      <c r="F750" s="7" t="n">
        <v>15000</v>
      </c>
    </row>
    <row r="751" customFormat="false" ht="15" hidden="false" customHeight="false" outlineLevel="0" collapsed="false">
      <c r="A751" s="2" t="s">
        <v>873</v>
      </c>
      <c r="B751" s="13" t="n">
        <v>46275</v>
      </c>
      <c r="C751" s="2" t="s">
        <v>108</v>
      </c>
      <c r="D751" s="2" t="n">
        <v>1</v>
      </c>
      <c r="E751" s="14" t="s">
        <v>874</v>
      </c>
      <c r="F751" s="7" t="n">
        <v>20000</v>
      </c>
    </row>
    <row r="752" customFormat="false" ht="15" hidden="false" customHeight="false" outlineLevel="0" collapsed="false">
      <c r="A752" s="2" t="s">
        <v>875</v>
      </c>
      <c r="B752" s="13" t="n">
        <v>46275</v>
      </c>
      <c r="C752" s="2" t="s">
        <v>79</v>
      </c>
      <c r="D752" s="2" t="n">
        <v>1</v>
      </c>
      <c r="E752" s="14" t="s">
        <v>876</v>
      </c>
      <c r="F752" s="7" t="n">
        <v>16000</v>
      </c>
    </row>
    <row r="753" customFormat="false" ht="15" hidden="false" customHeight="false" outlineLevel="0" collapsed="false">
      <c r="A753" s="2" t="s">
        <v>875</v>
      </c>
      <c r="B753" s="13" t="n">
        <v>46275</v>
      </c>
      <c r="C753" s="2" t="s">
        <v>84</v>
      </c>
      <c r="D753" s="2" t="n">
        <v>1</v>
      </c>
      <c r="E753" s="14" t="s">
        <v>876</v>
      </c>
      <c r="F753" s="7" t="n">
        <v>5000</v>
      </c>
    </row>
    <row r="754" customFormat="false" ht="15" hidden="false" customHeight="false" outlineLevel="0" collapsed="false">
      <c r="A754" s="2" t="s">
        <v>875</v>
      </c>
      <c r="B754" s="13" t="n">
        <v>46275</v>
      </c>
      <c r="C754" s="2" t="s">
        <v>81</v>
      </c>
      <c r="D754" s="2" t="n">
        <v>1</v>
      </c>
      <c r="E754" s="14" t="s">
        <v>876</v>
      </c>
      <c r="F754" s="7" t="n">
        <v>15000</v>
      </c>
    </row>
    <row r="755" customFormat="false" ht="15" hidden="false" customHeight="false" outlineLevel="0" collapsed="false">
      <c r="A755" s="2" t="s">
        <v>877</v>
      </c>
      <c r="B755" s="13" t="n">
        <v>46275</v>
      </c>
      <c r="C755" s="2" t="s">
        <v>81</v>
      </c>
      <c r="D755" s="2" t="n">
        <v>2</v>
      </c>
      <c r="E755" s="14" t="s">
        <v>878</v>
      </c>
      <c r="F755" s="7" t="n">
        <v>15000</v>
      </c>
    </row>
    <row r="756" customFormat="false" ht="15" hidden="false" customHeight="false" outlineLevel="0" collapsed="false">
      <c r="A756" s="2" t="s">
        <v>877</v>
      </c>
      <c r="B756" s="13" t="n">
        <v>46275</v>
      </c>
      <c r="C756" s="2" t="s">
        <v>84</v>
      </c>
      <c r="D756" s="2" t="n">
        <v>1</v>
      </c>
      <c r="E756" s="14" t="s">
        <v>878</v>
      </c>
      <c r="F756" s="7" t="n">
        <v>5000</v>
      </c>
    </row>
    <row r="757" customFormat="false" ht="15" hidden="false" customHeight="false" outlineLevel="0" collapsed="false">
      <c r="A757" s="2" t="s">
        <v>879</v>
      </c>
      <c r="B757" s="13" t="n">
        <v>46275</v>
      </c>
      <c r="C757" s="2" t="s">
        <v>89</v>
      </c>
      <c r="D757" s="2" t="n">
        <v>1</v>
      </c>
      <c r="E757" s="14" t="s">
        <v>106</v>
      </c>
      <c r="F757" s="7" t="n">
        <v>14000</v>
      </c>
    </row>
    <row r="758" customFormat="false" ht="15" hidden="false" customHeight="false" outlineLevel="0" collapsed="false">
      <c r="A758" s="2" t="s">
        <v>880</v>
      </c>
      <c r="B758" s="13" t="n">
        <v>46275</v>
      </c>
      <c r="C758" s="2" t="s">
        <v>84</v>
      </c>
      <c r="D758" s="2" t="n">
        <v>1</v>
      </c>
      <c r="E758" s="14" t="s">
        <v>881</v>
      </c>
      <c r="F758" s="7" t="n">
        <v>5000</v>
      </c>
    </row>
    <row r="759" customFormat="false" ht="15" hidden="false" customHeight="false" outlineLevel="0" collapsed="false">
      <c r="A759" s="2" t="s">
        <v>880</v>
      </c>
      <c r="B759" s="13" t="n">
        <v>46275</v>
      </c>
      <c r="C759" s="2" t="s">
        <v>79</v>
      </c>
      <c r="D759" s="2" t="n">
        <v>1</v>
      </c>
      <c r="E759" s="14" t="s">
        <v>881</v>
      </c>
      <c r="F759" s="7" t="n">
        <v>16000</v>
      </c>
    </row>
    <row r="760" customFormat="false" ht="15" hidden="false" customHeight="false" outlineLevel="0" collapsed="false">
      <c r="A760" s="2" t="s">
        <v>882</v>
      </c>
      <c r="B760" s="13" t="n">
        <v>46275</v>
      </c>
      <c r="C760" s="2" t="s">
        <v>81</v>
      </c>
      <c r="D760" s="2" t="n">
        <v>2</v>
      </c>
      <c r="E760" s="14" t="s">
        <v>883</v>
      </c>
      <c r="F760" s="7" t="n">
        <v>15000</v>
      </c>
    </row>
    <row r="761" customFormat="false" ht="15" hidden="false" customHeight="false" outlineLevel="0" collapsed="false">
      <c r="A761" s="2" t="s">
        <v>884</v>
      </c>
      <c r="B761" s="13" t="n">
        <v>46275</v>
      </c>
      <c r="C761" s="2" t="s">
        <v>81</v>
      </c>
      <c r="D761" s="2" t="n">
        <v>3</v>
      </c>
      <c r="E761" s="14" t="s">
        <v>885</v>
      </c>
      <c r="F761" s="7" t="n">
        <v>15000</v>
      </c>
    </row>
    <row r="762" customFormat="false" ht="15" hidden="false" customHeight="false" outlineLevel="0" collapsed="false">
      <c r="A762" s="2" t="s">
        <v>884</v>
      </c>
      <c r="B762" s="13" t="n">
        <v>46275</v>
      </c>
      <c r="C762" s="2" t="s">
        <v>84</v>
      </c>
      <c r="D762" s="2" t="n">
        <v>1</v>
      </c>
      <c r="E762" s="14" t="s">
        <v>885</v>
      </c>
      <c r="F762" s="7" t="n">
        <v>5000</v>
      </c>
    </row>
    <row r="763" customFormat="false" ht="15" hidden="false" customHeight="false" outlineLevel="0" collapsed="false">
      <c r="A763" s="2" t="s">
        <v>886</v>
      </c>
      <c r="B763" s="13" t="n">
        <v>46275</v>
      </c>
      <c r="C763" s="2" t="s">
        <v>81</v>
      </c>
      <c r="D763" s="2" t="n">
        <v>1</v>
      </c>
      <c r="E763" s="14" t="s">
        <v>885</v>
      </c>
      <c r="F763" s="7" t="n">
        <v>15000</v>
      </c>
    </row>
    <row r="764" customFormat="false" ht="15" hidden="false" customHeight="false" outlineLevel="0" collapsed="false">
      <c r="A764" s="2" t="s">
        <v>887</v>
      </c>
      <c r="B764" s="13" t="n">
        <v>46275</v>
      </c>
      <c r="C764" s="2" t="s">
        <v>82</v>
      </c>
      <c r="D764" s="2" t="n">
        <v>1</v>
      </c>
      <c r="E764" s="14" t="s">
        <v>888</v>
      </c>
      <c r="F764" s="7" t="n">
        <v>13000</v>
      </c>
    </row>
    <row r="765" customFormat="false" ht="15" hidden="false" customHeight="false" outlineLevel="0" collapsed="false">
      <c r="A765" s="2" t="s">
        <v>887</v>
      </c>
      <c r="B765" s="13" t="n">
        <v>46275</v>
      </c>
      <c r="C765" s="2" t="s">
        <v>81</v>
      </c>
      <c r="D765" s="2" t="n">
        <v>1</v>
      </c>
      <c r="E765" s="14" t="s">
        <v>888</v>
      </c>
      <c r="F765" s="7" t="n">
        <v>15000</v>
      </c>
    </row>
    <row r="766" customFormat="false" ht="15" hidden="false" customHeight="false" outlineLevel="0" collapsed="false">
      <c r="A766" s="2" t="s">
        <v>887</v>
      </c>
      <c r="B766" s="13" t="n">
        <v>46275</v>
      </c>
      <c r="C766" s="2" t="s">
        <v>101</v>
      </c>
      <c r="D766" s="2" t="n">
        <v>1</v>
      </c>
      <c r="E766" s="14" t="s">
        <v>888</v>
      </c>
      <c r="F766" s="7" t="n">
        <v>18000</v>
      </c>
    </row>
    <row r="767" customFormat="false" ht="15" hidden="false" customHeight="false" outlineLevel="0" collapsed="false">
      <c r="A767" s="2" t="s">
        <v>889</v>
      </c>
      <c r="B767" s="13" t="n">
        <v>46275</v>
      </c>
      <c r="C767" s="2" t="s">
        <v>84</v>
      </c>
      <c r="D767" s="2" t="n">
        <v>2</v>
      </c>
      <c r="E767" s="14" t="s">
        <v>483</v>
      </c>
      <c r="F767" s="7" t="n">
        <v>5000</v>
      </c>
    </row>
    <row r="768" customFormat="false" ht="15" hidden="false" customHeight="false" outlineLevel="0" collapsed="false">
      <c r="A768" s="2" t="s">
        <v>890</v>
      </c>
      <c r="B768" s="13" t="n">
        <v>46275</v>
      </c>
      <c r="C768" s="2" t="s">
        <v>89</v>
      </c>
      <c r="D768" s="2" t="n">
        <v>2</v>
      </c>
      <c r="E768" s="14" t="s">
        <v>124</v>
      </c>
      <c r="F768" s="7" t="n">
        <v>14000</v>
      </c>
    </row>
    <row r="769" customFormat="false" ht="15" hidden="false" customHeight="false" outlineLevel="0" collapsed="false">
      <c r="A769" s="2" t="s">
        <v>890</v>
      </c>
      <c r="B769" s="13" t="n">
        <v>46275</v>
      </c>
      <c r="C769" s="2" t="s">
        <v>112</v>
      </c>
      <c r="D769" s="2" t="n">
        <v>2</v>
      </c>
      <c r="E769" s="14" t="s">
        <v>124</v>
      </c>
      <c r="F769" s="7" t="n">
        <v>10000</v>
      </c>
    </row>
    <row r="770" customFormat="false" ht="15" hidden="false" customHeight="false" outlineLevel="0" collapsed="false">
      <c r="A770" s="2" t="s">
        <v>891</v>
      </c>
      <c r="B770" s="13" t="n">
        <v>46275</v>
      </c>
      <c r="C770" s="2" t="s">
        <v>132</v>
      </c>
      <c r="D770" s="2" t="n">
        <v>2</v>
      </c>
      <c r="E770" s="14" t="s">
        <v>892</v>
      </c>
      <c r="F770" s="7" t="n">
        <v>15000</v>
      </c>
    </row>
    <row r="771" customFormat="false" ht="15" hidden="false" customHeight="false" outlineLevel="0" collapsed="false">
      <c r="A771" s="2" t="s">
        <v>891</v>
      </c>
      <c r="B771" s="13" t="n">
        <v>46275</v>
      </c>
      <c r="C771" s="2" t="s">
        <v>79</v>
      </c>
      <c r="D771" s="2" t="n">
        <v>1</v>
      </c>
      <c r="E771" s="14" t="s">
        <v>892</v>
      </c>
      <c r="F771" s="7" t="n">
        <v>16000</v>
      </c>
    </row>
    <row r="772" customFormat="false" ht="15" hidden="false" customHeight="false" outlineLevel="0" collapsed="false">
      <c r="A772" s="2" t="s">
        <v>893</v>
      </c>
      <c r="B772" s="13" t="n">
        <v>46275</v>
      </c>
      <c r="C772" s="2" t="s">
        <v>81</v>
      </c>
      <c r="D772" s="2" t="n">
        <v>1</v>
      </c>
      <c r="E772" s="14" t="s">
        <v>489</v>
      </c>
      <c r="F772" s="7" t="n">
        <v>15000</v>
      </c>
    </row>
    <row r="773" customFormat="false" ht="15" hidden="false" customHeight="false" outlineLevel="0" collapsed="false">
      <c r="A773" s="2" t="s">
        <v>894</v>
      </c>
      <c r="B773" s="13" t="n">
        <v>46275</v>
      </c>
      <c r="C773" s="2" t="s">
        <v>108</v>
      </c>
      <c r="D773" s="2" t="n">
        <v>1</v>
      </c>
      <c r="E773" s="14" t="s">
        <v>895</v>
      </c>
      <c r="F773" s="7" t="n">
        <v>20000</v>
      </c>
    </row>
    <row r="774" customFormat="false" ht="15" hidden="false" customHeight="false" outlineLevel="0" collapsed="false">
      <c r="A774" s="2" t="s">
        <v>894</v>
      </c>
      <c r="B774" s="13" t="n">
        <v>46275</v>
      </c>
      <c r="C774" s="2" t="s">
        <v>82</v>
      </c>
      <c r="D774" s="2" t="n">
        <v>2</v>
      </c>
      <c r="E774" s="14" t="s">
        <v>895</v>
      </c>
      <c r="F774" s="7" t="n">
        <v>13000</v>
      </c>
    </row>
    <row r="775" customFormat="false" ht="15" hidden="false" customHeight="false" outlineLevel="0" collapsed="false">
      <c r="A775" s="2" t="s">
        <v>896</v>
      </c>
      <c r="B775" s="13" t="n">
        <v>46275</v>
      </c>
      <c r="C775" s="2" t="s">
        <v>186</v>
      </c>
      <c r="D775" s="2" t="n">
        <v>1</v>
      </c>
      <c r="E775" s="14" t="s">
        <v>801</v>
      </c>
      <c r="F775" s="7" t="n">
        <v>7000</v>
      </c>
    </row>
    <row r="776" customFormat="false" ht="15" hidden="false" customHeight="false" outlineLevel="0" collapsed="false">
      <c r="A776" s="2" t="s">
        <v>897</v>
      </c>
      <c r="B776" s="13" t="n">
        <v>46275</v>
      </c>
      <c r="C776" s="2" t="s">
        <v>82</v>
      </c>
      <c r="D776" s="2" t="n">
        <v>3</v>
      </c>
      <c r="E776" s="14" t="s">
        <v>664</v>
      </c>
      <c r="F776" s="7" t="n">
        <v>13000</v>
      </c>
    </row>
    <row r="777" customFormat="false" ht="15" hidden="false" customHeight="false" outlineLevel="0" collapsed="false">
      <c r="A777" s="2" t="s">
        <v>898</v>
      </c>
      <c r="B777" s="13" t="n">
        <v>46275</v>
      </c>
      <c r="C777" s="2" t="s">
        <v>79</v>
      </c>
      <c r="D777" s="2" t="n">
        <v>1</v>
      </c>
      <c r="E777" s="14" t="s">
        <v>226</v>
      </c>
      <c r="F777" s="7" t="n">
        <v>16000</v>
      </c>
    </row>
    <row r="778" customFormat="false" ht="15" hidden="false" customHeight="false" outlineLevel="0" collapsed="false">
      <c r="A778" s="2" t="s">
        <v>899</v>
      </c>
      <c r="B778" s="13" t="n">
        <v>46275</v>
      </c>
      <c r="C778" s="2" t="s">
        <v>101</v>
      </c>
      <c r="D778" s="2" t="n">
        <v>2</v>
      </c>
      <c r="E778" s="14" t="s">
        <v>900</v>
      </c>
      <c r="F778" s="7"/>
    </row>
    <row r="779" customFormat="false" ht="15" hidden="false" customHeight="false" outlineLevel="0" collapsed="false">
      <c r="A779" s="2" t="s">
        <v>901</v>
      </c>
      <c r="B779" s="13" t="n">
        <v>46275</v>
      </c>
      <c r="C779" s="2" t="s">
        <v>902</v>
      </c>
      <c r="D779" s="2" t="n">
        <v>2</v>
      </c>
      <c r="E779" s="14" t="s">
        <v>903</v>
      </c>
      <c r="F779" s="7" t="n">
        <v>15000</v>
      </c>
    </row>
    <row r="780" customFormat="false" ht="15" hidden="false" customHeight="false" outlineLevel="0" collapsed="false">
      <c r="A780" s="2" t="s">
        <v>901</v>
      </c>
      <c r="B780" s="13" t="n">
        <v>46275</v>
      </c>
      <c r="C780" s="2" t="s">
        <v>112</v>
      </c>
      <c r="D780" s="2" t="n">
        <v>1</v>
      </c>
      <c r="E780" s="14" t="s">
        <v>903</v>
      </c>
      <c r="F780" s="7" t="n">
        <v>10000</v>
      </c>
    </row>
    <row r="781" customFormat="false" ht="15" hidden="false" customHeight="false" outlineLevel="0" collapsed="false">
      <c r="A781" s="2" t="s">
        <v>904</v>
      </c>
      <c r="B781" s="13" t="n">
        <v>46275</v>
      </c>
      <c r="C781" s="2" t="s">
        <v>101</v>
      </c>
      <c r="D781" s="2" t="n">
        <v>2</v>
      </c>
      <c r="E781" s="14" t="s">
        <v>905</v>
      </c>
      <c r="F781" s="7" t="n">
        <v>18000</v>
      </c>
    </row>
    <row r="782" customFormat="false" ht="15" hidden="false" customHeight="false" outlineLevel="0" collapsed="false">
      <c r="A782" s="2" t="s">
        <v>904</v>
      </c>
      <c r="B782" s="13" t="n">
        <v>46275</v>
      </c>
      <c r="C782" s="2" t="s">
        <v>112</v>
      </c>
      <c r="D782" s="2" t="n">
        <v>2</v>
      </c>
      <c r="E782" s="14" t="s">
        <v>905</v>
      </c>
      <c r="F782" s="7" t="n">
        <v>10000</v>
      </c>
    </row>
    <row r="783" customFormat="false" ht="15" hidden="false" customHeight="false" outlineLevel="0" collapsed="false">
      <c r="A783" s="2" t="s">
        <v>906</v>
      </c>
      <c r="B783" s="13" t="n">
        <v>46275</v>
      </c>
      <c r="C783" s="2" t="s">
        <v>112</v>
      </c>
      <c r="D783" s="2" t="n">
        <v>1</v>
      </c>
      <c r="E783" s="14" t="s">
        <v>316</v>
      </c>
      <c r="F783" s="7" t="n">
        <v>10000</v>
      </c>
    </row>
    <row r="784" customFormat="false" ht="15" hidden="false" customHeight="false" outlineLevel="0" collapsed="false">
      <c r="A784" s="2" t="s">
        <v>906</v>
      </c>
      <c r="B784" s="13" t="n">
        <v>46275</v>
      </c>
      <c r="C784" s="2" t="s">
        <v>126</v>
      </c>
      <c r="D784" s="2" t="n">
        <v>2</v>
      </c>
      <c r="E784" s="14" t="s">
        <v>316</v>
      </c>
      <c r="F784" s="7" t="n">
        <v>3000</v>
      </c>
    </row>
    <row r="785" customFormat="false" ht="15" hidden="false" customHeight="false" outlineLevel="0" collapsed="false">
      <c r="A785" s="2" t="s">
        <v>907</v>
      </c>
      <c r="B785" s="13" t="n">
        <v>46275</v>
      </c>
      <c r="C785" s="2" t="s">
        <v>81</v>
      </c>
      <c r="D785" s="2" t="n">
        <v>1</v>
      </c>
      <c r="E785" s="14" t="s">
        <v>908</v>
      </c>
      <c r="F785" s="7" t="n">
        <v>15000</v>
      </c>
    </row>
    <row r="786" customFormat="false" ht="15" hidden="false" customHeight="false" outlineLevel="0" collapsed="false">
      <c r="A786" s="2" t="s">
        <v>909</v>
      </c>
      <c r="B786" s="13" t="n">
        <v>46275</v>
      </c>
      <c r="C786" s="2" t="s">
        <v>126</v>
      </c>
      <c r="D786" s="2" t="n">
        <v>1</v>
      </c>
      <c r="E786" s="14" t="s">
        <v>150</v>
      </c>
      <c r="F786" s="7" t="n">
        <v>3000</v>
      </c>
    </row>
    <row r="787" customFormat="false" ht="15" hidden="false" customHeight="false" outlineLevel="0" collapsed="false">
      <c r="A787" s="2" t="s">
        <v>909</v>
      </c>
      <c r="B787" s="13" t="n">
        <v>46275</v>
      </c>
      <c r="C787" s="2" t="s">
        <v>79</v>
      </c>
      <c r="D787" s="2" t="n">
        <v>1</v>
      </c>
      <c r="E787" s="14" t="s">
        <v>150</v>
      </c>
      <c r="F787" s="7" t="n">
        <v>16000</v>
      </c>
    </row>
    <row r="788" customFormat="false" ht="15" hidden="false" customHeight="false" outlineLevel="0" collapsed="false">
      <c r="A788" s="2" t="s">
        <v>910</v>
      </c>
      <c r="B788" s="13" t="n">
        <v>46275</v>
      </c>
      <c r="C788" s="2" t="s">
        <v>79</v>
      </c>
      <c r="D788" s="2" t="n">
        <v>2</v>
      </c>
      <c r="E788" s="14" t="s">
        <v>911</v>
      </c>
      <c r="F788" s="7" t="n">
        <v>16000</v>
      </c>
    </row>
    <row r="789" customFormat="false" ht="15" hidden="false" customHeight="false" outlineLevel="0" collapsed="false">
      <c r="A789" s="2" t="s">
        <v>912</v>
      </c>
      <c r="B789" s="13" t="n">
        <v>46275</v>
      </c>
      <c r="C789" s="2" t="s">
        <v>84</v>
      </c>
      <c r="D789" s="2" t="n">
        <v>1</v>
      </c>
      <c r="E789" s="14" t="s">
        <v>913</v>
      </c>
      <c r="F789" s="7" t="n">
        <v>5000</v>
      </c>
    </row>
    <row r="790" customFormat="false" ht="15" hidden="false" customHeight="false" outlineLevel="0" collapsed="false">
      <c r="A790" s="2" t="s">
        <v>912</v>
      </c>
      <c r="B790" s="13" t="n">
        <v>46275</v>
      </c>
      <c r="C790" s="2" t="s">
        <v>101</v>
      </c>
      <c r="D790" s="2" t="n">
        <v>1</v>
      </c>
      <c r="E790" s="14" t="s">
        <v>913</v>
      </c>
      <c r="F790" s="7" t="n">
        <v>18000</v>
      </c>
    </row>
    <row r="791" customFormat="false" ht="15" hidden="false" customHeight="false" outlineLevel="0" collapsed="false">
      <c r="A791" s="2" t="s">
        <v>914</v>
      </c>
      <c r="B791" s="13" t="n">
        <v>46275</v>
      </c>
      <c r="C791" s="2" t="s">
        <v>81</v>
      </c>
      <c r="D791" s="2" t="n">
        <v>3</v>
      </c>
      <c r="E791" s="14" t="s">
        <v>685</v>
      </c>
      <c r="F791" s="7" t="n">
        <v>15000</v>
      </c>
    </row>
    <row r="792" customFormat="false" ht="15" hidden="false" customHeight="false" outlineLevel="0" collapsed="false">
      <c r="A792" s="2" t="s">
        <v>914</v>
      </c>
      <c r="B792" s="13" t="n">
        <v>46275</v>
      </c>
      <c r="C792" s="2" t="s">
        <v>84</v>
      </c>
      <c r="D792" s="2" t="n">
        <v>1</v>
      </c>
      <c r="E792" s="14" t="s">
        <v>685</v>
      </c>
      <c r="F792" s="7" t="n">
        <v>5000</v>
      </c>
    </row>
    <row r="793" customFormat="false" ht="15" hidden="false" customHeight="false" outlineLevel="0" collapsed="false">
      <c r="A793" s="2" t="s">
        <v>915</v>
      </c>
      <c r="B793" s="13" t="n">
        <v>46275</v>
      </c>
      <c r="C793" s="2" t="s">
        <v>132</v>
      </c>
      <c r="D793" s="2" t="n">
        <v>1</v>
      </c>
      <c r="E793" s="14" t="s">
        <v>834</v>
      </c>
      <c r="F793" s="7" t="n">
        <v>15000</v>
      </c>
    </row>
    <row r="794" customFormat="false" ht="15" hidden="false" customHeight="false" outlineLevel="0" collapsed="false">
      <c r="A794" s="2" t="s">
        <v>915</v>
      </c>
      <c r="B794" s="13" t="n">
        <v>46275</v>
      </c>
      <c r="C794" s="2" t="s">
        <v>79</v>
      </c>
      <c r="D794" s="2" t="n">
        <v>1</v>
      </c>
      <c r="E794" s="14" t="s">
        <v>834</v>
      </c>
      <c r="F794" s="7" t="n">
        <v>16000</v>
      </c>
    </row>
    <row r="795" customFormat="false" ht="15" hidden="false" customHeight="false" outlineLevel="0" collapsed="false">
      <c r="A795" s="2" t="s">
        <v>916</v>
      </c>
      <c r="B795" s="13" t="n">
        <v>46275</v>
      </c>
      <c r="C795" s="2" t="s">
        <v>101</v>
      </c>
      <c r="D795" s="2" t="n">
        <v>1</v>
      </c>
      <c r="E795" s="14" t="s">
        <v>917</v>
      </c>
      <c r="F795" s="7" t="n">
        <v>18000</v>
      </c>
    </row>
    <row r="796" customFormat="false" ht="15" hidden="false" customHeight="false" outlineLevel="0" collapsed="false">
      <c r="A796" s="2" t="s">
        <v>916</v>
      </c>
      <c r="B796" s="13" t="n">
        <v>46275</v>
      </c>
      <c r="C796" s="2" t="s">
        <v>84</v>
      </c>
      <c r="D796" s="2" t="n">
        <v>3</v>
      </c>
      <c r="E796" s="14" t="s">
        <v>917</v>
      </c>
      <c r="F796" s="7" t="n">
        <v>5000</v>
      </c>
    </row>
    <row r="797" customFormat="false" ht="15" hidden="false" customHeight="false" outlineLevel="0" collapsed="false">
      <c r="A797" s="2" t="s">
        <v>918</v>
      </c>
      <c r="B797" s="13" t="n">
        <v>46275</v>
      </c>
      <c r="C797" s="2" t="s">
        <v>84</v>
      </c>
      <c r="D797" s="2" t="n">
        <v>1</v>
      </c>
      <c r="E797" s="14" t="s">
        <v>919</v>
      </c>
      <c r="F797" s="7" t="n">
        <v>5000</v>
      </c>
    </row>
    <row r="798" customFormat="false" ht="15" hidden="false" customHeight="false" outlineLevel="0" collapsed="false">
      <c r="A798" s="2" t="s">
        <v>918</v>
      </c>
      <c r="B798" s="13" t="n">
        <v>46275</v>
      </c>
      <c r="C798" s="2" t="s">
        <v>81</v>
      </c>
      <c r="D798" s="2" t="n">
        <v>1</v>
      </c>
      <c r="E798" s="14" t="s">
        <v>919</v>
      </c>
      <c r="F798" s="7" t="n">
        <v>15000</v>
      </c>
    </row>
    <row r="799" customFormat="false" ht="15" hidden="false" customHeight="false" outlineLevel="0" collapsed="false">
      <c r="A799" s="2" t="s">
        <v>920</v>
      </c>
      <c r="B799" s="13" t="n">
        <v>46276</v>
      </c>
      <c r="C799" s="2" t="s">
        <v>79</v>
      </c>
      <c r="D799" s="2" t="n">
        <v>1</v>
      </c>
      <c r="E799" s="14" t="s">
        <v>921</v>
      </c>
      <c r="F799" s="7" t="n">
        <v>16000</v>
      </c>
    </row>
    <row r="800" customFormat="false" ht="15" hidden="false" customHeight="false" outlineLevel="0" collapsed="false">
      <c r="A800" s="2" t="s">
        <v>920</v>
      </c>
      <c r="B800" s="13" t="n">
        <v>46276</v>
      </c>
      <c r="C800" s="2" t="s">
        <v>82</v>
      </c>
      <c r="D800" s="2" t="n">
        <v>2</v>
      </c>
      <c r="E800" s="14" t="s">
        <v>921</v>
      </c>
      <c r="F800" s="7" t="n">
        <v>13000</v>
      </c>
    </row>
    <row r="801" customFormat="false" ht="15" hidden="false" customHeight="false" outlineLevel="0" collapsed="false">
      <c r="A801" s="2" t="s">
        <v>922</v>
      </c>
      <c r="B801" s="13" t="n">
        <v>46276</v>
      </c>
      <c r="C801" s="2" t="s">
        <v>108</v>
      </c>
      <c r="D801" s="2" t="n">
        <v>1</v>
      </c>
      <c r="E801" s="14" t="s">
        <v>344</v>
      </c>
      <c r="F801" s="7" t="n">
        <v>0</v>
      </c>
    </row>
    <row r="802" customFormat="false" ht="15" hidden="false" customHeight="false" outlineLevel="0" collapsed="false">
      <c r="A802" s="2" t="s">
        <v>922</v>
      </c>
      <c r="B802" s="13" t="n">
        <v>46276</v>
      </c>
      <c r="C802" s="2" t="s">
        <v>84</v>
      </c>
      <c r="D802" s="2" t="n">
        <v>2</v>
      </c>
      <c r="E802" s="14" t="s">
        <v>344</v>
      </c>
      <c r="F802" s="7" t="n">
        <v>5000</v>
      </c>
    </row>
    <row r="803" customFormat="false" ht="15" hidden="false" customHeight="false" outlineLevel="0" collapsed="false">
      <c r="A803" s="2" t="s">
        <v>923</v>
      </c>
      <c r="B803" s="13" t="n">
        <v>46276</v>
      </c>
      <c r="C803" s="2" t="s">
        <v>84</v>
      </c>
      <c r="D803" s="2" t="n">
        <v>2</v>
      </c>
      <c r="E803" s="14" t="s">
        <v>924</v>
      </c>
      <c r="F803" s="7" t="n">
        <v>5000</v>
      </c>
    </row>
    <row r="804" customFormat="false" ht="15" hidden="false" customHeight="false" outlineLevel="0" collapsed="false">
      <c r="A804" s="2" t="s">
        <v>923</v>
      </c>
      <c r="B804" s="13" t="n">
        <v>46276</v>
      </c>
      <c r="C804" s="2" t="s">
        <v>82</v>
      </c>
      <c r="D804" s="2" t="n">
        <v>2</v>
      </c>
      <c r="E804" s="14" t="s">
        <v>924</v>
      </c>
      <c r="F804" s="7" t="n">
        <v>13000</v>
      </c>
    </row>
    <row r="805" customFormat="false" ht="15" hidden="false" customHeight="false" outlineLevel="0" collapsed="false">
      <c r="A805" s="2" t="s">
        <v>923</v>
      </c>
      <c r="B805" s="13" t="n">
        <v>46276</v>
      </c>
      <c r="C805" s="2" t="s">
        <v>132</v>
      </c>
      <c r="D805" s="2" t="n">
        <v>1</v>
      </c>
      <c r="E805" s="14" t="s">
        <v>924</v>
      </c>
      <c r="F805" s="7" t="n">
        <v>15000</v>
      </c>
    </row>
    <row r="806" customFormat="false" ht="15" hidden="false" customHeight="false" outlineLevel="0" collapsed="false">
      <c r="A806" s="2" t="s">
        <v>925</v>
      </c>
      <c r="B806" s="13" t="n">
        <v>46276</v>
      </c>
      <c r="C806" s="2" t="s">
        <v>112</v>
      </c>
      <c r="D806" s="2" t="n">
        <v>1</v>
      </c>
      <c r="E806" s="14" t="s">
        <v>926</v>
      </c>
      <c r="F806" s="7" t="n">
        <v>10000</v>
      </c>
    </row>
    <row r="807" customFormat="false" ht="15" hidden="false" customHeight="false" outlineLevel="0" collapsed="false">
      <c r="A807" s="2" t="s">
        <v>925</v>
      </c>
      <c r="B807" s="13" t="n">
        <v>46276</v>
      </c>
      <c r="C807" s="2" t="s">
        <v>101</v>
      </c>
      <c r="D807" s="2" t="n">
        <v>1</v>
      </c>
      <c r="E807" s="14" t="s">
        <v>926</v>
      </c>
      <c r="F807" s="7" t="n">
        <v>18000</v>
      </c>
    </row>
    <row r="808" customFormat="false" ht="15" hidden="false" customHeight="false" outlineLevel="0" collapsed="false">
      <c r="A808" s="2" t="s">
        <v>927</v>
      </c>
      <c r="B808" s="13" t="n">
        <v>46276</v>
      </c>
      <c r="C808" s="2" t="s">
        <v>101</v>
      </c>
      <c r="D808" s="2" t="n">
        <v>1</v>
      </c>
      <c r="E808" s="14" t="s">
        <v>928</v>
      </c>
      <c r="F808" s="7" t="n">
        <v>18000</v>
      </c>
    </row>
    <row r="809" customFormat="false" ht="15" hidden="false" customHeight="false" outlineLevel="0" collapsed="false">
      <c r="A809" s="2" t="s">
        <v>929</v>
      </c>
      <c r="B809" s="13" t="n">
        <v>46276</v>
      </c>
      <c r="C809" s="2" t="s">
        <v>108</v>
      </c>
      <c r="D809" s="2" t="n">
        <v>2</v>
      </c>
      <c r="E809" s="14" t="s">
        <v>850</v>
      </c>
      <c r="F809" s="7" t="n">
        <v>20000</v>
      </c>
    </row>
    <row r="810" customFormat="false" ht="15" hidden="false" customHeight="false" outlineLevel="0" collapsed="false">
      <c r="A810" s="2" t="s">
        <v>930</v>
      </c>
      <c r="B810" s="13" t="n">
        <v>46276</v>
      </c>
      <c r="C810" s="2" t="s">
        <v>79</v>
      </c>
      <c r="D810" s="2" t="n">
        <v>1</v>
      </c>
      <c r="E810" s="14" t="s">
        <v>617</v>
      </c>
      <c r="F810" s="7" t="n">
        <v>16000</v>
      </c>
    </row>
    <row r="811" customFormat="false" ht="15" hidden="false" customHeight="false" outlineLevel="0" collapsed="false">
      <c r="A811" s="2" t="s">
        <v>931</v>
      </c>
      <c r="B811" s="13" t="n">
        <v>46276</v>
      </c>
      <c r="C811" s="2" t="s">
        <v>126</v>
      </c>
      <c r="D811" s="2" t="n">
        <v>2</v>
      </c>
      <c r="E811" s="14" t="s">
        <v>354</v>
      </c>
      <c r="F811" s="7" t="n">
        <v>3000</v>
      </c>
    </row>
    <row r="812" customFormat="false" ht="15" hidden="false" customHeight="false" outlineLevel="0" collapsed="false">
      <c r="A812" s="2" t="s">
        <v>931</v>
      </c>
      <c r="B812" s="13" t="n">
        <v>46276</v>
      </c>
      <c r="C812" s="2" t="s">
        <v>89</v>
      </c>
      <c r="D812" s="2" t="n">
        <v>2</v>
      </c>
      <c r="E812" s="14" t="s">
        <v>354</v>
      </c>
      <c r="F812" s="7" t="n">
        <v>14000</v>
      </c>
    </row>
    <row r="813" customFormat="false" ht="15" hidden="false" customHeight="false" outlineLevel="0" collapsed="false">
      <c r="A813" s="2" t="s">
        <v>931</v>
      </c>
      <c r="B813" s="13" t="n">
        <v>46276</v>
      </c>
      <c r="C813" s="2" t="s">
        <v>84</v>
      </c>
      <c r="D813" s="2" t="n">
        <v>3</v>
      </c>
      <c r="E813" s="14" t="s">
        <v>354</v>
      </c>
      <c r="F813" s="7" t="n">
        <v>5000</v>
      </c>
    </row>
    <row r="814" customFormat="false" ht="15" hidden="false" customHeight="false" outlineLevel="0" collapsed="false">
      <c r="A814" s="2" t="s">
        <v>932</v>
      </c>
      <c r="B814" s="13" t="n">
        <v>46276</v>
      </c>
      <c r="C814" s="2" t="s">
        <v>112</v>
      </c>
      <c r="D814" s="2" t="n">
        <v>1</v>
      </c>
      <c r="E814" s="14" t="s">
        <v>933</v>
      </c>
      <c r="F814" s="7" t="n">
        <v>10000</v>
      </c>
    </row>
    <row r="815" customFormat="false" ht="15" hidden="false" customHeight="false" outlineLevel="0" collapsed="false">
      <c r="A815" s="2" t="s">
        <v>934</v>
      </c>
      <c r="B815" s="13" t="n">
        <v>46276</v>
      </c>
      <c r="C815" s="2" t="s">
        <v>101</v>
      </c>
      <c r="D815" s="2" t="n">
        <v>1</v>
      </c>
      <c r="E815" s="14" t="s">
        <v>445</v>
      </c>
      <c r="F815" s="7" t="n">
        <v>18000</v>
      </c>
    </row>
    <row r="816" customFormat="false" ht="15" hidden="false" customHeight="false" outlineLevel="0" collapsed="false">
      <c r="A816" s="2" t="s">
        <v>934</v>
      </c>
      <c r="B816" s="13" t="n">
        <v>46276</v>
      </c>
      <c r="C816" s="2" t="s">
        <v>84</v>
      </c>
      <c r="D816" s="2" t="n">
        <v>1</v>
      </c>
      <c r="E816" s="14" t="s">
        <v>445</v>
      </c>
      <c r="F816" s="7" t="n">
        <v>5000</v>
      </c>
    </row>
    <row r="817" customFormat="false" ht="15" hidden="false" customHeight="false" outlineLevel="0" collapsed="false">
      <c r="A817" s="2" t="s">
        <v>935</v>
      </c>
      <c r="B817" s="13" t="n">
        <v>46276</v>
      </c>
      <c r="C817" s="2" t="s">
        <v>126</v>
      </c>
      <c r="D817" s="2" t="n">
        <v>2</v>
      </c>
      <c r="E817" s="14" t="s">
        <v>936</v>
      </c>
      <c r="F817" s="7" t="n">
        <v>3000</v>
      </c>
    </row>
    <row r="818" customFormat="false" ht="15" hidden="false" customHeight="false" outlineLevel="0" collapsed="false">
      <c r="A818" s="2" t="s">
        <v>935</v>
      </c>
      <c r="B818" s="13" t="n">
        <v>46276</v>
      </c>
      <c r="C818" s="2" t="s">
        <v>81</v>
      </c>
      <c r="D818" s="2" t="n">
        <v>1</v>
      </c>
      <c r="E818" s="14" t="s">
        <v>936</v>
      </c>
      <c r="F818" s="7"/>
    </row>
    <row r="819" customFormat="false" ht="15" hidden="false" customHeight="false" outlineLevel="0" collapsed="false">
      <c r="A819" s="2" t="s">
        <v>935</v>
      </c>
      <c r="B819" s="13" t="n">
        <v>46276</v>
      </c>
      <c r="C819" s="2" t="s">
        <v>101</v>
      </c>
      <c r="D819" s="2" t="n">
        <v>1</v>
      </c>
      <c r="E819" s="14" t="s">
        <v>936</v>
      </c>
      <c r="F819" s="7" t="n">
        <v>18000</v>
      </c>
    </row>
    <row r="820" customFormat="false" ht="15" hidden="false" customHeight="false" outlineLevel="0" collapsed="false">
      <c r="A820" s="2" t="s">
        <v>937</v>
      </c>
      <c r="B820" s="13" t="n">
        <v>46276</v>
      </c>
      <c r="C820" s="2" t="s">
        <v>89</v>
      </c>
      <c r="D820" s="2" t="n">
        <v>1</v>
      </c>
      <c r="E820" s="14" t="s">
        <v>938</v>
      </c>
      <c r="F820" s="7" t="n">
        <v>14000</v>
      </c>
    </row>
    <row r="821" customFormat="false" ht="15" hidden="false" customHeight="false" outlineLevel="0" collapsed="false">
      <c r="A821" s="2" t="s">
        <v>937</v>
      </c>
      <c r="B821" s="13" t="n">
        <v>46276</v>
      </c>
      <c r="C821" s="2" t="s">
        <v>132</v>
      </c>
      <c r="D821" s="2" t="n">
        <v>1</v>
      </c>
      <c r="E821" s="14" t="s">
        <v>938</v>
      </c>
      <c r="F821" s="7" t="n">
        <v>15000</v>
      </c>
    </row>
    <row r="822" customFormat="false" ht="15" hidden="false" customHeight="false" outlineLevel="0" collapsed="false">
      <c r="A822" s="2" t="s">
        <v>937</v>
      </c>
      <c r="B822" s="13" t="n">
        <v>46276</v>
      </c>
      <c r="C822" s="2" t="s">
        <v>101</v>
      </c>
      <c r="D822" s="2" t="n">
        <v>2</v>
      </c>
      <c r="E822" s="14" t="s">
        <v>938</v>
      </c>
      <c r="F822" s="7" t="n">
        <v>18000</v>
      </c>
    </row>
    <row r="823" customFormat="false" ht="15" hidden="false" customHeight="false" outlineLevel="0" collapsed="false">
      <c r="A823" s="2" t="s">
        <v>939</v>
      </c>
      <c r="B823" s="13" t="n">
        <v>46276</v>
      </c>
      <c r="C823" s="2" t="s">
        <v>108</v>
      </c>
      <c r="D823" s="2" t="n">
        <v>1</v>
      </c>
      <c r="E823" s="14" t="s">
        <v>189</v>
      </c>
      <c r="F823" s="7" t="n">
        <v>20000</v>
      </c>
    </row>
    <row r="824" customFormat="false" ht="15" hidden="false" customHeight="false" outlineLevel="0" collapsed="false">
      <c r="A824" s="2" t="s">
        <v>940</v>
      </c>
      <c r="B824" s="13" t="n">
        <v>46276</v>
      </c>
      <c r="C824" s="2" t="s">
        <v>79</v>
      </c>
      <c r="D824" s="2" t="n">
        <v>1</v>
      </c>
      <c r="E824" s="14" t="s">
        <v>941</v>
      </c>
      <c r="F824" s="7" t="n">
        <v>16000</v>
      </c>
    </row>
    <row r="825" customFormat="false" ht="15" hidden="false" customHeight="false" outlineLevel="0" collapsed="false">
      <c r="A825" s="2" t="s">
        <v>940</v>
      </c>
      <c r="B825" s="13" t="n">
        <v>46276</v>
      </c>
      <c r="C825" s="2" t="s">
        <v>79</v>
      </c>
      <c r="D825" s="2" t="n">
        <v>1</v>
      </c>
      <c r="E825" s="14" t="s">
        <v>941</v>
      </c>
      <c r="F825" s="7" t="n">
        <v>16000</v>
      </c>
    </row>
    <row r="826" customFormat="false" ht="15" hidden="false" customHeight="false" outlineLevel="0" collapsed="false">
      <c r="A826" s="2" t="s">
        <v>940</v>
      </c>
      <c r="B826" s="13" t="n">
        <v>46276</v>
      </c>
      <c r="C826" s="2" t="s">
        <v>84</v>
      </c>
      <c r="D826" s="2" t="n">
        <v>1</v>
      </c>
      <c r="E826" s="14" t="s">
        <v>941</v>
      </c>
      <c r="F826" s="7" t="n">
        <v>5000</v>
      </c>
    </row>
    <row r="827" customFormat="false" ht="15" hidden="false" customHeight="false" outlineLevel="0" collapsed="false">
      <c r="A827" s="2" t="s">
        <v>942</v>
      </c>
      <c r="B827" s="13" t="n">
        <v>46276</v>
      </c>
      <c r="C827" s="2" t="s">
        <v>81</v>
      </c>
      <c r="D827" s="2" t="n">
        <v>1</v>
      </c>
      <c r="E827" s="14" t="s">
        <v>943</v>
      </c>
      <c r="F827" s="7" t="n">
        <v>15000</v>
      </c>
    </row>
    <row r="828" customFormat="false" ht="15" hidden="false" customHeight="false" outlineLevel="0" collapsed="false">
      <c r="A828" s="2" t="s">
        <v>944</v>
      </c>
      <c r="B828" s="13" t="n">
        <v>46276</v>
      </c>
      <c r="C828" s="2" t="s">
        <v>186</v>
      </c>
      <c r="D828" s="2" t="n">
        <v>1</v>
      </c>
      <c r="E828" s="14" t="s">
        <v>786</v>
      </c>
      <c r="F828" s="7" t="n">
        <v>7000</v>
      </c>
    </row>
    <row r="829" customFormat="false" ht="15" hidden="false" customHeight="false" outlineLevel="0" collapsed="false">
      <c r="A829" s="2" t="s">
        <v>944</v>
      </c>
      <c r="B829" s="13" t="n">
        <v>46276</v>
      </c>
      <c r="C829" s="2" t="s">
        <v>101</v>
      </c>
      <c r="D829" s="2" t="n">
        <v>1</v>
      </c>
      <c r="E829" s="14" t="s">
        <v>786</v>
      </c>
      <c r="F829" s="7" t="n">
        <v>18000</v>
      </c>
    </row>
    <row r="830" customFormat="false" ht="15" hidden="false" customHeight="false" outlineLevel="0" collapsed="false">
      <c r="A830" s="2" t="s">
        <v>944</v>
      </c>
      <c r="B830" s="13" t="n">
        <v>46276</v>
      </c>
      <c r="C830" s="2" t="s">
        <v>79</v>
      </c>
      <c r="D830" s="2" t="n">
        <v>1</v>
      </c>
      <c r="E830" s="14" t="s">
        <v>786</v>
      </c>
      <c r="F830" s="7" t="n">
        <v>16000</v>
      </c>
    </row>
    <row r="831" customFormat="false" ht="15" hidden="false" customHeight="false" outlineLevel="0" collapsed="false">
      <c r="A831" s="2" t="s">
        <v>945</v>
      </c>
      <c r="B831" s="13" t="n">
        <v>46276</v>
      </c>
      <c r="C831" s="2" t="s">
        <v>946</v>
      </c>
      <c r="D831" s="2" t="n">
        <v>1</v>
      </c>
      <c r="E831" s="14" t="s">
        <v>713</v>
      </c>
      <c r="F831" s="7" t="n">
        <v>18000</v>
      </c>
    </row>
    <row r="832" customFormat="false" ht="15" hidden="false" customHeight="false" outlineLevel="0" collapsed="false">
      <c r="A832" s="2" t="s">
        <v>947</v>
      </c>
      <c r="B832" s="13" t="n">
        <v>46276</v>
      </c>
      <c r="C832" s="2" t="s">
        <v>84</v>
      </c>
      <c r="D832" s="2" t="n">
        <v>2</v>
      </c>
      <c r="E832" s="14" t="s">
        <v>197</v>
      </c>
      <c r="F832" s="7" t="n">
        <v>5000</v>
      </c>
    </row>
    <row r="833" customFormat="false" ht="15" hidden="false" customHeight="false" outlineLevel="0" collapsed="false">
      <c r="A833" s="2" t="s">
        <v>947</v>
      </c>
      <c r="B833" s="13" t="n">
        <v>46276</v>
      </c>
      <c r="C833" s="2" t="s">
        <v>101</v>
      </c>
      <c r="D833" s="2" t="n">
        <v>1</v>
      </c>
      <c r="E833" s="14" t="s">
        <v>197</v>
      </c>
      <c r="F833" s="7" t="n">
        <v>18000</v>
      </c>
    </row>
    <row r="834" customFormat="false" ht="15" hidden="false" customHeight="false" outlineLevel="0" collapsed="false">
      <c r="A834" s="2" t="s">
        <v>947</v>
      </c>
      <c r="B834" s="13" t="n">
        <v>46276</v>
      </c>
      <c r="C834" s="2" t="s">
        <v>132</v>
      </c>
      <c r="D834" s="2" t="n">
        <v>1</v>
      </c>
      <c r="E834" s="14" t="s">
        <v>197</v>
      </c>
      <c r="F834" s="7" t="n">
        <v>15000</v>
      </c>
    </row>
    <row r="835" customFormat="false" ht="15" hidden="false" customHeight="false" outlineLevel="0" collapsed="false">
      <c r="A835" s="2" t="s">
        <v>948</v>
      </c>
      <c r="B835" s="13" t="n">
        <v>46276</v>
      </c>
      <c r="C835" s="2" t="s">
        <v>89</v>
      </c>
      <c r="D835" s="2" t="n">
        <v>2</v>
      </c>
      <c r="E835" s="14" t="s">
        <v>199</v>
      </c>
      <c r="F835" s="7" t="n">
        <v>14000</v>
      </c>
    </row>
    <row r="836" customFormat="false" ht="15" hidden="false" customHeight="false" outlineLevel="0" collapsed="false">
      <c r="A836" s="2" t="s">
        <v>948</v>
      </c>
      <c r="B836" s="13" t="n">
        <v>46276</v>
      </c>
      <c r="C836" s="2" t="s">
        <v>92</v>
      </c>
      <c r="D836" s="2" t="n">
        <v>1</v>
      </c>
      <c r="E836" s="14" t="s">
        <v>199</v>
      </c>
      <c r="F836" s="7"/>
    </row>
    <row r="837" customFormat="false" ht="15" hidden="false" customHeight="false" outlineLevel="0" collapsed="false">
      <c r="A837" s="2" t="s">
        <v>949</v>
      </c>
      <c r="B837" s="13" t="n">
        <v>46276</v>
      </c>
      <c r="C837" s="2" t="s">
        <v>79</v>
      </c>
      <c r="D837" s="2" t="n">
        <v>1</v>
      </c>
      <c r="E837" s="14" t="s">
        <v>95</v>
      </c>
      <c r="F837" s="7" t="n">
        <v>16000</v>
      </c>
    </row>
    <row r="838" customFormat="false" ht="15" hidden="false" customHeight="false" outlineLevel="0" collapsed="false">
      <c r="A838" s="2" t="s">
        <v>950</v>
      </c>
      <c r="B838" s="13" t="n">
        <v>46276</v>
      </c>
      <c r="C838" s="2" t="s">
        <v>81</v>
      </c>
      <c r="D838" s="2" t="n">
        <v>1</v>
      </c>
      <c r="E838" s="14" t="s">
        <v>951</v>
      </c>
      <c r="F838" s="7" t="n">
        <v>15000</v>
      </c>
    </row>
    <row r="839" customFormat="false" ht="15" hidden="false" customHeight="false" outlineLevel="0" collapsed="false">
      <c r="A839" s="2" t="s">
        <v>950</v>
      </c>
      <c r="B839" s="13" t="n">
        <v>46276</v>
      </c>
      <c r="C839" s="2" t="s">
        <v>89</v>
      </c>
      <c r="D839" s="2" t="n">
        <v>1</v>
      </c>
      <c r="E839" s="14" t="s">
        <v>951</v>
      </c>
      <c r="F839" s="7" t="n">
        <v>14000</v>
      </c>
    </row>
    <row r="840" customFormat="false" ht="15" hidden="false" customHeight="false" outlineLevel="0" collapsed="false">
      <c r="A840" s="2" t="s">
        <v>950</v>
      </c>
      <c r="B840" s="13" t="n">
        <v>46276</v>
      </c>
      <c r="C840" s="2" t="s">
        <v>186</v>
      </c>
      <c r="D840" s="2" t="n">
        <v>1</v>
      </c>
      <c r="E840" s="14" t="s">
        <v>951</v>
      </c>
      <c r="F840" s="7" t="n">
        <v>7000</v>
      </c>
    </row>
    <row r="841" customFormat="false" ht="15" hidden="false" customHeight="false" outlineLevel="0" collapsed="false">
      <c r="A841" s="2" t="s">
        <v>952</v>
      </c>
      <c r="B841" s="13" t="n">
        <v>46276</v>
      </c>
      <c r="C841" s="2" t="s">
        <v>101</v>
      </c>
      <c r="D841" s="2" t="n">
        <v>1</v>
      </c>
      <c r="E841" s="14" t="s">
        <v>953</v>
      </c>
      <c r="F841" s="7" t="n">
        <v>18000</v>
      </c>
    </row>
    <row r="842" customFormat="false" ht="15" hidden="false" customHeight="false" outlineLevel="0" collapsed="false">
      <c r="A842" s="2" t="s">
        <v>952</v>
      </c>
      <c r="B842" s="13" t="n">
        <v>46276</v>
      </c>
      <c r="C842" s="2" t="s">
        <v>186</v>
      </c>
      <c r="D842" s="2" t="n">
        <v>2</v>
      </c>
      <c r="E842" s="14" t="s">
        <v>953</v>
      </c>
      <c r="F842" s="7" t="n">
        <v>7000</v>
      </c>
    </row>
    <row r="843" customFormat="false" ht="15" hidden="false" customHeight="false" outlineLevel="0" collapsed="false">
      <c r="A843" s="2" t="s">
        <v>954</v>
      </c>
      <c r="B843" s="13" t="n">
        <v>46276</v>
      </c>
      <c r="C843" s="2" t="s">
        <v>84</v>
      </c>
      <c r="D843" s="2" t="n">
        <v>2</v>
      </c>
      <c r="E843" s="14" t="s">
        <v>883</v>
      </c>
      <c r="F843" s="7" t="n">
        <v>5000</v>
      </c>
    </row>
    <row r="844" customFormat="false" ht="15" hidden="false" customHeight="false" outlineLevel="0" collapsed="false">
      <c r="A844" s="2" t="s">
        <v>955</v>
      </c>
      <c r="B844" s="13" t="n">
        <v>46276</v>
      </c>
      <c r="C844" s="2" t="s">
        <v>101</v>
      </c>
      <c r="D844" s="2" t="n">
        <v>2</v>
      </c>
      <c r="E844" s="14" t="s">
        <v>211</v>
      </c>
      <c r="F844" s="7" t="n">
        <v>18000</v>
      </c>
    </row>
    <row r="845" customFormat="false" ht="15" hidden="false" customHeight="false" outlineLevel="0" collapsed="false">
      <c r="A845" s="2" t="s">
        <v>955</v>
      </c>
      <c r="B845" s="13" t="n">
        <v>46276</v>
      </c>
      <c r="C845" s="2" t="s">
        <v>186</v>
      </c>
      <c r="D845" s="2" t="n">
        <v>1</v>
      </c>
      <c r="E845" s="14" t="s">
        <v>211</v>
      </c>
      <c r="F845" s="7" t="n">
        <v>7000</v>
      </c>
    </row>
    <row r="846" customFormat="false" ht="15" hidden="false" customHeight="false" outlineLevel="0" collapsed="false">
      <c r="A846" s="2" t="s">
        <v>956</v>
      </c>
      <c r="B846" s="13" t="n">
        <v>46276</v>
      </c>
      <c r="C846" s="2" t="s">
        <v>89</v>
      </c>
      <c r="D846" s="2" t="n">
        <v>1</v>
      </c>
      <c r="E846" s="14" t="s">
        <v>215</v>
      </c>
      <c r="F846" s="7" t="n">
        <v>14000</v>
      </c>
    </row>
    <row r="847" customFormat="false" ht="15" hidden="false" customHeight="false" outlineLevel="0" collapsed="false">
      <c r="A847" s="2" t="s">
        <v>957</v>
      </c>
      <c r="B847" s="13" t="n">
        <v>46276</v>
      </c>
      <c r="C847" s="2" t="s">
        <v>82</v>
      </c>
      <c r="D847" s="2" t="n">
        <v>1</v>
      </c>
      <c r="E847" s="14" t="s">
        <v>384</v>
      </c>
      <c r="F847" s="7" t="n">
        <v>13000</v>
      </c>
    </row>
    <row r="848" customFormat="false" ht="15" hidden="false" customHeight="false" outlineLevel="0" collapsed="false">
      <c r="A848" s="2" t="s">
        <v>958</v>
      </c>
      <c r="B848" s="13" t="n">
        <v>46276</v>
      </c>
      <c r="C848" s="2" t="s">
        <v>132</v>
      </c>
      <c r="D848" s="2" t="n">
        <v>2</v>
      </c>
      <c r="E848" s="14" t="s">
        <v>959</v>
      </c>
      <c r="F848" s="7" t="n">
        <v>15000</v>
      </c>
    </row>
    <row r="849" customFormat="false" ht="15" hidden="false" customHeight="false" outlineLevel="0" collapsed="false">
      <c r="A849" s="2" t="s">
        <v>960</v>
      </c>
      <c r="B849" s="13" t="n">
        <v>46276</v>
      </c>
      <c r="C849" s="2" t="s">
        <v>84</v>
      </c>
      <c r="D849" s="2" t="n">
        <v>2</v>
      </c>
      <c r="E849" s="14" t="s">
        <v>569</v>
      </c>
      <c r="F849" s="7" t="n">
        <v>5000</v>
      </c>
    </row>
    <row r="850" customFormat="false" ht="15" hidden="false" customHeight="false" outlineLevel="0" collapsed="false">
      <c r="A850" s="2" t="s">
        <v>960</v>
      </c>
      <c r="B850" s="13" t="n">
        <v>46276</v>
      </c>
      <c r="C850" s="2" t="s">
        <v>89</v>
      </c>
      <c r="D850" s="2" t="n">
        <v>1</v>
      </c>
      <c r="E850" s="14" t="s">
        <v>569</v>
      </c>
      <c r="F850" s="7" t="n">
        <v>14000</v>
      </c>
    </row>
    <row r="851" customFormat="false" ht="15" hidden="false" customHeight="false" outlineLevel="0" collapsed="false">
      <c r="A851" s="2" t="s">
        <v>961</v>
      </c>
      <c r="B851" s="13" t="n">
        <v>46276</v>
      </c>
      <c r="C851" s="2" t="s">
        <v>89</v>
      </c>
      <c r="D851" s="2" t="n">
        <v>1</v>
      </c>
      <c r="E851" s="14" t="s">
        <v>962</v>
      </c>
      <c r="F851" s="7" t="n">
        <v>14000</v>
      </c>
    </row>
    <row r="852" customFormat="false" ht="15" hidden="false" customHeight="false" outlineLevel="0" collapsed="false">
      <c r="A852" s="2" t="s">
        <v>961</v>
      </c>
      <c r="B852" s="13" t="n">
        <v>46276</v>
      </c>
      <c r="C852" s="2" t="s">
        <v>132</v>
      </c>
      <c r="D852" s="2" t="n">
        <v>1</v>
      </c>
      <c r="E852" s="14" t="s">
        <v>962</v>
      </c>
      <c r="F852" s="7" t="n">
        <v>15000</v>
      </c>
    </row>
    <row r="853" customFormat="false" ht="15" hidden="false" customHeight="false" outlineLevel="0" collapsed="false">
      <c r="A853" s="2" t="s">
        <v>963</v>
      </c>
      <c r="B853" s="13" t="n">
        <v>46276</v>
      </c>
      <c r="C853" s="2" t="s">
        <v>132</v>
      </c>
      <c r="D853" s="2" t="n">
        <v>1</v>
      </c>
      <c r="E853" s="14" t="s">
        <v>964</v>
      </c>
      <c r="F853" s="7" t="n">
        <v>15000</v>
      </c>
    </row>
    <row r="854" customFormat="false" ht="15" hidden="false" customHeight="false" outlineLevel="0" collapsed="false">
      <c r="A854" s="2" t="s">
        <v>963</v>
      </c>
      <c r="B854" s="13" t="n">
        <v>46276</v>
      </c>
      <c r="C854" s="2" t="s">
        <v>108</v>
      </c>
      <c r="D854" s="2" t="n">
        <v>2</v>
      </c>
      <c r="E854" s="14" t="s">
        <v>964</v>
      </c>
      <c r="F854" s="7" t="n">
        <v>20000</v>
      </c>
    </row>
    <row r="855" customFormat="false" ht="15" hidden="false" customHeight="false" outlineLevel="0" collapsed="false">
      <c r="A855" s="2" t="s">
        <v>965</v>
      </c>
      <c r="B855" s="13" t="n">
        <v>46276</v>
      </c>
      <c r="C855" s="2" t="s">
        <v>79</v>
      </c>
      <c r="D855" s="2" t="n">
        <v>1</v>
      </c>
      <c r="E855" s="14" t="s">
        <v>966</v>
      </c>
      <c r="F855" s="7" t="n">
        <v>16000</v>
      </c>
    </row>
    <row r="856" customFormat="false" ht="15" hidden="false" customHeight="false" outlineLevel="0" collapsed="false">
      <c r="A856" s="2" t="s">
        <v>967</v>
      </c>
      <c r="B856" s="13" t="n">
        <v>46276</v>
      </c>
      <c r="C856" s="2" t="s">
        <v>79</v>
      </c>
      <c r="D856" s="2" t="n">
        <v>1</v>
      </c>
      <c r="E856" s="14" t="s">
        <v>220</v>
      </c>
      <c r="F856" s="7" t="n">
        <v>16000</v>
      </c>
    </row>
    <row r="857" customFormat="false" ht="15" hidden="false" customHeight="false" outlineLevel="0" collapsed="false">
      <c r="A857" s="2" t="s">
        <v>967</v>
      </c>
      <c r="B857" s="13" t="n">
        <v>46276</v>
      </c>
      <c r="C857" s="2" t="s">
        <v>84</v>
      </c>
      <c r="D857" s="2" t="n">
        <v>2</v>
      </c>
      <c r="E857" s="14" t="s">
        <v>220</v>
      </c>
      <c r="F857" s="7" t="n">
        <v>5000</v>
      </c>
    </row>
    <row r="858" customFormat="false" ht="15" hidden="false" customHeight="false" outlineLevel="0" collapsed="false">
      <c r="A858" s="2" t="s">
        <v>968</v>
      </c>
      <c r="B858" s="13" t="n">
        <v>46276</v>
      </c>
      <c r="C858" s="2" t="s">
        <v>84</v>
      </c>
      <c r="D858" s="2" t="n">
        <v>2</v>
      </c>
      <c r="E858" s="14" t="s">
        <v>313</v>
      </c>
      <c r="F858" s="7" t="n">
        <v>5000</v>
      </c>
    </row>
    <row r="859" customFormat="false" ht="15" hidden="false" customHeight="false" outlineLevel="0" collapsed="false">
      <c r="A859" s="2" t="s">
        <v>968</v>
      </c>
      <c r="B859" s="13" t="n">
        <v>46276</v>
      </c>
      <c r="C859" s="2" t="s">
        <v>89</v>
      </c>
      <c r="D859" s="2" t="n">
        <v>1</v>
      </c>
      <c r="E859" s="14" t="s">
        <v>313</v>
      </c>
      <c r="F859" s="7" t="n">
        <v>14000</v>
      </c>
    </row>
    <row r="860" customFormat="false" ht="15" hidden="false" customHeight="false" outlineLevel="0" collapsed="false">
      <c r="A860" s="2" t="s">
        <v>969</v>
      </c>
      <c r="B860" s="13" t="n">
        <v>46276</v>
      </c>
      <c r="C860" s="2" t="s">
        <v>84</v>
      </c>
      <c r="D860" s="2" t="n">
        <v>1</v>
      </c>
      <c r="E860" s="14" t="s">
        <v>586</v>
      </c>
      <c r="F860" s="7" t="n">
        <v>5000</v>
      </c>
    </row>
    <row r="861" customFormat="false" ht="15" hidden="false" customHeight="false" outlineLevel="0" collapsed="false">
      <c r="A861" s="2" t="s">
        <v>969</v>
      </c>
      <c r="B861" s="13" t="n">
        <v>46276</v>
      </c>
      <c r="C861" s="2" t="s">
        <v>132</v>
      </c>
      <c r="D861" s="2" t="n">
        <v>2</v>
      </c>
      <c r="E861" s="14" t="s">
        <v>586</v>
      </c>
      <c r="F861" s="7" t="n">
        <v>15000</v>
      </c>
    </row>
    <row r="862" customFormat="false" ht="15" hidden="false" customHeight="false" outlineLevel="0" collapsed="false">
      <c r="A862" s="2" t="s">
        <v>970</v>
      </c>
      <c r="B862" s="13" t="n">
        <v>46276</v>
      </c>
      <c r="C862" s="2" t="s">
        <v>112</v>
      </c>
      <c r="D862" s="2" t="n">
        <v>1</v>
      </c>
      <c r="E862" s="14" t="s">
        <v>232</v>
      </c>
      <c r="F862" s="7" t="n">
        <v>10000</v>
      </c>
    </row>
    <row r="863" customFormat="false" ht="15" hidden="false" customHeight="false" outlineLevel="0" collapsed="false">
      <c r="A863" s="2" t="s">
        <v>970</v>
      </c>
      <c r="B863" s="13" t="n">
        <v>46276</v>
      </c>
      <c r="C863" s="2" t="s">
        <v>84</v>
      </c>
      <c r="D863" s="2" t="n">
        <v>1</v>
      </c>
      <c r="E863" s="14" t="s">
        <v>232</v>
      </c>
      <c r="F863" s="7" t="n">
        <v>5000</v>
      </c>
    </row>
    <row r="864" customFormat="false" ht="15" hidden="false" customHeight="false" outlineLevel="0" collapsed="false">
      <c r="A864" s="2" t="s">
        <v>971</v>
      </c>
      <c r="B864" s="13" t="n">
        <v>46276</v>
      </c>
      <c r="C864" s="2" t="s">
        <v>126</v>
      </c>
      <c r="D864" s="2" t="n">
        <v>1</v>
      </c>
      <c r="E864" s="14" t="s">
        <v>908</v>
      </c>
      <c r="F864" s="7" t="n">
        <v>3000</v>
      </c>
    </row>
    <row r="865" customFormat="false" ht="15" hidden="false" customHeight="false" outlineLevel="0" collapsed="false">
      <c r="A865" s="2" t="s">
        <v>971</v>
      </c>
      <c r="B865" s="13" t="n">
        <v>46276</v>
      </c>
      <c r="C865" s="2" t="s">
        <v>101</v>
      </c>
      <c r="D865" s="2" t="n">
        <v>1</v>
      </c>
      <c r="E865" s="14" t="s">
        <v>908</v>
      </c>
      <c r="F865" s="7" t="n">
        <v>18000</v>
      </c>
    </row>
    <row r="866" customFormat="false" ht="15" hidden="false" customHeight="false" outlineLevel="0" collapsed="false">
      <c r="A866" s="2" t="s">
        <v>972</v>
      </c>
      <c r="B866" s="13" t="n">
        <v>46276</v>
      </c>
      <c r="C866" s="2" t="s">
        <v>132</v>
      </c>
      <c r="D866" s="2" t="n">
        <v>1</v>
      </c>
      <c r="E866" s="14" t="s">
        <v>237</v>
      </c>
      <c r="F866" s="7" t="n">
        <v>15000</v>
      </c>
    </row>
    <row r="867" customFormat="false" ht="15" hidden="false" customHeight="false" outlineLevel="0" collapsed="false">
      <c r="A867" s="2" t="s">
        <v>972</v>
      </c>
      <c r="B867" s="13" t="n">
        <v>46276</v>
      </c>
      <c r="C867" s="2" t="s">
        <v>101</v>
      </c>
      <c r="D867" s="2" t="n">
        <v>1</v>
      </c>
      <c r="E867" s="14" t="s">
        <v>237</v>
      </c>
      <c r="F867" s="7" t="n">
        <v>18000</v>
      </c>
    </row>
    <row r="868" customFormat="false" ht="15" hidden="false" customHeight="false" outlineLevel="0" collapsed="false">
      <c r="A868" s="2" t="s">
        <v>973</v>
      </c>
      <c r="B868" s="13" t="n">
        <v>46276</v>
      </c>
      <c r="C868" s="2" t="s">
        <v>132</v>
      </c>
      <c r="D868" s="2" t="n">
        <v>3</v>
      </c>
      <c r="E868" s="14" t="s">
        <v>239</v>
      </c>
      <c r="F868" s="7" t="n">
        <v>15000</v>
      </c>
    </row>
    <row r="869" customFormat="false" ht="15" hidden="false" customHeight="false" outlineLevel="0" collapsed="false">
      <c r="A869" s="2" t="s">
        <v>974</v>
      </c>
      <c r="B869" s="13" t="n">
        <v>46276</v>
      </c>
      <c r="C869" s="2" t="s">
        <v>84</v>
      </c>
      <c r="D869" s="2" t="n">
        <v>2</v>
      </c>
      <c r="E869" s="14" t="s">
        <v>150</v>
      </c>
      <c r="F869" s="7" t="n">
        <v>5000</v>
      </c>
    </row>
    <row r="870" customFormat="false" ht="15" hidden="false" customHeight="false" outlineLevel="0" collapsed="false">
      <c r="A870" s="2" t="s">
        <v>974</v>
      </c>
      <c r="B870" s="13" t="n">
        <v>46276</v>
      </c>
      <c r="C870" s="2" t="s">
        <v>82</v>
      </c>
      <c r="D870" s="2" t="n">
        <v>2</v>
      </c>
      <c r="E870" s="14" t="s">
        <v>150</v>
      </c>
      <c r="F870" s="7" t="n">
        <v>13000</v>
      </c>
    </row>
    <row r="871" customFormat="false" ht="15" hidden="false" customHeight="false" outlineLevel="0" collapsed="false">
      <c r="A871" s="2" t="s">
        <v>974</v>
      </c>
      <c r="B871" s="13" t="n">
        <v>46276</v>
      </c>
      <c r="C871" s="2" t="s">
        <v>81</v>
      </c>
      <c r="D871" s="2" t="n">
        <v>1</v>
      </c>
      <c r="E871" s="14" t="s">
        <v>150</v>
      </c>
      <c r="F871" s="7" t="n">
        <v>15000</v>
      </c>
    </row>
    <row r="872" customFormat="false" ht="15" hidden="false" customHeight="false" outlineLevel="0" collapsed="false">
      <c r="A872" s="2" t="s">
        <v>975</v>
      </c>
      <c r="B872" s="13" t="n">
        <v>46276</v>
      </c>
      <c r="C872" s="2" t="s">
        <v>84</v>
      </c>
      <c r="D872" s="2" t="n">
        <v>2</v>
      </c>
      <c r="E872" s="14" t="s">
        <v>976</v>
      </c>
      <c r="F872" s="7" t="n">
        <v>5000</v>
      </c>
    </row>
    <row r="873" customFormat="false" ht="15" hidden="false" customHeight="false" outlineLevel="0" collapsed="false">
      <c r="A873" s="2" t="s">
        <v>975</v>
      </c>
      <c r="B873" s="13" t="n">
        <v>46276</v>
      </c>
      <c r="C873" s="2" t="s">
        <v>101</v>
      </c>
      <c r="D873" s="2" t="n">
        <v>2</v>
      </c>
      <c r="E873" s="14" t="s">
        <v>976</v>
      </c>
      <c r="F873" s="7" t="n">
        <v>18000</v>
      </c>
    </row>
    <row r="874" customFormat="false" ht="15" hidden="false" customHeight="false" outlineLevel="0" collapsed="false">
      <c r="A874" s="2" t="s">
        <v>977</v>
      </c>
      <c r="B874" s="13" t="n">
        <v>46276</v>
      </c>
      <c r="C874" s="2" t="s">
        <v>84</v>
      </c>
      <c r="D874" s="2" t="n">
        <v>1</v>
      </c>
      <c r="E874" s="14" t="s">
        <v>241</v>
      </c>
      <c r="F874" s="7" t="n">
        <v>5000</v>
      </c>
    </row>
    <row r="875" customFormat="false" ht="15" hidden="false" customHeight="false" outlineLevel="0" collapsed="false">
      <c r="A875" s="2" t="s">
        <v>977</v>
      </c>
      <c r="B875" s="13" t="n">
        <v>46276</v>
      </c>
      <c r="C875" s="2" t="s">
        <v>101</v>
      </c>
      <c r="D875" s="2" t="n">
        <v>1</v>
      </c>
      <c r="E875" s="14" t="s">
        <v>241</v>
      </c>
      <c r="F875" s="7" t="n">
        <v>18000</v>
      </c>
    </row>
    <row r="876" customFormat="false" ht="15" hidden="false" customHeight="false" outlineLevel="0" collapsed="false">
      <c r="A876" s="2" t="s">
        <v>978</v>
      </c>
      <c r="B876" s="13" t="n">
        <v>46276</v>
      </c>
      <c r="C876" s="2" t="s">
        <v>108</v>
      </c>
      <c r="D876" s="2" t="n">
        <v>1</v>
      </c>
      <c r="E876" s="14" t="s">
        <v>247</v>
      </c>
      <c r="F876" s="7" t="n">
        <v>20000</v>
      </c>
    </row>
    <row r="877" customFormat="false" ht="15" hidden="false" customHeight="false" outlineLevel="0" collapsed="false">
      <c r="A877" s="2" t="s">
        <v>979</v>
      </c>
      <c r="B877" s="13" t="n">
        <v>46276</v>
      </c>
      <c r="C877" s="2" t="s">
        <v>92</v>
      </c>
      <c r="D877" s="2" t="n">
        <v>2</v>
      </c>
      <c r="E877" s="14" t="s">
        <v>980</v>
      </c>
      <c r="F877" s="7" t="n">
        <v>4000</v>
      </c>
    </row>
    <row r="878" customFormat="false" ht="15" hidden="false" customHeight="false" outlineLevel="0" collapsed="false">
      <c r="A878" s="2" t="s">
        <v>979</v>
      </c>
      <c r="B878" s="13" t="n">
        <v>46276</v>
      </c>
      <c r="C878" s="2" t="s">
        <v>101</v>
      </c>
      <c r="D878" s="2" t="n">
        <v>1</v>
      </c>
      <c r="E878" s="14" t="s">
        <v>980</v>
      </c>
      <c r="F878" s="7" t="n">
        <v>18000</v>
      </c>
    </row>
    <row r="879" customFormat="false" ht="15" hidden="false" customHeight="false" outlineLevel="0" collapsed="false">
      <c r="A879" s="2" t="s">
        <v>979</v>
      </c>
      <c r="B879" s="13" t="n">
        <v>46276</v>
      </c>
      <c r="C879" s="2" t="s">
        <v>108</v>
      </c>
      <c r="D879" s="2" t="n">
        <v>1</v>
      </c>
      <c r="E879" s="14" t="s">
        <v>980</v>
      </c>
      <c r="F879" s="7" t="n">
        <v>20000</v>
      </c>
    </row>
    <row r="880" customFormat="false" ht="15" hidden="false" customHeight="false" outlineLevel="0" collapsed="false">
      <c r="A880" s="2" t="s">
        <v>981</v>
      </c>
      <c r="B880" s="13" t="n">
        <v>46276</v>
      </c>
      <c r="C880" s="2" t="s">
        <v>101</v>
      </c>
      <c r="D880" s="2" t="n">
        <v>1</v>
      </c>
      <c r="E880" s="14" t="s">
        <v>754</v>
      </c>
      <c r="F880" s="7" t="n">
        <v>18000</v>
      </c>
    </row>
    <row r="881" customFormat="false" ht="15" hidden="false" customHeight="false" outlineLevel="0" collapsed="false">
      <c r="A881" s="2" t="s">
        <v>982</v>
      </c>
      <c r="B881" s="13" t="n">
        <v>46276</v>
      </c>
      <c r="C881" s="2" t="s">
        <v>101</v>
      </c>
      <c r="D881" s="2" t="n">
        <v>1</v>
      </c>
      <c r="E881" s="14" t="s">
        <v>335</v>
      </c>
      <c r="F881" s="7" t="n">
        <v>18000</v>
      </c>
    </row>
    <row r="882" customFormat="false" ht="15" hidden="false" customHeight="false" outlineLevel="0" collapsed="false">
      <c r="A882" s="2" t="s">
        <v>983</v>
      </c>
      <c r="B882" s="13" t="n">
        <v>46276</v>
      </c>
      <c r="C882" s="2" t="s">
        <v>126</v>
      </c>
      <c r="D882" s="2" t="n">
        <v>1</v>
      </c>
      <c r="E882" s="14" t="s">
        <v>837</v>
      </c>
      <c r="F882" s="7" t="n">
        <v>3000</v>
      </c>
    </row>
    <row r="883" customFormat="false" ht="15" hidden="false" customHeight="false" outlineLevel="0" collapsed="false">
      <c r="A883" s="2" t="s">
        <v>984</v>
      </c>
      <c r="B883" s="13" t="n">
        <v>46276</v>
      </c>
      <c r="C883" s="2" t="s">
        <v>132</v>
      </c>
      <c r="D883" s="2" t="n">
        <v>1</v>
      </c>
      <c r="E883" s="14" t="s">
        <v>985</v>
      </c>
      <c r="F883" s="7" t="n">
        <v>15000</v>
      </c>
    </row>
    <row r="884" customFormat="false" ht="15" hidden="false" customHeight="false" outlineLevel="0" collapsed="false">
      <c r="A884" s="2" t="s">
        <v>986</v>
      </c>
      <c r="B884" s="13" t="n">
        <v>46277</v>
      </c>
      <c r="C884" s="2" t="s">
        <v>82</v>
      </c>
      <c r="D884" s="2" t="n">
        <v>1</v>
      </c>
      <c r="E884" s="14" t="s">
        <v>987</v>
      </c>
      <c r="F884" s="7" t="n">
        <v>13000</v>
      </c>
    </row>
    <row r="885" customFormat="false" ht="15" hidden="false" customHeight="false" outlineLevel="0" collapsed="false">
      <c r="A885" s="2" t="s">
        <v>986</v>
      </c>
      <c r="B885" s="13" t="n">
        <v>46277</v>
      </c>
      <c r="C885" s="2" t="s">
        <v>79</v>
      </c>
      <c r="D885" s="2" t="n">
        <v>1</v>
      </c>
      <c r="E885" s="14" t="s">
        <v>987</v>
      </c>
      <c r="F885" s="7" t="n">
        <v>16000</v>
      </c>
    </row>
    <row r="886" customFormat="false" ht="15" hidden="false" customHeight="false" outlineLevel="0" collapsed="false">
      <c r="A886" s="2" t="s">
        <v>988</v>
      </c>
      <c r="B886" s="13" t="n">
        <v>46277</v>
      </c>
      <c r="C886" s="2" t="s">
        <v>84</v>
      </c>
      <c r="D886" s="2" t="n">
        <v>3</v>
      </c>
      <c r="E886" s="14" t="s">
        <v>989</v>
      </c>
      <c r="F886" s="7" t="n">
        <v>5000</v>
      </c>
    </row>
    <row r="887" customFormat="false" ht="15" hidden="false" customHeight="false" outlineLevel="0" collapsed="false">
      <c r="A887" s="2" t="s">
        <v>990</v>
      </c>
      <c r="B887" s="13" t="n">
        <v>46277</v>
      </c>
      <c r="C887" s="2" t="s">
        <v>108</v>
      </c>
      <c r="D887" s="2" t="n">
        <v>1</v>
      </c>
      <c r="E887" s="14" t="s">
        <v>989</v>
      </c>
      <c r="F887" s="7" t="n">
        <v>20000</v>
      </c>
    </row>
    <row r="888" customFormat="false" ht="15" hidden="false" customHeight="false" outlineLevel="0" collapsed="false">
      <c r="A888" s="2" t="s">
        <v>991</v>
      </c>
      <c r="B888" s="13" t="n">
        <v>46277</v>
      </c>
      <c r="C888" s="2" t="s">
        <v>132</v>
      </c>
      <c r="D888" s="2" t="n">
        <v>2</v>
      </c>
      <c r="E888" s="14" t="s">
        <v>992</v>
      </c>
      <c r="F888" s="7" t="n">
        <v>15000</v>
      </c>
    </row>
    <row r="889" customFormat="false" ht="15" hidden="false" customHeight="false" outlineLevel="0" collapsed="false">
      <c r="A889" s="2" t="s">
        <v>991</v>
      </c>
      <c r="B889" s="13" t="n">
        <v>46277</v>
      </c>
      <c r="C889" s="2" t="s">
        <v>92</v>
      </c>
      <c r="D889" s="2" t="n">
        <v>2</v>
      </c>
      <c r="E889" s="14" t="s">
        <v>992</v>
      </c>
      <c r="F889" s="7" t="n">
        <v>4000</v>
      </c>
    </row>
    <row r="890" customFormat="false" ht="15" hidden="false" customHeight="false" outlineLevel="0" collapsed="false">
      <c r="A890" s="2" t="s">
        <v>993</v>
      </c>
      <c r="B890" s="13" t="n">
        <v>46277</v>
      </c>
      <c r="C890" s="2" t="s">
        <v>132</v>
      </c>
      <c r="D890" s="2" t="n">
        <v>1</v>
      </c>
      <c r="E890" s="14" t="s">
        <v>994</v>
      </c>
      <c r="F890" s="7" t="n">
        <v>15000</v>
      </c>
    </row>
    <row r="891" customFormat="false" ht="15" hidden="false" customHeight="false" outlineLevel="0" collapsed="false">
      <c r="A891" s="2" t="s">
        <v>995</v>
      </c>
      <c r="B891" s="13" t="n">
        <v>46277</v>
      </c>
      <c r="C891" s="2" t="s">
        <v>84</v>
      </c>
      <c r="D891" s="2" t="n">
        <v>2</v>
      </c>
      <c r="E891" s="14" t="s">
        <v>996</v>
      </c>
      <c r="F891" s="7" t="n">
        <v>5000</v>
      </c>
    </row>
    <row r="892" customFormat="false" ht="15" hidden="false" customHeight="false" outlineLevel="0" collapsed="false">
      <c r="A892" s="2" t="s">
        <v>995</v>
      </c>
      <c r="B892" s="13" t="n">
        <v>46277</v>
      </c>
      <c r="C892" s="2" t="s">
        <v>89</v>
      </c>
      <c r="D892" s="2" t="n">
        <v>1</v>
      </c>
      <c r="E892" s="14" t="s">
        <v>996</v>
      </c>
      <c r="F892" s="7" t="n">
        <v>14000</v>
      </c>
    </row>
    <row r="893" customFormat="false" ht="15" hidden="false" customHeight="false" outlineLevel="0" collapsed="false">
      <c r="A893" s="2" t="s">
        <v>995</v>
      </c>
      <c r="B893" s="13" t="n">
        <v>46277</v>
      </c>
      <c r="C893" s="2" t="s">
        <v>101</v>
      </c>
      <c r="D893" s="2" t="n">
        <v>3</v>
      </c>
      <c r="E893" s="14" t="s">
        <v>996</v>
      </c>
      <c r="F893" s="7" t="n">
        <v>18000</v>
      </c>
    </row>
    <row r="894" customFormat="false" ht="15" hidden="false" customHeight="false" outlineLevel="0" collapsed="false">
      <c r="A894" s="2" t="s">
        <v>997</v>
      </c>
      <c r="B894" s="13" t="n">
        <v>46277</v>
      </c>
      <c r="C894" s="2" t="s">
        <v>81</v>
      </c>
      <c r="D894" s="2" t="n">
        <v>2</v>
      </c>
      <c r="E894" s="14" t="s">
        <v>998</v>
      </c>
      <c r="F894" s="7" t="n">
        <v>15000</v>
      </c>
    </row>
    <row r="895" customFormat="false" ht="15" hidden="false" customHeight="false" outlineLevel="0" collapsed="false">
      <c r="A895" s="2" t="s">
        <v>999</v>
      </c>
      <c r="B895" s="13" t="n">
        <v>46277</v>
      </c>
      <c r="C895" s="2" t="s">
        <v>84</v>
      </c>
      <c r="D895" s="2" t="n">
        <v>1</v>
      </c>
      <c r="E895" s="14" t="s">
        <v>1000</v>
      </c>
      <c r="F895" s="7" t="n">
        <v>5000</v>
      </c>
    </row>
    <row r="896" customFormat="false" ht="15" hidden="false" customHeight="false" outlineLevel="0" collapsed="false">
      <c r="A896" s="2" t="s">
        <v>1001</v>
      </c>
      <c r="B896" s="13" t="n">
        <v>46277</v>
      </c>
      <c r="C896" s="2" t="s">
        <v>101</v>
      </c>
      <c r="D896" s="2" t="n">
        <v>1</v>
      </c>
      <c r="E896" s="14" t="s">
        <v>1002</v>
      </c>
      <c r="F896" s="7" t="n">
        <v>18000</v>
      </c>
    </row>
    <row r="897" customFormat="false" ht="15" hidden="false" customHeight="false" outlineLevel="0" collapsed="false">
      <c r="A897" s="2" t="s">
        <v>1001</v>
      </c>
      <c r="B897" s="13" t="n">
        <v>46277</v>
      </c>
      <c r="C897" s="2" t="s">
        <v>81</v>
      </c>
      <c r="D897" s="2" t="n">
        <v>1</v>
      </c>
      <c r="E897" s="14" t="s">
        <v>1002</v>
      </c>
      <c r="F897" s="7" t="n">
        <v>15000</v>
      </c>
    </row>
    <row r="898" customFormat="false" ht="15" hidden="false" customHeight="false" outlineLevel="0" collapsed="false">
      <c r="A898" s="2" t="s">
        <v>1003</v>
      </c>
      <c r="B898" s="13" t="n">
        <v>46277</v>
      </c>
      <c r="C898" s="2" t="s">
        <v>82</v>
      </c>
      <c r="D898" s="2" t="n">
        <v>1</v>
      </c>
      <c r="E898" s="14" t="s">
        <v>772</v>
      </c>
      <c r="F898" s="7" t="n">
        <v>13000</v>
      </c>
    </row>
    <row r="899" customFormat="false" ht="15" hidden="false" customHeight="false" outlineLevel="0" collapsed="false">
      <c r="A899" s="2" t="s">
        <v>1004</v>
      </c>
      <c r="B899" s="13" t="n">
        <v>46277</v>
      </c>
      <c r="C899" s="2" t="s">
        <v>92</v>
      </c>
      <c r="D899" s="2" t="n">
        <v>2</v>
      </c>
      <c r="E899" s="14" t="s">
        <v>177</v>
      </c>
      <c r="F899" s="7" t="n">
        <v>4000</v>
      </c>
    </row>
    <row r="900" customFormat="false" ht="15" hidden="false" customHeight="false" outlineLevel="0" collapsed="false">
      <c r="A900" s="2" t="s">
        <v>1005</v>
      </c>
      <c r="B900" s="13" t="n">
        <v>46277</v>
      </c>
      <c r="C900" s="2" t="s">
        <v>81</v>
      </c>
      <c r="D900" s="2" t="n">
        <v>1</v>
      </c>
      <c r="E900" s="14" t="s">
        <v>1006</v>
      </c>
      <c r="F900" s="7" t="n">
        <v>15000</v>
      </c>
    </row>
    <row r="901" customFormat="false" ht="15" hidden="false" customHeight="false" outlineLevel="0" collapsed="false">
      <c r="A901" s="2" t="s">
        <v>1007</v>
      </c>
      <c r="B901" s="13" t="n">
        <v>46277</v>
      </c>
      <c r="C901" s="2" t="s">
        <v>84</v>
      </c>
      <c r="D901" s="2" t="n">
        <v>2</v>
      </c>
      <c r="E901" s="14" t="s">
        <v>1008</v>
      </c>
      <c r="F901" s="7" t="n">
        <v>5000</v>
      </c>
    </row>
    <row r="902" customFormat="false" ht="15" hidden="false" customHeight="false" outlineLevel="0" collapsed="false">
      <c r="A902" s="2" t="s">
        <v>1009</v>
      </c>
      <c r="B902" s="13" t="n">
        <v>46277</v>
      </c>
      <c r="C902" s="2" t="s">
        <v>101</v>
      </c>
      <c r="D902" s="2" t="n">
        <v>1</v>
      </c>
      <c r="E902" s="14" t="s">
        <v>699</v>
      </c>
      <c r="F902" s="7" t="n">
        <v>18000</v>
      </c>
    </row>
    <row r="903" customFormat="false" ht="15" hidden="false" customHeight="false" outlineLevel="0" collapsed="false">
      <c r="A903" s="2" t="s">
        <v>1009</v>
      </c>
      <c r="B903" s="13" t="n">
        <v>46277</v>
      </c>
      <c r="C903" s="2" t="s">
        <v>79</v>
      </c>
      <c r="D903" s="2" t="n">
        <v>2</v>
      </c>
      <c r="E903" s="14" t="s">
        <v>699</v>
      </c>
      <c r="F903" s="7" t="n">
        <v>16000</v>
      </c>
    </row>
    <row r="904" customFormat="false" ht="15" hidden="false" customHeight="false" outlineLevel="0" collapsed="false">
      <c r="A904" s="2" t="s">
        <v>1010</v>
      </c>
      <c r="B904" s="13" t="n">
        <v>46277</v>
      </c>
      <c r="C904" s="2" t="s">
        <v>101</v>
      </c>
      <c r="D904" s="2" t="n">
        <v>2</v>
      </c>
      <c r="E904" s="14" t="s">
        <v>352</v>
      </c>
      <c r="F904" s="7" t="n">
        <v>18000</v>
      </c>
    </row>
    <row r="905" customFormat="false" ht="15" hidden="false" customHeight="false" outlineLevel="0" collapsed="false">
      <c r="A905" s="2" t="s">
        <v>1010</v>
      </c>
      <c r="B905" s="13" t="n">
        <v>46277</v>
      </c>
      <c r="C905" s="2" t="s">
        <v>81</v>
      </c>
      <c r="D905" s="2" t="n">
        <v>1</v>
      </c>
      <c r="E905" s="14" t="s">
        <v>352</v>
      </c>
      <c r="F905" s="7" t="n">
        <v>15000</v>
      </c>
    </row>
    <row r="906" customFormat="false" ht="15" hidden="false" customHeight="false" outlineLevel="0" collapsed="false">
      <c r="A906" s="2" t="s">
        <v>1011</v>
      </c>
      <c r="B906" s="13" t="n">
        <v>46277</v>
      </c>
      <c r="C906" s="2" t="s">
        <v>79</v>
      </c>
      <c r="D906" s="2" t="n">
        <v>1</v>
      </c>
      <c r="E906" s="14" t="s">
        <v>1012</v>
      </c>
      <c r="F906" s="7" t="n">
        <v>16000</v>
      </c>
    </row>
    <row r="907" customFormat="false" ht="15" hidden="false" customHeight="false" outlineLevel="0" collapsed="false">
      <c r="A907" s="2" t="s">
        <v>1013</v>
      </c>
      <c r="B907" s="13" t="n">
        <v>46277</v>
      </c>
      <c r="C907" s="2" t="s">
        <v>84</v>
      </c>
      <c r="D907" s="2" t="n">
        <v>1</v>
      </c>
      <c r="E907" s="14" t="s">
        <v>1014</v>
      </c>
      <c r="F907" s="7" t="n">
        <v>5000</v>
      </c>
    </row>
    <row r="908" customFormat="false" ht="15" hidden="false" customHeight="false" outlineLevel="0" collapsed="false">
      <c r="A908" s="2" t="s">
        <v>1013</v>
      </c>
      <c r="B908" s="13" t="n">
        <v>46277</v>
      </c>
      <c r="C908" s="2" t="s">
        <v>81</v>
      </c>
      <c r="D908" s="2" t="n">
        <v>1</v>
      </c>
      <c r="E908" s="14" t="s">
        <v>1014</v>
      </c>
      <c r="F908" s="7" t="n">
        <v>15000</v>
      </c>
    </row>
    <row r="909" customFormat="false" ht="15" hidden="false" customHeight="false" outlineLevel="0" collapsed="false">
      <c r="A909" s="2" t="s">
        <v>1015</v>
      </c>
      <c r="B909" s="13" t="n">
        <v>46277</v>
      </c>
      <c r="C909" s="2" t="s">
        <v>84</v>
      </c>
      <c r="D909" s="2" t="n">
        <v>1</v>
      </c>
      <c r="E909" s="14" t="s">
        <v>279</v>
      </c>
      <c r="F909" s="7" t="n">
        <v>5000</v>
      </c>
    </row>
    <row r="910" customFormat="false" ht="15" hidden="false" customHeight="false" outlineLevel="0" collapsed="false">
      <c r="A910" s="2" t="s">
        <v>1016</v>
      </c>
      <c r="B910" s="13" t="n">
        <v>46277</v>
      </c>
      <c r="C910" s="2" t="s">
        <v>186</v>
      </c>
      <c r="D910" s="2" t="n">
        <v>1</v>
      </c>
      <c r="E910" s="14" t="s">
        <v>281</v>
      </c>
      <c r="F910" s="7" t="n">
        <v>7000</v>
      </c>
    </row>
    <row r="911" customFormat="false" ht="15" hidden="false" customHeight="false" outlineLevel="0" collapsed="false">
      <c r="A911" s="2" t="s">
        <v>1017</v>
      </c>
      <c r="B911" s="13" t="n">
        <v>46277</v>
      </c>
      <c r="C911" s="2" t="s">
        <v>112</v>
      </c>
      <c r="D911" s="2" t="n">
        <v>1</v>
      </c>
      <c r="E911" s="14" t="s">
        <v>451</v>
      </c>
      <c r="F911" s="7" t="n">
        <v>10000</v>
      </c>
    </row>
    <row r="912" customFormat="false" ht="15" hidden="false" customHeight="false" outlineLevel="0" collapsed="false">
      <c r="A912" s="2" t="s">
        <v>1017</v>
      </c>
      <c r="B912" s="13" t="n">
        <v>46277</v>
      </c>
      <c r="C912" s="2" t="s">
        <v>186</v>
      </c>
      <c r="D912" s="2" t="n">
        <v>1</v>
      </c>
      <c r="E912" s="14" t="s">
        <v>451</v>
      </c>
      <c r="F912" s="7" t="n">
        <v>7000</v>
      </c>
    </row>
    <row r="913" customFormat="false" ht="15" hidden="false" customHeight="false" outlineLevel="0" collapsed="false">
      <c r="A913" s="2" t="s">
        <v>1018</v>
      </c>
      <c r="B913" s="13" t="n">
        <v>46277</v>
      </c>
      <c r="C913" s="2" t="s">
        <v>186</v>
      </c>
      <c r="D913" s="2" t="n">
        <v>1</v>
      </c>
      <c r="E913" s="14" t="s">
        <v>453</v>
      </c>
      <c r="F913" s="7" t="n">
        <v>7000</v>
      </c>
    </row>
    <row r="914" customFormat="false" ht="15" hidden="false" customHeight="false" outlineLevel="0" collapsed="false">
      <c r="A914" s="2" t="s">
        <v>1019</v>
      </c>
      <c r="B914" s="13" t="n">
        <v>46277</v>
      </c>
      <c r="C914" s="2" t="s">
        <v>126</v>
      </c>
      <c r="D914" s="2" t="n">
        <v>1</v>
      </c>
      <c r="E914" s="14" t="s">
        <v>623</v>
      </c>
      <c r="F914" s="7" t="n">
        <v>3000</v>
      </c>
    </row>
    <row r="915" customFormat="false" ht="15" hidden="false" customHeight="false" outlineLevel="0" collapsed="false">
      <c r="A915" s="2" t="s">
        <v>1019</v>
      </c>
      <c r="B915" s="13" t="n">
        <v>46277</v>
      </c>
      <c r="C915" s="2" t="s">
        <v>186</v>
      </c>
      <c r="D915" s="2" t="n">
        <v>1</v>
      </c>
      <c r="E915" s="14" t="s">
        <v>623</v>
      </c>
      <c r="F915" s="7" t="n">
        <v>7000</v>
      </c>
    </row>
    <row r="916" customFormat="false" ht="15" hidden="false" customHeight="false" outlineLevel="0" collapsed="false">
      <c r="A916" s="2" t="s">
        <v>1020</v>
      </c>
      <c r="B916" s="13" t="n">
        <v>46277</v>
      </c>
      <c r="C916" s="2" t="s">
        <v>186</v>
      </c>
      <c r="D916" s="2" t="n">
        <v>2</v>
      </c>
      <c r="E916" s="14" t="s">
        <v>191</v>
      </c>
      <c r="F916" s="7" t="n">
        <v>7000</v>
      </c>
    </row>
    <row r="917" customFormat="false" ht="15" hidden="false" customHeight="false" outlineLevel="0" collapsed="false">
      <c r="A917" s="2" t="s">
        <v>1020</v>
      </c>
      <c r="B917" s="13" t="n">
        <v>46277</v>
      </c>
      <c r="C917" s="2" t="s">
        <v>84</v>
      </c>
      <c r="D917" s="2" t="n">
        <v>1</v>
      </c>
      <c r="E917" s="14" t="s">
        <v>191</v>
      </c>
      <c r="F917" s="7" t="n">
        <v>5000</v>
      </c>
    </row>
    <row r="918" customFormat="false" ht="15" hidden="false" customHeight="false" outlineLevel="0" collapsed="false">
      <c r="A918" s="2" t="s">
        <v>1021</v>
      </c>
      <c r="B918" s="13" t="n">
        <v>46277</v>
      </c>
      <c r="C918" s="2" t="s">
        <v>79</v>
      </c>
      <c r="D918" s="2" t="n">
        <v>1</v>
      </c>
      <c r="E918" s="14" t="s">
        <v>374</v>
      </c>
      <c r="F918" s="7" t="n">
        <v>16000</v>
      </c>
    </row>
    <row r="919" customFormat="false" ht="15" hidden="false" customHeight="false" outlineLevel="0" collapsed="false">
      <c r="A919" s="2" t="s">
        <v>1022</v>
      </c>
      <c r="B919" s="13" t="n">
        <v>46277</v>
      </c>
      <c r="C919" s="2" t="s">
        <v>132</v>
      </c>
      <c r="D919" s="2" t="n">
        <v>1</v>
      </c>
      <c r="E919" s="14" t="s">
        <v>941</v>
      </c>
      <c r="F919" s="7" t="n">
        <v>15000</v>
      </c>
    </row>
    <row r="920" customFormat="false" ht="15" hidden="false" customHeight="false" outlineLevel="0" collapsed="false">
      <c r="A920" s="2" t="s">
        <v>1023</v>
      </c>
      <c r="B920" s="13" t="n">
        <v>46277</v>
      </c>
      <c r="C920" s="2" t="s">
        <v>101</v>
      </c>
      <c r="D920" s="2" t="n">
        <v>1</v>
      </c>
      <c r="E920" s="14" t="s">
        <v>1024</v>
      </c>
      <c r="F920" s="7" t="n">
        <v>18000</v>
      </c>
    </row>
    <row r="921" customFormat="false" ht="15" hidden="false" customHeight="false" outlineLevel="0" collapsed="false">
      <c r="A921" s="2" t="s">
        <v>1025</v>
      </c>
      <c r="B921" s="13" t="n">
        <v>46277</v>
      </c>
      <c r="C921" s="2" t="s">
        <v>84</v>
      </c>
      <c r="D921" s="2" t="n">
        <v>1</v>
      </c>
      <c r="E921" s="14" t="s">
        <v>786</v>
      </c>
      <c r="F921" s="7" t="n">
        <v>5000</v>
      </c>
    </row>
    <row r="922" customFormat="false" ht="15" hidden="false" customHeight="false" outlineLevel="0" collapsed="false">
      <c r="A922" s="2" t="s">
        <v>1026</v>
      </c>
      <c r="B922" s="13" t="n">
        <v>46277</v>
      </c>
      <c r="C922" s="2" t="s">
        <v>84</v>
      </c>
      <c r="D922" s="2" t="n">
        <v>1</v>
      </c>
      <c r="E922" s="14" t="s">
        <v>1027</v>
      </c>
      <c r="F922" s="7" t="n">
        <v>5000</v>
      </c>
    </row>
    <row r="923" customFormat="false" ht="15" hidden="false" customHeight="false" outlineLevel="0" collapsed="false">
      <c r="A923" s="2" t="s">
        <v>1028</v>
      </c>
      <c r="B923" s="13" t="n">
        <v>46277</v>
      </c>
      <c r="C923" s="2" t="s">
        <v>92</v>
      </c>
      <c r="D923" s="2" t="n">
        <v>1</v>
      </c>
      <c r="E923" s="14" t="s">
        <v>1029</v>
      </c>
      <c r="F923" s="7" t="n">
        <v>4000</v>
      </c>
    </row>
    <row r="924" customFormat="false" ht="15" hidden="false" customHeight="false" outlineLevel="0" collapsed="false">
      <c r="A924" s="2" t="s">
        <v>1028</v>
      </c>
      <c r="B924" s="13" t="n">
        <v>46277</v>
      </c>
      <c r="C924" s="2" t="s">
        <v>89</v>
      </c>
      <c r="D924" s="2" t="n">
        <v>1</v>
      </c>
      <c r="E924" s="14" t="s">
        <v>1029</v>
      </c>
      <c r="F924" s="7" t="n">
        <v>14000</v>
      </c>
    </row>
    <row r="925" customFormat="false" ht="15" hidden="false" customHeight="false" outlineLevel="0" collapsed="false">
      <c r="A925" s="2" t="s">
        <v>1030</v>
      </c>
      <c r="B925" s="13" t="n">
        <v>46277</v>
      </c>
      <c r="C925" s="2" t="s">
        <v>1031</v>
      </c>
      <c r="D925" s="2" t="n">
        <v>1</v>
      </c>
      <c r="E925" s="14" t="s">
        <v>1032</v>
      </c>
      <c r="F925" s="7" t="n">
        <v>15000</v>
      </c>
    </row>
    <row r="926" customFormat="false" ht="15" hidden="false" customHeight="false" outlineLevel="0" collapsed="false">
      <c r="A926" s="2" t="s">
        <v>1030</v>
      </c>
      <c r="B926" s="13" t="n">
        <v>46277</v>
      </c>
      <c r="C926" s="2" t="s">
        <v>84</v>
      </c>
      <c r="D926" s="2" t="n">
        <v>3</v>
      </c>
      <c r="E926" s="14" t="s">
        <v>1032</v>
      </c>
      <c r="F926" s="7" t="n">
        <v>5000</v>
      </c>
    </row>
    <row r="927" customFormat="false" ht="15" hidden="false" customHeight="false" outlineLevel="0" collapsed="false">
      <c r="A927" s="2" t="s">
        <v>1030</v>
      </c>
      <c r="B927" s="13" t="n">
        <v>46277</v>
      </c>
      <c r="C927" s="2" t="s">
        <v>112</v>
      </c>
      <c r="D927" s="2" t="n">
        <v>1</v>
      </c>
      <c r="E927" s="14" t="s">
        <v>1032</v>
      </c>
      <c r="F927" s="7" t="n">
        <v>10000</v>
      </c>
    </row>
    <row r="928" customFormat="false" ht="15" hidden="false" customHeight="false" outlineLevel="0" collapsed="false">
      <c r="A928" s="2" t="s">
        <v>1033</v>
      </c>
      <c r="B928" s="13" t="n">
        <v>46277</v>
      </c>
      <c r="C928" s="2" t="s">
        <v>186</v>
      </c>
      <c r="D928" s="2" t="n">
        <v>1</v>
      </c>
      <c r="E928" s="14" t="s">
        <v>1034</v>
      </c>
      <c r="F928" s="7" t="n">
        <v>7000</v>
      </c>
    </row>
    <row r="929" customFormat="false" ht="15" hidden="false" customHeight="false" outlineLevel="0" collapsed="false">
      <c r="A929" s="2" t="s">
        <v>1035</v>
      </c>
      <c r="B929" s="13" t="n">
        <v>46277</v>
      </c>
      <c r="C929" s="2" t="s">
        <v>84</v>
      </c>
      <c r="D929" s="2" t="n">
        <v>1</v>
      </c>
      <c r="E929" s="14" t="s">
        <v>1036</v>
      </c>
      <c r="F929" s="7" t="n">
        <v>5000</v>
      </c>
    </row>
    <row r="930" customFormat="false" ht="15" hidden="false" customHeight="false" outlineLevel="0" collapsed="false">
      <c r="A930" s="2" t="s">
        <v>1037</v>
      </c>
      <c r="B930" s="13" t="n">
        <v>46277</v>
      </c>
      <c r="C930" s="2" t="s">
        <v>84</v>
      </c>
      <c r="D930" s="2" t="n">
        <v>1</v>
      </c>
      <c r="E930" s="14" t="s">
        <v>1038</v>
      </c>
      <c r="F930" s="7" t="n">
        <v>5000</v>
      </c>
    </row>
    <row r="931" customFormat="false" ht="15" hidden="false" customHeight="false" outlineLevel="0" collapsed="false">
      <c r="A931" s="2" t="s">
        <v>1037</v>
      </c>
      <c r="B931" s="13" t="n">
        <v>46277</v>
      </c>
      <c r="C931" s="2" t="s">
        <v>132</v>
      </c>
      <c r="D931" s="2" t="n">
        <v>2</v>
      </c>
      <c r="E931" s="14" t="s">
        <v>1038</v>
      </c>
      <c r="F931" s="7" t="n">
        <v>15000</v>
      </c>
    </row>
    <row r="932" customFormat="false" ht="15" hidden="false" customHeight="false" outlineLevel="0" collapsed="false">
      <c r="A932" s="2" t="s">
        <v>1039</v>
      </c>
      <c r="B932" s="13" t="n">
        <v>46277</v>
      </c>
      <c r="C932" s="2" t="s">
        <v>112</v>
      </c>
      <c r="D932" s="2" t="n">
        <v>1</v>
      </c>
      <c r="E932" s="14" t="s">
        <v>565</v>
      </c>
      <c r="F932" s="7" t="n">
        <v>10000</v>
      </c>
    </row>
    <row r="933" customFormat="false" ht="15" hidden="false" customHeight="false" outlineLevel="0" collapsed="false">
      <c r="A933" s="2" t="s">
        <v>1039</v>
      </c>
      <c r="B933" s="13" t="n">
        <v>46277</v>
      </c>
      <c r="C933" s="2" t="s">
        <v>132</v>
      </c>
      <c r="D933" s="2" t="n">
        <v>1</v>
      </c>
      <c r="E933" s="14" t="s">
        <v>565</v>
      </c>
      <c r="F933" s="7" t="n">
        <v>15000</v>
      </c>
    </row>
    <row r="934" customFormat="false" ht="15" hidden="false" customHeight="false" outlineLevel="0" collapsed="false">
      <c r="A934" s="2" t="s">
        <v>1040</v>
      </c>
      <c r="B934" s="13" t="n">
        <v>46277</v>
      </c>
      <c r="C934" s="2" t="s">
        <v>112</v>
      </c>
      <c r="D934" s="2" t="n">
        <v>1</v>
      </c>
      <c r="E934" s="14" t="s">
        <v>1041</v>
      </c>
      <c r="F934" s="7" t="n">
        <v>10000</v>
      </c>
    </row>
    <row r="935" customFormat="false" ht="15" hidden="false" customHeight="false" outlineLevel="0" collapsed="false">
      <c r="A935" s="2" t="s">
        <v>1042</v>
      </c>
      <c r="B935" s="13" t="n">
        <v>46277</v>
      </c>
      <c r="C935" s="2" t="s">
        <v>81</v>
      </c>
      <c r="D935" s="2" t="n">
        <v>2</v>
      </c>
      <c r="E935" s="14" t="s">
        <v>1043</v>
      </c>
      <c r="F935" s="7" t="n">
        <v>15000</v>
      </c>
    </row>
    <row r="936" customFormat="false" ht="15" hidden="false" customHeight="false" outlineLevel="0" collapsed="false">
      <c r="A936" s="2" t="s">
        <v>1044</v>
      </c>
      <c r="B936" s="13" t="n">
        <v>46277</v>
      </c>
      <c r="C936" s="2" t="s">
        <v>84</v>
      </c>
      <c r="D936" s="2" t="n">
        <v>1</v>
      </c>
      <c r="E936" s="14" t="s">
        <v>1045</v>
      </c>
      <c r="F936" s="7" t="n">
        <v>5000</v>
      </c>
    </row>
    <row r="937" customFormat="false" ht="15" hidden="false" customHeight="false" outlineLevel="0" collapsed="false">
      <c r="A937" s="2" t="s">
        <v>1044</v>
      </c>
      <c r="B937" s="13" t="n">
        <v>46277</v>
      </c>
      <c r="C937" s="2" t="s">
        <v>112</v>
      </c>
      <c r="D937" s="2" t="n">
        <v>1</v>
      </c>
      <c r="E937" s="14" t="s">
        <v>1045</v>
      </c>
      <c r="F937" s="7" t="n">
        <v>10000</v>
      </c>
    </row>
    <row r="938" customFormat="false" ht="15" hidden="false" customHeight="false" outlineLevel="0" collapsed="false">
      <c r="A938" s="2" t="s">
        <v>1046</v>
      </c>
      <c r="B938" s="13" t="n">
        <v>46277</v>
      </c>
      <c r="C938" s="2" t="s">
        <v>108</v>
      </c>
      <c r="D938" s="2"/>
      <c r="E938" s="14" t="s">
        <v>1047</v>
      </c>
      <c r="F938" s="7" t="n">
        <v>20000</v>
      </c>
    </row>
    <row r="939" customFormat="false" ht="15" hidden="false" customHeight="false" outlineLevel="0" collapsed="false">
      <c r="A939" s="2" t="s">
        <v>1046</v>
      </c>
      <c r="B939" s="13" t="n">
        <v>46277</v>
      </c>
      <c r="C939" s="2" t="s">
        <v>81</v>
      </c>
      <c r="D939" s="2" t="n">
        <v>1</v>
      </c>
      <c r="E939" s="14" t="s">
        <v>1047</v>
      </c>
      <c r="F939" s="7" t="n">
        <v>15000</v>
      </c>
    </row>
    <row r="940" customFormat="false" ht="15" hidden="false" customHeight="false" outlineLevel="0" collapsed="false">
      <c r="A940" s="2" t="s">
        <v>1048</v>
      </c>
      <c r="B940" s="13" t="n">
        <v>46277</v>
      </c>
      <c r="C940" s="2" t="s">
        <v>81</v>
      </c>
      <c r="D940" s="2" t="n">
        <v>1</v>
      </c>
      <c r="E940" s="14" t="s">
        <v>302</v>
      </c>
      <c r="F940" s="7" t="n">
        <v>15000</v>
      </c>
    </row>
    <row r="941" customFormat="false" ht="15" hidden="false" customHeight="false" outlineLevel="0" collapsed="false">
      <c r="A941" s="2" t="s">
        <v>1049</v>
      </c>
      <c r="B941" s="13" t="n">
        <v>46277</v>
      </c>
      <c r="C941" s="2" t="s">
        <v>81</v>
      </c>
      <c r="D941" s="2" t="n">
        <v>1</v>
      </c>
      <c r="E941" s="14" t="s">
        <v>1050</v>
      </c>
      <c r="F941" s="7" t="n">
        <v>15000</v>
      </c>
    </row>
    <row r="942" customFormat="false" ht="15" hidden="false" customHeight="false" outlineLevel="0" collapsed="false">
      <c r="A942" s="2" t="s">
        <v>1051</v>
      </c>
      <c r="B942" s="13" t="n">
        <v>46277</v>
      </c>
      <c r="C942" s="2" t="s">
        <v>89</v>
      </c>
      <c r="D942" s="2" t="n">
        <v>1</v>
      </c>
      <c r="E942" s="14" t="s">
        <v>138</v>
      </c>
      <c r="F942" s="7" t="n">
        <v>14000</v>
      </c>
    </row>
    <row r="943" customFormat="false" ht="15" hidden="false" customHeight="false" outlineLevel="0" collapsed="false">
      <c r="A943" s="2" t="s">
        <v>1052</v>
      </c>
      <c r="B943" s="13" t="n">
        <v>46277</v>
      </c>
      <c r="C943" s="2" t="s">
        <v>126</v>
      </c>
      <c r="D943" s="2" t="n">
        <v>1</v>
      </c>
      <c r="E943" s="14" t="s">
        <v>308</v>
      </c>
      <c r="F943" s="7" t="n">
        <v>3000</v>
      </c>
    </row>
    <row r="944" customFormat="false" ht="15" hidden="false" customHeight="false" outlineLevel="0" collapsed="false">
      <c r="A944" s="2" t="s">
        <v>1053</v>
      </c>
      <c r="B944" s="13" t="n">
        <v>46277</v>
      </c>
      <c r="C944" s="2" t="s">
        <v>108</v>
      </c>
      <c r="D944" s="2" t="n">
        <v>1</v>
      </c>
      <c r="E944" s="14" t="s">
        <v>224</v>
      </c>
      <c r="F944" s="7" t="n">
        <v>20000</v>
      </c>
    </row>
    <row r="945" customFormat="false" ht="15" hidden="false" customHeight="false" outlineLevel="0" collapsed="false">
      <c r="A945" s="2" t="s">
        <v>1053</v>
      </c>
      <c r="B945" s="13" t="n">
        <v>46277</v>
      </c>
      <c r="C945" s="2" t="s">
        <v>112</v>
      </c>
      <c r="D945" s="2" t="n">
        <v>1</v>
      </c>
      <c r="E945" s="14" t="s">
        <v>224</v>
      </c>
      <c r="F945" s="7" t="n">
        <v>10000</v>
      </c>
    </row>
    <row r="946" customFormat="false" ht="15" hidden="false" customHeight="false" outlineLevel="0" collapsed="false">
      <c r="A946" s="2" t="s">
        <v>1054</v>
      </c>
      <c r="B946" s="13" t="n">
        <v>46277</v>
      </c>
      <c r="C946" s="2" t="s">
        <v>79</v>
      </c>
      <c r="D946" s="2" t="n">
        <v>2</v>
      </c>
      <c r="E946" s="14" t="s">
        <v>1055</v>
      </c>
      <c r="F946" s="7" t="n">
        <v>16000</v>
      </c>
    </row>
    <row r="947" customFormat="false" ht="15" hidden="false" customHeight="false" outlineLevel="0" collapsed="false">
      <c r="A947" s="2" t="s">
        <v>1056</v>
      </c>
      <c r="B947" s="13" t="n">
        <v>46277</v>
      </c>
      <c r="C947" s="2" t="s">
        <v>84</v>
      </c>
      <c r="D947" s="2" t="n">
        <v>1</v>
      </c>
      <c r="E947" s="14" t="s">
        <v>311</v>
      </c>
      <c r="F947" s="7" t="n">
        <v>5000</v>
      </c>
    </row>
    <row r="948" customFormat="false" ht="15" hidden="false" customHeight="false" outlineLevel="0" collapsed="false">
      <c r="A948" s="2" t="s">
        <v>1056</v>
      </c>
      <c r="B948" s="13" t="n">
        <v>46277</v>
      </c>
      <c r="C948" s="2" t="s">
        <v>81</v>
      </c>
      <c r="D948" s="2" t="n">
        <v>1</v>
      </c>
      <c r="E948" s="14" t="s">
        <v>311</v>
      </c>
      <c r="F948" s="7" t="n">
        <v>15000</v>
      </c>
    </row>
    <row r="949" customFormat="false" ht="15" hidden="false" customHeight="false" outlineLevel="0" collapsed="false">
      <c r="A949" s="2" t="s">
        <v>1057</v>
      </c>
      <c r="B949" s="13" t="n">
        <v>46277</v>
      </c>
      <c r="C949" s="2" t="s">
        <v>186</v>
      </c>
      <c r="D949" s="2" t="n">
        <v>1</v>
      </c>
      <c r="E949" s="14" t="s">
        <v>739</v>
      </c>
      <c r="F949" s="7" t="n">
        <v>7000</v>
      </c>
    </row>
    <row r="950" customFormat="false" ht="15" hidden="false" customHeight="false" outlineLevel="0" collapsed="false">
      <c r="A950" s="2" t="s">
        <v>1057</v>
      </c>
      <c r="B950" s="13" t="n">
        <v>46277</v>
      </c>
      <c r="C950" s="2" t="s">
        <v>101</v>
      </c>
      <c r="D950" s="2" t="n">
        <v>2</v>
      </c>
      <c r="E950" s="14" t="s">
        <v>739</v>
      </c>
      <c r="F950" s="7" t="n">
        <v>18000</v>
      </c>
    </row>
    <row r="951" customFormat="false" ht="15" hidden="false" customHeight="false" outlineLevel="0" collapsed="false">
      <c r="A951" s="2" t="s">
        <v>1058</v>
      </c>
      <c r="B951" s="13" t="n">
        <v>46277</v>
      </c>
      <c r="C951" s="2" t="s">
        <v>108</v>
      </c>
      <c r="D951" s="2" t="n">
        <v>1</v>
      </c>
      <c r="E951" s="14" t="s">
        <v>1059</v>
      </c>
      <c r="F951" s="7" t="n">
        <v>20000</v>
      </c>
    </row>
    <row r="952" customFormat="false" ht="15" hidden="false" customHeight="false" outlineLevel="0" collapsed="false">
      <c r="A952" s="2" t="s">
        <v>1060</v>
      </c>
      <c r="B952" s="13" t="n">
        <v>46277</v>
      </c>
      <c r="C952" s="2"/>
      <c r="D952" s="2" t="n">
        <v>1</v>
      </c>
      <c r="E952" s="14" t="s">
        <v>230</v>
      </c>
      <c r="F952" s="7" t="n">
        <v>15000</v>
      </c>
    </row>
    <row r="953" customFormat="false" ht="15" hidden="false" customHeight="false" outlineLevel="0" collapsed="false">
      <c r="A953" s="2" t="s">
        <v>1060</v>
      </c>
      <c r="B953" s="13" t="n">
        <v>46277</v>
      </c>
      <c r="C953" s="2" t="s">
        <v>186</v>
      </c>
      <c r="D953" s="2" t="n">
        <v>1</v>
      </c>
      <c r="E953" s="14" t="s">
        <v>230</v>
      </c>
      <c r="F953" s="7" t="n">
        <v>7000</v>
      </c>
    </row>
    <row r="954" customFormat="false" ht="15" hidden="false" customHeight="false" outlineLevel="0" collapsed="false">
      <c r="A954" s="2" t="s">
        <v>1061</v>
      </c>
      <c r="B954" s="13" t="n">
        <v>46277</v>
      </c>
      <c r="C954" s="2" t="s">
        <v>89</v>
      </c>
      <c r="D954" s="2" t="n">
        <v>1</v>
      </c>
      <c r="E954" s="14" t="s">
        <v>232</v>
      </c>
      <c r="F954" s="7" t="n">
        <v>14000</v>
      </c>
    </row>
    <row r="955" customFormat="false" ht="15" hidden="false" customHeight="false" outlineLevel="0" collapsed="false">
      <c r="A955" s="2" t="s">
        <v>1062</v>
      </c>
      <c r="B955" s="13" t="n">
        <v>46277</v>
      </c>
      <c r="C955" s="2" t="s">
        <v>84</v>
      </c>
      <c r="D955" s="2" t="n">
        <v>1</v>
      </c>
      <c r="E955" s="14" t="s">
        <v>1063</v>
      </c>
      <c r="F955" s="7" t="n">
        <v>5000</v>
      </c>
    </row>
    <row r="956" customFormat="false" ht="15" hidden="false" customHeight="false" outlineLevel="0" collapsed="false">
      <c r="A956" s="2" t="s">
        <v>1064</v>
      </c>
      <c r="B956" s="13" t="n">
        <v>46277</v>
      </c>
      <c r="C956" s="2" t="s">
        <v>101</v>
      </c>
      <c r="D956" s="2" t="n">
        <v>2</v>
      </c>
      <c r="E956" s="14" t="s">
        <v>407</v>
      </c>
      <c r="F956" s="7" t="n">
        <v>18000</v>
      </c>
    </row>
    <row r="957" customFormat="false" ht="15" hidden="false" customHeight="false" outlineLevel="0" collapsed="false">
      <c r="A957" s="2" t="s">
        <v>1065</v>
      </c>
      <c r="B957" s="13" t="n">
        <v>46277</v>
      </c>
      <c r="C957" s="2" t="s">
        <v>112</v>
      </c>
      <c r="D957" s="2" t="n">
        <v>1</v>
      </c>
      <c r="E957" s="14" t="s">
        <v>683</v>
      </c>
      <c r="F957" s="7" t="n">
        <v>10000</v>
      </c>
    </row>
    <row r="958" customFormat="false" ht="15" hidden="false" customHeight="false" outlineLevel="0" collapsed="false">
      <c r="A958" s="2" t="s">
        <v>1065</v>
      </c>
      <c r="B958" s="13" t="n">
        <v>46277</v>
      </c>
      <c r="C958" s="2" t="s">
        <v>101</v>
      </c>
      <c r="D958" s="2" t="n">
        <v>2</v>
      </c>
      <c r="E958" s="14" t="s">
        <v>683</v>
      </c>
      <c r="F958" s="7" t="n">
        <v>18000</v>
      </c>
    </row>
    <row r="959" customFormat="false" ht="15" hidden="false" customHeight="false" outlineLevel="0" collapsed="false">
      <c r="A959" s="2" t="s">
        <v>1066</v>
      </c>
      <c r="B959" s="13" t="n">
        <v>46277</v>
      </c>
      <c r="C959" s="2" t="s">
        <v>108</v>
      </c>
      <c r="D959" s="2" t="n">
        <v>1</v>
      </c>
      <c r="E959" s="14" t="s">
        <v>758</v>
      </c>
      <c r="F959" s="7" t="n">
        <v>20000</v>
      </c>
    </row>
    <row r="960" customFormat="false" ht="15" hidden="false" customHeight="false" outlineLevel="0" collapsed="false">
      <c r="A960" s="2" t="s">
        <v>1066</v>
      </c>
      <c r="B960" s="13" t="n">
        <v>46277</v>
      </c>
      <c r="C960" s="2" t="s">
        <v>82</v>
      </c>
      <c r="D960" s="2" t="n">
        <v>1</v>
      </c>
      <c r="E960" s="14" t="s">
        <v>758</v>
      </c>
      <c r="F960" s="7" t="n">
        <v>13000</v>
      </c>
    </row>
    <row r="961" customFormat="false" ht="15" hidden="false" customHeight="false" outlineLevel="0" collapsed="false">
      <c r="A961" s="2" t="s">
        <v>1066</v>
      </c>
      <c r="B961" s="13" t="n">
        <v>46277</v>
      </c>
      <c r="C961" s="2" t="s">
        <v>84</v>
      </c>
      <c r="D961" s="2" t="n">
        <v>1</v>
      </c>
      <c r="E961" s="14" t="s">
        <v>758</v>
      </c>
      <c r="F961" s="7" t="n">
        <v>5000</v>
      </c>
    </row>
    <row r="962" customFormat="false" ht="15" hidden="false" customHeight="false" outlineLevel="0" collapsed="false">
      <c r="A962" s="2" t="s">
        <v>1067</v>
      </c>
      <c r="B962" s="13" t="n">
        <v>46277</v>
      </c>
      <c r="C962" s="2" t="s">
        <v>89</v>
      </c>
      <c r="D962" s="2" t="n">
        <v>1</v>
      </c>
      <c r="E962" s="14" t="s">
        <v>1068</v>
      </c>
      <c r="F962" s="7" t="n">
        <v>14000</v>
      </c>
    </row>
    <row r="963" customFormat="false" ht="15" hidden="false" customHeight="false" outlineLevel="0" collapsed="false">
      <c r="A963" s="2" t="s">
        <v>1069</v>
      </c>
      <c r="B963" s="13" t="n">
        <v>46277</v>
      </c>
      <c r="C963" s="2" t="s">
        <v>108</v>
      </c>
      <c r="D963" s="2" t="n">
        <v>1</v>
      </c>
      <c r="E963" s="14" t="s">
        <v>1070</v>
      </c>
      <c r="F963" s="7" t="n">
        <v>20000</v>
      </c>
    </row>
    <row r="964" customFormat="false" ht="15" hidden="false" customHeight="false" outlineLevel="0" collapsed="false">
      <c r="A964" s="2" t="s">
        <v>1069</v>
      </c>
      <c r="B964" s="13" t="n">
        <v>46277</v>
      </c>
      <c r="C964" s="2" t="s">
        <v>89</v>
      </c>
      <c r="D964" s="2" t="n">
        <v>1</v>
      </c>
      <c r="E964" s="14" t="s">
        <v>1070</v>
      </c>
      <c r="F964" s="7" t="n">
        <v>14000</v>
      </c>
    </row>
    <row r="965" customFormat="false" ht="15" hidden="false" customHeight="false" outlineLevel="0" collapsed="false">
      <c r="A965" s="2" t="s">
        <v>1069</v>
      </c>
      <c r="B965" s="13" t="n">
        <v>46277</v>
      </c>
      <c r="C965" s="2" t="s">
        <v>101</v>
      </c>
      <c r="D965" s="2" t="n">
        <v>1</v>
      </c>
      <c r="E965" s="14" t="s">
        <v>1070</v>
      </c>
      <c r="F965" s="7" t="n">
        <v>18000</v>
      </c>
    </row>
    <row r="966" customFormat="false" ht="15" hidden="false" customHeight="false" outlineLevel="0" collapsed="false">
      <c r="A966" s="2" t="s">
        <v>1071</v>
      </c>
      <c r="B966" s="13" t="n">
        <v>46277</v>
      </c>
      <c r="C966" s="2" t="s">
        <v>79</v>
      </c>
      <c r="D966" s="2" t="n">
        <v>1</v>
      </c>
      <c r="E966" s="14" t="s">
        <v>1070</v>
      </c>
      <c r="F966" s="7" t="n">
        <v>16000</v>
      </c>
    </row>
    <row r="967" customFormat="false" ht="15" hidden="false" customHeight="false" outlineLevel="0" collapsed="false">
      <c r="A967" s="2" t="s">
        <v>1071</v>
      </c>
      <c r="B967" s="13" t="n">
        <v>46277</v>
      </c>
      <c r="C967" s="2" t="s">
        <v>84</v>
      </c>
      <c r="D967" s="2" t="n">
        <v>3</v>
      </c>
      <c r="E967" s="14" t="s">
        <v>1070</v>
      </c>
      <c r="F967" s="7" t="n">
        <v>5000</v>
      </c>
    </row>
    <row r="968" customFormat="false" ht="15" hidden="false" customHeight="false" outlineLevel="0" collapsed="false">
      <c r="A968" s="2" t="s">
        <v>1072</v>
      </c>
      <c r="B968" s="13" t="n">
        <v>46277</v>
      </c>
      <c r="C968" s="2" t="s">
        <v>79</v>
      </c>
      <c r="D968" s="2" t="n">
        <v>2</v>
      </c>
      <c r="E968" s="14" t="s">
        <v>169</v>
      </c>
      <c r="F968" s="7" t="n">
        <v>16000</v>
      </c>
    </row>
    <row r="969" customFormat="false" ht="15" hidden="false" customHeight="false" outlineLevel="0" collapsed="false">
      <c r="A969" s="2" t="s">
        <v>1072</v>
      </c>
      <c r="B969" s="13" t="n">
        <v>46277</v>
      </c>
      <c r="C969" s="2" t="s">
        <v>112</v>
      </c>
      <c r="D969" s="2" t="n">
        <v>1</v>
      </c>
      <c r="E969" s="14" t="s">
        <v>169</v>
      </c>
      <c r="F969" s="7" t="n">
        <v>10000</v>
      </c>
    </row>
    <row r="970" customFormat="false" ht="15" hidden="false" customHeight="false" outlineLevel="0" collapsed="false">
      <c r="A970" s="2" t="s">
        <v>1073</v>
      </c>
      <c r="B970" s="13" t="n">
        <v>46278</v>
      </c>
      <c r="C970" s="2" t="s">
        <v>126</v>
      </c>
      <c r="D970" s="2" t="n">
        <v>1</v>
      </c>
      <c r="E970" s="14" t="s">
        <v>1074</v>
      </c>
      <c r="F970" s="7" t="n">
        <v>3000</v>
      </c>
    </row>
    <row r="971" customFormat="false" ht="15" hidden="false" customHeight="false" outlineLevel="0" collapsed="false">
      <c r="A971" s="2" t="s">
        <v>1073</v>
      </c>
      <c r="B971" s="13" t="n">
        <v>46278</v>
      </c>
      <c r="C971" s="2" t="s">
        <v>81</v>
      </c>
      <c r="D971" s="2" t="n">
        <v>1</v>
      </c>
      <c r="E971" s="14" t="s">
        <v>1074</v>
      </c>
      <c r="F971" s="7" t="n">
        <v>15000</v>
      </c>
    </row>
    <row r="972" customFormat="false" ht="15" hidden="false" customHeight="false" outlineLevel="0" collapsed="false">
      <c r="A972" s="2" t="s">
        <v>1075</v>
      </c>
      <c r="B972" s="13" t="n">
        <v>46278</v>
      </c>
      <c r="C972" s="2" t="s">
        <v>84</v>
      </c>
      <c r="D972" s="2" t="n">
        <v>1</v>
      </c>
      <c r="E972" s="14" t="s">
        <v>691</v>
      </c>
      <c r="F972" s="7" t="n">
        <v>5000</v>
      </c>
    </row>
    <row r="973" customFormat="false" ht="15" hidden="false" customHeight="false" outlineLevel="0" collapsed="false">
      <c r="A973" s="2" t="s">
        <v>1075</v>
      </c>
      <c r="B973" s="13" t="n">
        <v>46278</v>
      </c>
      <c r="C973" s="2" t="s">
        <v>101</v>
      </c>
      <c r="D973" s="2" t="n">
        <v>1</v>
      </c>
      <c r="E973" s="14" t="s">
        <v>691</v>
      </c>
      <c r="F973" s="7" t="n">
        <v>18000</v>
      </c>
    </row>
    <row r="974" customFormat="false" ht="15" hidden="false" customHeight="false" outlineLevel="0" collapsed="false">
      <c r="A974" s="2" t="s">
        <v>1076</v>
      </c>
      <c r="B974" s="13" t="n">
        <v>46278</v>
      </c>
      <c r="C974" s="2" t="s">
        <v>132</v>
      </c>
      <c r="D974" s="2" t="n">
        <v>1</v>
      </c>
      <c r="E974" s="14" t="s">
        <v>1077</v>
      </c>
      <c r="F974" s="7" t="n">
        <v>15000</v>
      </c>
    </row>
    <row r="975" customFormat="false" ht="15" hidden="false" customHeight="false" outlineLevel="0" collapsed="false">
      <c r="A975" s="2" t="s">
        <v>1078</v>
      </c>
      <c r="B975" s="13" t="n">
        <v>46278</v>
      </c>
      <c r="C975" s="2" t="s">
        <v>84</v>
      </c>
      <c r="D975" s="2" t="n">
        <v>1</v>
      </c>
      <c r="E975" s="14" t="s">
        <v>1079</v>
      </c>
      <c r="F975" s="7" t="n">
        <v>5000</v>
      </c>
    </row>
    <row r="976" customFormat="false" ht="15" hidden="false" customHeight="false" outlineLevel="0" collapsed="false">
      <c r="A976" s="2" t="s">
        <v>1080</v>
      </c>
      <c r="B976" s="13" t="n">
        <v>46278</v>
      </c>
      <c r="C976" s="2" t="s">
        <v>126</v>
      </c>
      <c r="D976" s="2" t="n">
        <v>1</v>
      </c>
      <c r="E976" s="14" t="s">
        <v>1081</v>
      </c>
      <c r="F976" s="7" t="n">
        <v>3000</v>
      </c>
    </row>
    <row r="977" customFormat="false" ht="15" hidden="false" customHeight="false" outlineLevel="0" collapsed="false">
      <c r="A977" s="2" t="s">
        <v>1080</v>
      </c>
      <c r="B977" s="13" t="n">
        <v>46278</v>
      </c>
      <c r="C977" s="2" t="s">
        <v>186</v>
      </c>
      <c r="D977" s="2" t="n">
        <v>1</v>
      </c>
      <c r="E977" s="14" t="s">
        <v>1081</v>
      </c>
      <c r="F977" s="7" t="n">
        <v>7000</v>
      </c>
    </row>
    <row r="978" customFormat="false" ht="15" hidden="false" customHeight="false" outlineLevel="0" collapsed="false">
      <c r="A978" s="2" t="s">
        <v>1082</v>
      </c>
      <c r="B978" s="13" t="n">
        <v>46278</v>
      </c>
      <c r="C978" s="2" t="s">
        <v>81</v>
      </c>
      <c r="D978" s="2" t="n">
        <v>1</v>
      </c>
      <c r="E978" s="14" t="s">
        <v>1083</v>
      </c>
      <c r="F978" s="7" t="n">
        <v>15000</v>
      </c>
    </row>
    <row r="979" customFormat="false" ht="15" hidden="false" customHeight="false" outlineLevel="0" collapsed="false">
      <c r="A979" s="2" t="s">
        <v>1082</v>
      </c>
      <c r="B979" s="13" t="n">
        <v>46278</v>
      </c>
      <c r="C979" s="2" t="s">
        <v>186</v>
      </c>
      <c r="D979" s="2" t="n">
        <v>1</v>
      </c>
      <c r="E979" s="14" t="s">
        <v>1083</v>
      </c>
      <c r="F979" s="7" t="n">
        <v>7000</v>
      </c>
    </row>
    <row r="980" customFormat="false" ht="15" hidden="false" customHeight="false" outlineLevel="0" collapsed="false">
      <c r="A980" s="2" t="s">
        <v>1084</v>
      </c>
      <c r="B980" s="13" t="n">
        <v>46278</v>
      </c>
      <c r="C980" s="2" t="s">
        <v>84</v>
      </c>
      <c r="D980" s="2" t="n">
        <v>1</v>
      </c>
      <c r="E980" s="14" t="s">
        <v>1085</v>
      </c>
      <c r="F980" s="7" t="n">
        <v>5000</v>
      </c>
    </row>
    <row r="981" customFormat="false" ht="15" hidden="false" customHeight="false" outlineLevel="0" collapsed="false">
      <c r="A981" s="2" t="s">
        <v>1084</v>
      </c>
      <c r="B981" s="13" t="n">
        <v>46278</v>
      </c>
      <c r="C981" s="2" t="s">
        <v>132</v>
      </c>
      <c r="D981" s="2" t="n">
        <v>1</v>
      </c>
      <c r="E981" s="14" t="s">
        <v>1085</v>
      </c>
      <c r="F981" s="7" t="n">
        <v>15000</v>
      </c>
    </row>
    <row r="982" customFormat="false" ht="15" hidden="false" customHeight="false" outlineLevel="0" collapsed="false">
      <c r="A982" s="2" t="s">
        <v>1086</v>
      </c>
      <c r="B982" s="13" t="n">
        <v>46278</v>
      </c>
      <c r="C982" s="2" t="s">
        <v>101</v>
      </c>
      <c r="D982" s="2" t="n">
        <v>1</v>
      </c>
      <c r="E982" s="14" t="s">
        <v>1087</v>
      </c>
      <c r="F982" s="7" t="n">
        <v>18000</v>
      </c>
    </row>
    <row r="983" customFormat="false" ht="15" hidden="false" customHeight="false" outlineLevel="0" collapsed="false">
      <c r="A983" s="2" t="s">
        <v>1086</v>
      </c>
      <c r="B983" s="13" t="n">
        <v>46278</v>
      </c>
      <c r="C983" s="2" t="s">
        <v>81</v>
      </c>
      <c r="D983" s="2" t="n">
        <v>1</v>
      </c>
      <c r="E983" s="14" t="s">
        <v>1087</v>
      </c>
      <c r="F983" s="7" t="n">
        <v>15000</v>
      </c>
    </row>
    <row r="984" customFormat="false" ht="15" hidden="false" customHeight="false" outlineLevel="0" collapsed="false">
      <c r="A984" s="2" t="s">
        <v>1088</v>
      </c>
      <c r="B984" s="13" t="n">
        <v>46278</v>
      </c>
      <c r="C984" s="2" t="s">
        <v>112</v>
      </c>
      <c r="D984" s="2" t="n">
        <v>1</v>
      </c>
      <c r="E984" s="14" t="s">
        <v>1089</v>
      </c>
      <c r="F984" s="7" t="n">
        <v>10000</v>
      </c>
    </row>
    <row r="985" customFormat="false" ht="15" hidden="false" customHeight="false" outlineLevel="0" collapsed="false">
      <c r="A985" s="2" t="s">
        <v>1088</v>
      </c>
      <c r="B985" s="13" t="n">
        <v>46278</v>
      </c>
      <c r="C985" s="2" t="s">
        <v>92</v>
      </c>
      <c r="D985" s="2" t="n">
        <v>1</v>
      </c>
      <c r="E985" s="14" t="s">
        <v>1089</v>
      </c>
      <c r="F985" s="7" t="n">
        <v>4000</v>
      </c>
    </row>
    <row r="986" customFormat="false" ht="15" hidden="false" customHeight="false" outlineLevel="0" collapsed="false">
      <c r="A986" s="2" t="s">
        <v>1090</v>
      </c>
      <c r="B986" s="13" t="n">
        <v>46278</v>
      </c>
      <c r="C986" s="2" t="s">
        <v>81</v>
      </c>
      <c r="D986" s="2" t="n">
        <v>2</v>
      </c>
      <c r="E986" s="14" t="s">
        <v>191</v>
      </c>
      <c r="F986" s="7" t="n">
        <v>15000</v>
      </c>
    </row>
    <row r="987" customFormat="false" ht="15" hidden="false" customHeight="false" outlineLevel="0" collapsed="false">
      <c r="A987" s="2" t="s">
        <v>1090</v>
      </c>
      <c r="B987" s="13" t="n">
        <v>46278</v>
      </c>
      <c r="C987" s="2" t="s">
        <v>112</v>
      </c>
      <c r="D987" s="2" t="n">
        <v>1</v>
      </c>
      <c r="E987" s="14" t="s">
        <v>191</v>
      </c>
      <c r="F987" s="7" t="n">
        <v>10000</v>
      </c>
    </row>
    <row r="988" customFormat="false" ht="15" hidden="false" customHeight="false" outlineLevel="0" collapsed="false">
      <c r="A988" s="2" t="s">
        <v>1091</v>
      </c>
      <c r="B988" s="13" t="n">
        <v>46278</v>
      </c>
      <c r="C988" s="2" t="s">
        <v>79</v>
      </c>
      <c r="D988" s="2" t="n">
        <v>1</v>
      </c>
      <c r="E988" s="14" t="s">
        <v>90</v>
      </c>
      <c r="F988" s="7" t="n">
        <v>16000</v>
      </c>
    </row>
    <row r="989" customFormat="false" ht="15" hidden="false" customHeight="false" outlineLevel="0" collapsed="false">
      <c r="A989" s="2" t="s">
        <v>1091</v>
      </c>
      <c r="B989" s="13" t="n">
        <v>46278</v>
      </c>
      <c r="C989" s="2" t="s">
        <v>84</v>
      </c>
      <c r="D989" s="2" t="n">
        <v>1</v>
      </c>
      <c r="E989" s="14" t="s">
        <v>90</v>
      </c>
      <c r="F989" s="7" t="n">
        <v>5000</v>
      </c>
    </row>
    <row r="990" customFormat="false" ht="15" hidden="false" customHeight="false" outlineLevel="0" collapsed="false">
      <c r="A990" s="2" t="s">
        <v>1092</v>
      </c>
      <c r="B990" s="13" t="n">
        <v>46278</v>
      </c>
      <c r="C990" s="2" t="s">
        <v>101</v>
      </c>
      <c r="D990" s="2" t="n">
        <v>1</v>
      </c>
      <c r="E990" s="14" t="s">
        <v>374</v>
      </c>
      <c r="F990" s="7" t="n">
        <v>18000</v>
      </c>
    </row>
    <row r="991" customFormat="false" ht="15" hidden="false" customHeight="false" outlineLevel="0" collapsed="false">
      <c r="A991" s="2" t="s">
        <v>1092</v>
      </c>
      <c r="B991" s="13" t="n">
        <v>46278</v>
      </c>
      <c r="C991" s="2" t="s">
        <v>132</v>
      </c>
      <c r="D991" s="2" t="n">
        <v>1</v>
      </c>
      <c r="E991" s="14" t="s">
        <v>374</v>
      </c>
      <c r="F991" s="7" t="n">
        <v>15000</v>
      </c>
    </row>
    <row r="992" customFormat="false" ht="15" hidden="false" customHeight="false" outlineLevel="0" collapsed="false">
      <c r="A992" s="2" t="s">
        <v>1093</v>
      </c>
      <c r="B992" s="13" t="n">
        <v>46278</v>
      </c>
      <c r="C992" s="2" t="s">
        <v>89</v>
      </c>
      <c r="D992" s="2" t="n">
        <v>1</v>
      </c>
      <c r="E992" s="14" t="s">
        <v>93</v>
      </c>
      <c r="F992" s="7" t="n">
        <v>14000</v>
      </c>
    </row>
    <row r="993" customFormat="false" ht="15" hidden="false" customHeight="false" outlineLevel="0" collapsed="false">
      <c r="A993" s="2" t="s">
        <v>1094</v>
      </c>
      <c r="B993" s="13" t="n">
        <v>46278</v>
      </c>
      <c r="C993" s="2" t="s">
        <v>84</v>
      </c>
      <c r="D993" s="2" t="n">
        <v>2</v>
      </c>
      <c r="E993" s="14" t="s">
        <v>1095</v>
      </c>
      <c r="F993" s="7" t="n">
        <v>5000</v>
      </c>
    </row>
    <row r="994" customFormat="false" ht="15" hidden="false" customHeight="false" outlineLevel="0" collapsed="false">
      <c r="A994" s="2" t="s">
        <v>1094</v>
      </c>
      <c r="B994" s="13" t="n">
        <v>46278</v>
      </c>
      <c r="C994" s="2" t="s">
        <v>132</v>
      </c>
      <c r="D994" s="2" t="n">
        <v>1</v>
      </c>
      <c r="E994" s="14" t="s">
        <v>193</v>
      </c>
      <c r="F994" s="7" t="n">
        <v>15000</v>
      </c>
    </row>
    <row r="995" customFormat="false" ht="15" hidden="false" customHeight="false" outlineLevel="0" collapsed="false">
      <c r="A995" s="2" t="s">
        <v>1096</v>
      </c>
      <c r="B995" s="13" t="n">
        <v>46278</v>
      </c>
      <c r="C995" s="2" t="s">
        <v>132</v>
      </c>
      <c r="D995" s="2" t="n">
        <v>1</v>
      </c>
      <c r="E995" s="14" t="s">
        <v>1097</v>
      </c>
      <c r="F995" s="7" t="n">
        <v>15000</v>
      </c>
    </row>
    <row r="996" customFormat="false" ht="15" hidden="false" customHeight="false" outlineLevel="0" collapsed="false">
      <c r="A996" s="2" t="s">
        <v>1098</v>
      </c>
      <c r="B996" s="13" t="n">
        <v>46278</v>
      </c>
      <c r="C996" s="2" t="s">
        <v>108</v>
      </c>
      <c r="D996" s="2" t="n">
        <v>1</v>
      </c>
      <c r="E996" s="14" t="s">
        <v>630</v>
      </c>
      <c r="F996" s="7" t="n">
        <v>20000</v>
      </c>
    </row>
    <row r="997" customFormat="false" ht="15" hidden="false" customHeight="false" outlineLevel="0" collapsed="false">
      <c r="A997" s="2" t="s">
        <v>1098</v>
      </c>
      <c r="B997" s="13" t="n">
        <v>46278</v>
      </c>
      <c r="C997" s="2" t="s">
        <v>101</v>
      </c>
      <c r="D997" s="2" t="n">
        <v>1</v>
      </c>
      <c r="E997" s="14" t="s">
        <v>630</v>
      </c>
      <c r="F997" s="7" t="n">
        <v>18000</v>
      </c>
    </row>
    <row r="998" customFormat="false" ht="15" hidden="false" customHeight="false" outlineLevel="0" collapsed="false">
      <c r="A998" s="2" t="s">
        <v>1099</v>
      </c>
      <c r="B998" s="13" t="n">
        <v>46278</v>
      </c>
      <c r="C998" s="2" t="s">
        <v>81</v>
      </c>
      <c r="D998" s="2" t="n">
        <v>1</v>
      </c>
      <c r="E998" s="14" t="s">
        <v>1024</v>
      </c>
      <c r="F998" s="7" t="n">
        <v>15000</v>
      </c>
    </row>
    <row r="999" customFormat="false" ht="15" hidden="false" customHeight="false" outlineLevel="0" collapsed="false">
      <c r="A999" s="2" t="s">
        <v>1100</v>
      </c>
      <c r="B999" s="13" t="n">
        <v>46278</v>
      </c>
      <c r="C999" s="2" t="s">
        <v>92</v>
      </c>
      <c r="D999" s="2" t="n">
        <v>1</v>
      </c>
      <c r="E999" s="14" t="s">
        <v>377</v>
      </c>
      <c r="F999" s="7" t="n">
        <v>4000</v>
      </c>
    </row>
    <row r="1000" customFormat="false" ht="15" hidden="false" customHeight="false" outlineLevel="0" collapsed="false">
      <c r="A1000" s="2" t="s">
        <v>1101</v>
      </c>
      <c r="B1000" s="13" t="n">
        <v>46278</v>
      </c>
      <c r="C1000" s="2" t="s">
        <v>81</v>
      </c>
      <c r="D1000" s="2" t="n">
        <v>1</v>
      </c>
      <c r="E1000" s="14" t="s">
        <v>943</v>
      </c>
      <c r="F1000" s="7" t="n">
        <v>15000</v>
      </c>
    </row>
    <row r="1001" customFormat="false" ht="15" hidden="false" customHeight="false" outlineLevel="0" collapsed="false">
      <c r="A1001" s="2" t="s">
        <v>1102</v>
      </c>
      <c r="B1001" s="13" t="n">
        <v>46278</v>
      </c>
      <c r="C1001" s="2" t="s">
        <v>92</v>
      </c>
      <c r="D1001" s="2" t="n">
        <v>1</v>
      </c>
      <c r="E1001" s="14" t="s">
        <v>1103</v>
      </c>
      <c r="F1001" s="7" t="n">
        <v>4000</v>
      </c>
    </row>
    <row r="1002" customFormat="false" ht="15" hidden="false" customHeight="false" outlineLevel="0" collapsed="false">
      <c r="A1002" s="2" t="s">
        <v>1102</v>
      </c>
      <c r="B1002" s="13" t="n">
        <v>46278</v>
      </c>
      <c r="C1002" s="2" t="s">
        <v>112</v>
      </c>
      <c r="D1002" s="2" t="n">
        <v>2</v>
      </c>
      <c r="E1002" s="14" t="s">
        <v>1103</v>
      </c>
      <c r="F1002" s="7" t="n">
        <v>10000</v>
      </c>
    </row>
    <row r="1003" customFormat="false" ht="15" hidden="false" customHeight="false" outlineLevel="0" collapsed="false">
      <c r="A1003" s="2" t="s">
        <v>1104</v>
      </c>
      <c r="B1003" s="13" t="n">
        <v>46278</v>
      </c>
      <c r="C1003" s="2" t="s">
        <v>89</v>
      </c>
      <c r="D1003" s="2" t="n">
        <v>1</v>
      </c>
      <c r="E1003" s="14" t="s">
        <v>201</v>
      </c>
      <c r="F1003" s="7" t="n">
        <v>14000</v>
      </c>
    </row>
    <row r="1004" customFormat="false" ht="15" hidden="false" customHeight="false" outlineLevel="0" collapsed="false">
      <c r="A1004" s="2" t="s">
        <v>1104</v>
      </c>
      <c r="B1004" s="13" t="n">
        <v>46278</v>
      </c>
      <c r="C1004" s="2" t="s">
        <v>186</v>
      </c>
      <c r="D1004" s="2" t="n">
        <v>1</v>
      </c>
      <c r="E1004" s="14" t="s">
        <v>201</v>
      </c>
      <c r="F1004" s="7" t="n">
        <v>7000</v>
      </c>
    </row>
    <row r="1005" customFormat="false" ht="15" hidden="false" customHeight="false" outlineLevel="0" collapsed="false">
      <c r="A1005" s="2" t="s">
        <v>1105</v>
      </c>
      <c r="B1005" s="13" t="n">
        <v>46278</v>
      </c>
      <c r="C1005" s="2" t="s">
        <v>108</v>
      </c>
      <c r="D1005" s="2" t="n">
        <v>1</v>
      </c>
      <c r="E1005" s="14" t="s">
        <v>1106</v>
      </c>
      <c r="F1005" s="7" t="n">
        <v>20000</v>
      </c>
    </row>
    <row r="1006" customFormat="false" ht="15" hidden="false" customHeight="false" outlineLevel="0" collapsed="false">
      <c r="A1006" s="2" t="s">
        <v>1105</v>
      </c>
      <c r="B1006" s="13" t="n">
        <v>46278</v>
      </c>
      <c r="C1006" s="2" t="s">
        <v>81</v>
      </c>
      <c r="D1006" s="2" t="n">
        <v>3</v>
      </c>
      <c r="E1006" s="14" t="s">
        <v>1106</v>
      </c>
      <c r="F1006" s="7" t="n">
        <v>15000</v>
      </c>
    </row>
    <row r="1007" customFormat="false" ht="15" hidden="false" customHeight="false" outlineLevel="0" collapsed="false">
      <c r="A1007" s="2" t="s">
        <v>1105</v>
      </c>
      <c r="B1007" s="13" t="n">
        <v>46278</v>
      </c>
      <c r="C1007" s="2" t="s">
        <v>79</v>
      </c>
      <c r="D1007" s="2" t="n">
        <v>2</v>
      </c>
      <c r="E1007" s="14" t="s">
        <v>1106</v>
      </c>
      <c r="F1007" s="7" t="n">
        <v>16000</v>
      </c>
    </row>
    <row r="1008" customFormat="false" ht="15" hidden="false" customHeight="false" outlineLevel="0" collapsed="false">
      <c r="A1008" s="2" t="s">
        <v>1107</v>
      </c>
      <c r="B1008" s="13" t="n">
        <v>46278</v>
      </c>
      <c r="C1008" s="2" t="s">
        <v>101</v>
      </c>
      <c r="D1008" s="2" t="n">
        <v>1</v>
      </c>
      <c r="E1008" s="14" t="s">
        <v>379</v>
      </c>
      <c r="F1008" s="7" t="n">
        <v>18000</v>
      </c>
    </row>
    <row r="1009" customFormat="false" ht="15" hidden="false" customHeight="false" outlineLevel="0" collapsed="false">
      <c r="A1009" s="2" t="s">
        <v>1107</v>
      </c>
      <c r="B1009" s="13" t="n">
        <v>46278</v>
      </c>
      <c r="C1009" s="2" t="s">
        <v>186</v>
      </c>
      <c r="D1009" s="2" t="n">
        <v>2</v>
      </c>
      <c r="E1009" s="14" t="s">
        <v>379</v>
      </c>
      <c r="F1009" s="7" t="n">
        <v>7000</v>
      </c>
    </row>
    <row r="1010" customFormat="false" ht="15" hidden="false" customHeight="false" outlineLevel="0" collapsed="false">
      <c r="A1010" s="2" t="s">
        <v>1108</v>
      </c>
      <c r="B1010" s="13" t="n">
        <v>46278</v>
      </c>
      <c r="C1010" s="2" t="s">
        <v>84</v>
      </c>
      <c r="D1010" s="2" t="n">
        <v>1</v>
      </c>
      <c r="E1010" s="14" t="s">
        <v>206</v>
      </c>
      <c r="F1010" s="7" t="n">
        <v>5000</v>
      </c>
    </row>
    <row r="1011" customFormat="false" ht="15" hidden="false" customHeight="false" outlineLevel="0" collapsed="false">
      <c r="A1011" s="2" t="s">
        <v>1109</v>
      </c>
      <c r="B1011" s="13" t="n">
        <v>46278</v>
      </c>
      <c r="C1011" s="2" t="s">
        <v>84</v>
      </c>
      <c r="D1011" s="2" t="n">
        <v>1</v>
      </c>
      <c r="E1011" s="14" t="s">
        <v>1110</v>
      </c>
      <c r="F1011" s="7" t="n">
        <v>5000</v>
      </c>
    </row>
    <row r="1012" customFormat="false" ht="15" hidden="false" customHeight="false" outlineLevel="0" collapsed="false">
      <c r="A1012" s="2" t="s">
        <v>1111</v>
      </c>
      <c r="B1012" s="13" t="n">
        <v>46278</v>
      </c>
      <c r="C1012" s="2" t="s">
        <v>89</v>
      </c>
      <c r="D1012" s="2" t="n">
        <v>1</v>
      </c>
      <c r="E1012" s="14" t="s">
        <v>556</v>
      </c>
      <c r="F1012" s="7" t="n">
        <v>14000</v>
      </c>
    </row>
    <row r="1013" customFormat="false" ht="15" hidden="false" customHeight="false" outlineLevel="0" collapsed="false">
      <c r="A1013" s="2" t="s">
        <v>1112</v>
      </c>
      <c r="B1013" s="13" t="n">
        <v>46278</v>
      </c>
      <c r="C1013" s="2" t="s">
        <v>79</v>
      </c>
      <c r="D1013" s="2" t="n">
        <v>1</v>
      </c>
      <c r="E1013" s="14" t="s">
        <v>1113</v>
      </c>
      <c r="F1013" s="7" t="n">
        <v>16000</v>
      </c>
    </row>
    <row r="1014" customFormat="false" ht="15" hidden="false" customHeight="false" outlineLevel="0" collapsed="false">
      <c r="A1014" s="2" t="s">
        <v>1112</v>
      </c>
      <c r="B1014" s="13" t="n">
        <v>46278</v>
      </c>
      <c r="C1014" s="2" t="s">
        <v>186</v>
      </c>
      <c r="D1014" s="2" t="n">
        <v>2</v>
      </c>
      <c r="E1014" s="14" t="s">
        <v>1113</v>
      </c>
      <c r="F1014" s="7" t="n">
        <v>7000</v>
      </c>
    </row>
    <row r="1015" customFormat="false" ht="15" hidden="false" customHeight="false" outlineLevel="0" collapsed="false">
      <c r="A1015" s="2" t="s">
        <v>1114</v>
      </c>
      <c r="B1015" s="13" t="n">
        <v>46278</v>
      </c>
      <c r="C1015" s="2" t="s">
        <v>84</v>
      </c>
      <c r="D1015" s="2" t="n">
        <v>2</v>
      </c>
      <c r="E1015" s="14" t="s">
        <v>951</v>
      </c>
      <c r="F1015" s="7" t="n">
        <v>5000</v>
      </c>
    </row>
    <row r="1016" customFormat="false" ht="15" hidden="false" customHeight="false" outlineLevel="0" collapsed="false">
      <c r="A1016" s="2" t="s">
        <v>1115</v>
      </c>
      <c r="B1016" s="13" t="n">
        <v>46278</v>
      </c>
      <c r="C1016" s="2" t="s">
        <v>79</v>
      </c>
      <c r="D1016" s="2" t="n">
        <v>2</v>
      </c>
      <c r="E1016" s="14" t="s">
        <v>1116</v>
      </c>
      <c r="F1016" s="7" t="n">
        <v>16000</v>
      </c>
    </row>
    <row r="1017" customFormat="false" ht="15" hidden="false" customHeight="false" outlineLevel="0" collapsed="false">
      <c r="A1017" s="2" t="s">
        <v>1117</v>
      </c>
      <c r="B1017" s="13" t="n">
        <v>46278</v>
      </c>
      <c r="C1017" s="2" t="s">
        <v>84</v>
      </c>
      <c r="D1017" s="2" t="n">
        <v>1</v>
      </c>
      <c r="E1017" s="14" t="s">
        <v>572</v>
      </c>
      <c r="F1017" s="7" t="n">
        <v>5000</v>
      </c>
    </row>
    <row r="1018" customFormat="false" ht="15" hidden="false" customHeight="false" outlineLevel="0" collapsed="false">
      <c r="A1018" s="2" t="s">
        <v>1118</v>
      </c>
      <c r="B1018" s="13" t="n">
        <v>46278</v>
      </c>
      <c r="C1018" s="2" t="s">
        <v>79</v>
      </c>
      <c r="D1018" s="2" t="n">
        <v>1</v>
      </c>
      <c r="E1018" s="14" t="s">
        <v>1119</v>
      </c>
      <c r="F1018" s="7" t="n">
        <v>16000</v>
      </c>
    </row>
    <row r="1019" customFormat="false" ht="15" hidden="false" customHeight="false" outlineLevel="0" collapsed="false">
      <c r="A1019" s="2" t="s">
        <v>1118</v>
      </c>
      <c r="B1019" s="13" t="n">
        <v>46278</v>
      </c>
      <c r="C1019" s="2" t="s">
        <v>84</v>
      </c>
      <c r="D1019" s="2" t="n">
        <v>2</v>
      </c>
      <c r="E1019" s="14" t="s">
        <v>1119</v>
      </c>
      <c r="F1019" s="7" t="n">
        <v>5000</v>
      </c>
    </row>
    <row r="1020" customFormat="false" ht="15" hidden="false" customHeight="false" outlineLevel="0" collapsed="false">
      <c r="A1020" s="2" t="s">
        <v>1118</v>
      </c>
      <c r="B1020" s="13" t="n">
        <v>46278</v>
      </c>
      <c r="C1020" s="2" t="s">
        <v>82</v>
      </c>
      <c r="D1020" s="2" t="n">
        <v>1</v>
      </c>
      <c r="E1020" s="14" t="s">
        <v>1119</v>
      </c>
      <c r="F1020" s="7" t="n">
        <v>13000</v>
      </c>
    </row>
    <row r="1021" customFormat="false" ht="15" hidden="false" customHeight="false" outlineLevel="0" collapsed="false">
      <c r="A1021" s="2" t="s">
        <v>1120</v>
      </c>
      <c r="B1021" s="13" t="n">
        <v>46278</v>
      </c>
      <c r="C1021" s="2" t="s">
        <v>132</v>
      </c>
      <c r="D1021" s="2" t="n">
        <v>3</v>
      </c>
      <c r="E1021" s="14" t="s">
        <v>491</v>
      </c>
      <c r="F1021" s="7" t="n">
        <v>15000</v>
      </c>
    </row>
    <row r="1022" customFormat="false" ht="15" hidden="false" customHeight="false" outlineLevel="0" collapsed="false">
      <c r="A1022" s="2" t="s">
        <v>1120</v>
      </c>
      <c r="B1022" s="13" t="n">
        <v>46278</v>
      </c>
      <c r="C1022" s="2" t="s">
        <v>79</v>
      </c>
      <c r="D1022" s="2" t="n">
        <v>1</v>
      </c>
      <c r="E1022" s="14" t="s">
        <v>491</v>
      </c>
      <c r="F1022" s="7" t="n">
        <v>16000</v>
      </c>
    </row>
    <row r="1023" customFormat="false" ht="15" hidden="false" customHeight="false" outlineLevel="0" collapsed="false">
      <c r="A1023" s="2" t="s">
        <v>1121</v>
      </c>
      <c r="B1023" s="13" t="n">
        <v>46278</v>
      </c>
      <c r="C1023" s="2" t="s">
        <v>112</v>
      </c>
      <c r="D1023" s="2" t="n">
        <v>3</v>
      </c>
      <c r="E1023" s="14" t="s">
        <v>222</v>
      </c>
      <c r="F1023" s="7" t="n">
        <v>10000</v>
      </c>
    </row>
    <row r="1024" customFormat="false" ht="15" hidden="false" customHeight="false" outlineLevel="0" collapsed="false">
      <c r="A1024" s="2" t="s">
        <v>1121</v>
      </c>
      <c r="B1024" s="13" t="n">
        <v>46278</v>
      </c>
      <c r="C1024" s="2" t="s">
        <v>84</v>
      </c>
      <c r="D1024" s="2" t="n">
        <v>1</v>
      </c>
      <c r="E1024" s="14" t="s">
        <v>222</v>
      </c>
      <c r="F1024" s="7" t="n">
        <v>5000</v>
      </c>
    </row>
    <row r="1025" customFormat="false" ht="15" hidden="false" customHeight="false" outlineLevel="0" collapsed="false">
      <c r="A1025" s="2" t="s">
        <v>1121</v>
      </c>
      <c r="B1025" s="13" t="n">
        <v>46278</v>
      </c>
      <c r="C1025" s="2" t="s">
        <v>81</v>
      </c>
      <c r="D1025" s="2" t="n">
        <v>1</v>
      </c>
      <c r="E1025" s="14" t="s">
        <v>222</v>
      </c>
      <c r="F1025" s="7" t="n">
        <v>15000</v>
      </c>
    </row>
    <row r="1026" customFormat="false" ht="15" hidden="false" customHeight="false" outlineLevel="0" collapsed="false">
      <c r="A1026" s="2" t="s">
        <v>1121</v>
      </c>
      <c r="B1026" s="13" t="n">
        <v>46278</v>
      </c>
      <c r="C1026" s="2" t="s">
        <v>81</v>
      </c>
      <c r="D1026" s="2" t="n">
        <v>1</v>
      </c>
      <c r="E1026" s="14" t="s">
        <v>222</v>
      </c>
      <c r="F1026" s="7" t="n">
        <v>15000</v>
      </c>
    </row>
    <row r="1027" customFormat="false" ht="15" hidden="false" customHeight="false" outlineLevel="0" collapsed="false">
      <c r="A1027" s="2" t="s">
        <v>1122</v>
      </c>
      <c r="B1027" s="13" t="n">
        <v>46278</v>
      </c>
      <c r="C1027" s="2" t="s">
        <v>84</v>
      </c>
      <c r="D1027" s="2" t="n">
        <v>1</v>
      </c>
      <c r="E1027" s="14" t="s">
        <v>1123</v>
      </c>
      <c r="F1027" s="7" t="n">
        <v>5000</v>
      </c>
    </row>
    <row r="1028" customFormat="false" ht="15" hidden="false" customHeight="false" outlineLevel="0" collapsed="false">
      <c r="A1028" s="2" t="s">
        <v>1122</v>
      </c>
      <c r="B1028" s="13" t="n">
        <v>46278</v>
      </c>
      <c r="C1028" s="2" t="s">
        <v>186</v>
      </c>
      <c r="D1028" s="2" t="n">
        <v>1</v>
      </c>
      <c r="E1028" s="14" t="s">
        <v>1123</v>
      </c>
      <c r="F1028" s="7" t="n">
        <v>7000</v>
      </c>
    </row>
    <row r="1029" customFormat="false" ht="15" hidden="false" customHeight="false" outlineLevel="0" collapsed="false">
      <c r="A1029" s="2" t="s">
        <v>1124</v>
      </c>
      <c r="B1029" s="13" t="n">
        <v>46278</v>
      </c>
      <c r="C1029" s="2" t="s">
        <v>112</v>
      </c>
      <c r="D1029" s="2" t="n">
        <v>1</v>
      </c>
      <c r="E1029" s="14" t="s">
        <v>313</v>
      </c>
      <c r="F1029" s="7" t="n">
        <v>10000</v>
      </c>
    </row>
    <row r="1030" customFormat="false" ht="15" hidden="false" customHeight="false" outlineLevel="0" collapsed="false">
      <c r="A1030" s="2" t="s">
        <v>1125</v>
      </c>
      <c r="B1030" s="13" t="n">
        <v>46278</v>
      </c>
      <c r="C1030" s="2" t="s">
        <v>101</v>
      </c>
      <c r="D1030" s="2" t="n">
        <v>2</v>
      </c>
      <c r="E1030" s="14" t="s">
        <v>666</v>
      </c>
      <c r="F1030" s="7" t="n">
        <v>18000</v>
      </c>
    </row>
    <row r="1031" customFormat="false" ht="15" hidden="false" customHeight="false" outlineLevel="0" collapsed="false">
      <c r="A1031" s="2" t="s">
        <v>1125</v>
      </c>
      <c r="B1031" s="13" t="n">
        <v>46278</v>
      </c>
      <c r="C1031" s="2" t="s">
        <v>132</v>
      </c>
      <c r="D1031" s="2" t="n">
        <v>2</v>
      </c>
      <c r="E1031" s="14" t="s">
        <v>666</v>
      </c>
      <c r="F1031" s="7" t="n">
        <v>15000</v>
      </c>
    </row>
    <row r="1032" customFormat="false" ht="15" hidden="false" customHeight="false" outlineLevel="0" collapsed="false">
      <c r="A1032" s="2" t="s">
        <v>1126</v>
      </c>
      <c r="B1032" s="13" t="n">
        <v>46278</v>
      </c>
      <c r="C1032" s="2" t="s">
        <v>101</v>
      </c>
      <c r="D1032" s="2" t="n">
        <v>1</v>
      </c>
      <c r="E1032" s="14" t="s">
        <v>739</v>
      </c>
      <c r="F1032" s="7" t="n">
        <v>18000</v>
      </c>
    </row>
    <row r="1033" customFormat="false" ht="15" hidden="false" customHeight="false" outlineLevel="0" collapsed="false">
      <c r="A1033" s="2" t="s">
        <v>1126</v>
      </c>
      <c r="B1033" s="13" t="n">
        <v>46278</v>
      </c>
      <c r="C1033" s="2" t="s">
        <v>84</v>
      </c>
      <c r="D1033" s="2" t="n">
        <v>1</v>
      </c>
      <c r="E1033" s="14" t="s">
        <v>739</v>
      </c>
      <c r="F1033" s="7" t="n">
        <v>5000</v>
      </c>
    </row>
    <row r="1034" customFormat="false" ht="15" hidden="false" customHeight="false" outlineLevel="0" collapsed="false">
      <c r="A1034" s="2" t="s">
        <v>1127</v>
      </c>
      <c r="B1034" s="13" t="n">
        <v>46278</v>
      </c>
      <c r="C1034" s="2" t="s">
        <v>84</v>
      </c>
      <c r="D1034" s="2" t="n">
        <v>1</v>
      </c>
      <c r="E1034" s="14" t="s">
        <v>228</v>
      </c>
      <c r="F1034" s="7" t="n">
        <v>5000</v>
      </c>
    </row>
    <row r="1035" customFormat="false" ht="15" hidden="false" customHeight="false" outlineLevel="0" collapsed="false">
      <c r="A1035" s="2" t="s">
        <v>1127</v>
      </c>
      <c r="B1035" s="13" t="n">
        <v>46278</v>
      </c>
      <c r="C1035" s="2" t="s">
        <v>84</v>
      </c>
      <c r="D1035" s="2" t="n">
        <v>1</v>
      </c>
      <c r="E1035" s="14" t="s">
        <v>228</v>
      </c>
      <c r="F1035" s="7" t="n">
        <v>5000</v>
      </c>
    </row>
    <row r="1036" customFormat="false" ht="15" hidden="false" customHeight="false" outlineLevel="0" collapsed="false">
      <c r="A1036" s="2" t="s">
        <v>1127</v>
      </c>
      <c r="B1036" s="13" t="n">
        <v>46278</v>
      </c>
      <c r="C1036" s="2" t="s">
        <v>112</v>
      </c>
      <c r="D1036" s="2" t="n">
        <v>2</v>
      </c>
      <c r="E1036" s="14" t="s">
        <v>228</v>
      </c>
      <c r="F1036" s="7" t="n">
        <v>10000</v>
      </c>
    </row>
    <row r="1037" customFormat="false" ht="15" hidden="false" customHeight="false" outlineLevel="0" collapsed="false">
      <c r="A1037" s="2" t="s">
        <v>1128</v>
      </c>
      <c r="B1037" s="13" t="n">
        <v>46278</v>
      </c>
      <c r="C1037" s="2" t="s">
        <v>79</v>
      </c>
      <c r="D1037" s="2" t="n">
        <v>2</v>
      </c>
      <c r="E1037" s="14" t="s">
        <v>823</v>
      </c>
      <c r="F1037" s="7" t="n">
        <v>16000</v>
      </c>
    </row>
    <row r="1038" customFormat="false" ht="15" hidden="false" customHeight="false" outlineLevel="0" collapsed="false">
      <c r="A1038" s="2" t="s">
        <v>1128</v>
      </c>
      <c r="B1038" s="13" t="n">
        <v>46278</v>
      </c>
      <c r="C1038" s="2" t="s">
        <v>101</v>
      </c>
      <c r="D1038" s="2" t="n">
        <v>1</v>
      </c>
      <c r="E1038" s="14" t="s">
        <v>823</v>
      </c>
      <c r="F1038" s="7" t="n">
        <v>18000</v>
      </c>
    </row>
    <row r="1039" customFormat="false" ht="15" hidden="false" customHeight="false" outlineLevel="0" collapsed="false">
      <c r="A1039" s="2" t="s">
        <v>1129</v>
      </c>
      <c r="B1039" s="13" t="n">
        <v>46278</v>
      </c>
      <c r="C1039" s="2" t="s">
        <v>132</v>
      </c>
      <c r="D1039" s="2" t="n">
        <v>1</v>
      </c>
      <c r="E1039" s="14" t="s">
        <v>241</v>
      </c>
      <c r="F1039" s="7" t="n">
        <v>15000</v>
      </c>
    </row>
    <row r="1040" customFormat="false" ht="15" hidden="false" customHeight="false" outlineLevel="0" collapsed="false">
      <c r="A1040" s="2" t="s">
        <v>1130</v>
      </c>
      <c r="B1040" s="13" t="n">
        <v>46278</v>
      </c>
      <c r="C1040" s="2" t="s">
        <v>108</v>
      </c>
      <c r="D1040" s="2" t="n">
        <v>1</v>
      </c>
      <c r="E1040" s="14" t="s">
        <v>154</v>
      </c>
      <c r="F1040" s="7" t="n">
        <v>20000</v>
      </c>
    </row>
    <row r="1041" customFormat="false" ht="15" hidden="false" customHeight="false" outlineLevel="0" collapsed="false">
      <c r="A1041" s="2" t="s">
        <v>1130</v>
      </c>
      <c r="B1041" s="13" t="n">
        <v>46278</v>
      </c>
      <c r="C1041" s="2" t="s">
        <v>186</v>
      </c>
      <c r="D1041" s="2" t="n">
        <v>1</v>
      </c>
      <c r="E1041" s="14" t="s">
        <v>154</v>
      </c>
      <c r="F1041" s="7" t="n">
        <v>7000</v>
      </c>
    </row>
    <row r="1042" customFormat="false" ht="15" hidden="false" customHeight="false" outlineLevel="0" collapsed="false">
      <c r="A1042" s="2" t="s">
        <v>1131</v>
      </c>
      <c r="B1042" s="13" t="n">
        <v>46278</v>
      </c>
      <c r="C1042" s="2" t="s">
        <v>81</v>
      </c>
      <c r="D1042" s="2" t="n">
        <v>2</v>
      </c>
      <c r="E1042" s="14" t="s">
        <v>683</v>
      </c>
      <c r="F1042" s="7" t="n">
        <v>15000</v>
      </c>
    </row>
    <row r="1043" customFormat="false" ht="15" hidden="false" customHeight="false" outlineLevel="0" collapsed="false">
      <c r="A1043" s="2" t="s">
        <v>1132</v>
      </c>
      <c r="B1043" s="13" t="n">
        <v>46278</v>
      </c>
      <c r="C1043" s="2" t="s">
        <v>112</v>
      </c>
      <c r="D1043" s="2" t="n">
        <v>1</v>
      </c>
      <c r="E1043" s="14" t="s">
        <v>605</v>
      </c>
      <c r="F1043" s="7" t="n">
        <v>10000</v>
      </c>
    </row>
    <row r="1044" customFormat="false" ht="15" hidden="false" customHeight="false" outlineLevel="0" collapsed="false">
      <c r="A1044" s="2" t="s">
        <v>1133</v>
      </c>
      <c r="B1044" s="13" t="n">
        <v>46278</v>
      </c>
      <c r="C1044" s="2" t="s">
        <v>126</v>
      </c>
      <c r="D1044" s="2" t="n">
        <v>2</v>
      </c>
      <c r="E1044" s="14" t="s">
        <v>1134</v>
      </c>
      <c r="F1044" s="7" t="n">
        <v>3000</v>
      </c>
    </row>
    <row r="1045" customFormat="false" ht="15" hidden="false" customHeight="false" outlineLevel="0" collapsed="false">
      <c r="A1045" s="2" t="s">
        <v>1135</v>
      </c>
      <c r="B1045" s="13" t="n">
        <v>46278</v>
      </c>
      <c r="C1045" s="2" t="s">
        <v>126</v>
      </c>
      <c r="D1045" s="2" t="n">
        <v>1</v>
      </c>
      <c r="E1045" s="14" t="s">
        <v>685</v>
      </c>
      <c r="F1045" s="7" t="n">
        <v>3000</v>
      </c>
    </row>
    <row r="1046" customFormat="false" ht="15" hidden="false" customHeight="false" outlineLevel="0" collapsed="false">
      <c r="A1046" s="2" t="s">
        <v>1136</v>
      </c>
      <c r="B1046" s="13" t="n">
        <v>46278</v>
      </c>
      <c r="C1046" s="2" t="s">
        <v>126</v>
      </c>
      <c r="D1046" s="2" t="n">
        <v>1</v>
      </c>
      <c r="E1046" s="14" t="s">
        <v>1137</v>
      </c>
      <c r="F1046" s="7" t="n">
        <v>3000</v>
      </c>
    </row>
    <row r="1047" customFormat="false" ht="15" hidden="false" customHeight="false" outlineLevel="0" collapsed="false">
      <c r="A1047" s="2" t="s">
        <v>1136</v>
      </c>
      <c r="B1047" s="13" t="n">
        <v>46278</v>
      </c>
      <c r="C1047" s="2" t="s">
        <v>186</v>
      </c>
      <c r="D1047" s="2" t="n">
        <v>2</v>
      </c>
      <c r="E1047" s="14" t="s">
        <v>1137</v>
      </c>
      <c r="F1047" s="7" t="n">
        <v>7000</v>
      </c>
    </row>
    <row r="1048" customFormat="false" ht="15" hidden="false" customHeight="false" outlineLevel="0" collapsed="false">
      <c r="A1048" s="2" t="s">
        <v>1138</v>
      </c>
      <c r="B1048" s="13" t="n">
        <v>46278</v>
      </c>
      <c r="C1048" s="2" t="s">
        <v>89</v>
      </c>
      <c r="D1048" s="2" t="n">
        <v>1</v>
      </c>
      <c r="E1048" s="14" t="s">
        <v>333</v>
      </c>
      <c r="F1048" s="7" t="n">
        <v>14000</v>
      </c>
    </row>
    <row r="1049" customFormat="false" ht="15" hidden="false" customHeight="false" outlineLevel="0" collapsed="false">
      <c r="A1049" s="2" t="s">
        <v>1138</v>
      </c>
      <c r="B1049" s="13" t="n">
        <v>46278</v>
      </c>
      <c r="C1049" s="2" t="s">
        <v>101</v>
      </c>
      <c r="D1049" s="2" t="n">
        <v>1</v>
      </c>
      <c r="E1049" s="14" t="s">
        <v>333</v>
      </c>
      <c r="F1049" s="7" t="n">
        <v>18000</v>
      </c>
    </row>
    <row r="1050" customFormat="false" ht="15" hidden="false" customHeight="false" outlineLevel="0" collapsed="false">
      <c r="A1050" s="2" t="s">
        <v>1139</v>
      </c>
      <c r="B1050" s="13" t="n">
        <v>46278</v>
      </c>
      <c r="C1050" s="2" t="s">
        <v>108</v>
      </c>
      <c r="D1050" s="2" t="n">
        <v>1</v>
      </c>
      <c r="E1050" s="14" t="s">
        <v>525</v>
      </c>
      <c r="F1050" s="7" t="n">
        <v>20000</v>
      </c>
    </row>
    <row r="1051" customFormat="false" ht="15" hidden="false" customHeight="false" outlineLevel="0" collapsed="false">
      <c r="A1051" s="2" t="s">
        <v>1139</v>
      </c>
      <c r="B1051" s="13" t="n">
        <v>46278</v>
      </c>
      <c r="C1051" s="2" t="s">
        <v>92</v>
      </c>
      <c r="D1051" s="2" t="n">
        <v>1</v>
      </c>
      <c r="E1051" s="14" t="s">
        <v>525</v>
      </c>
      <c r="F1051" s="7" t="n">
        <v>4000</v>
      </c>
    </row>
    <row r="1052" customFormat="false" ht="15" hidden="false" customHeight="false" outlineLevel="0" collapsed="false">
      <c r="A1052" s="2" t="s">
        <v>1140</v>
      </c>
      <c r="B1052" s="13" t="n">
        <v>46278</v>
      </c>
      <c r="C1052" s="2" t="s">
        <v>108</v>
      </c>
      <c r="D1052" s="2" t="n">
        <v>2</v>
      </c>
      <c r="E1052" s="14" t="s">
        <v>1141</v>
      </c>
      <c r="F1052" s="7" t="n">
        <v>20000</v>
      </c>
    </row>
    <row r="1053" customFormat="false" ht="15" hidden="false" customHeight="false" outlineLevel="0" collapsed="false">
      <c r="A1053" s="2" t="s">
        <v>1140</v>
      </c>
      <c r="B1053" s="13" t="n">
        <v>46278</v>
      </c>
      <c r="C1053" s="2" t="s">
        <v>89</v>
      </c>
      <c r="D1053" s="2" t="n">
        <v>1</v>
      </c>
      <c r="E1053" s="14" t="s">
        <v>1141</v>
      </c>
      <c r="F1053" s="7" t="n">
        <v>14000</v>
      </c>
    </row>
    <row r="1054" customFormat="false" ht="15" hidden="false" customHeight="false" outlineLevel="0" collapsed="false">
      <c r="A1054" s="2" t="s">
        <v>1142</v>
      </c>
      <c r="B1054" s="13" t="n">
        <v>46278</v>
      </c>
      <c r="C1054" s="2" t="s">
        <v>101</v>
      </c>
      <c r="D1054" s="2" t="n">
        <v>1</v>
      </c>
      <c r="E1054" s="14" t="s">
        <v>1143</v>
      </c>
      <c r="F1054" s="7" t="n">
        <v>18000</v>
      </c>
    </row>
    <row r="1055" customFormat="false" ht="15" hidden="false" customHeight="false" outlineLevel="0" collapsed="false">
      <c r="A1055" s="2" t="s">
        <v>1142</v>
      </c>
      <c r="B1055" s="13" t="n">
        <v>46278</v>
      </c>
      <c r="C1055" s="2" t="s">
        <v>1144</v>
      </c>
      <c r="D1055" s="2" t="n">
        <v>2</v>
      </c>
      <c r="E1055" s="14" t="s">
        <v>1143</v>
      </c>
      <c r="F1055" s="7" t="n">
        <v>14000</v>
      </c>
    </row>
    <row r="1056" customFormat="false" ht="15" hidden="false" customHeight="false" outlineLevel="0" collapsed="false">
      <c r="A1056" s="2" t="s">
        <v>1142</v>
      </c>
      <c r="B1056" s="13" t="n">
        <v>46278</v>
      </c>
      <c r="C1056" s="2" t="s">
        <v>186</v>
      </c>
      <c r="D1056" s="2" t="n">
        <v>1</v>
      </c>
      <c r="E1056" s="14" t="s">
        <v>1143</v>
      </c>
      <c r="F1056" s="7" t="n">
        <v>7000</v>
      </c>
    </row>
    <row r="1057" customFormat="false" ht="15" hidden="false" customHeight="false" outlineLevel="0" collapsed="false">
      <c r="A1057" s="2" t="s">
        <v>1145</v>
      </c>
      <c r="B1057" s="13" t="n">
        <v>46279</v>
      </c>
      <c r="C1057" s="2" t="s">
        <v>186</v>
      </c>
      <c r="D1057" s="2" t="n">
        <v>1</v>
      </c>
      <c r="E1057" s="14" t="s">
        <v>1146</v>
      </c>
      <c r="F1057" s="7" t="n">
        <v>7000</v>
      </c>
    </row>
    <row r="1058" customFormat="false" ht="15" hidden="false" customHeight="false" outlineLevel="0" collapsed="false">
      <c r="A1058" s="2" t="s">
        <v>1145</v>
      </c>
      <c r="B1058" s="13" t="n">
        <v>46279</v>
      </c>
      <c r="C1058" s="2" t="s">
        <v>89</v>
      </c>
      <c r="D1058" s="2" t="n">
        <v>3</v>
      </c>
      <c r="E1058" s="14" t="s">
        <v>1146</v>
      </c>
      <c r="F1058" s="7" t="n">
        <v>14000</v>
      </c>
    </row>
    <row r="1059" customFormat="false" ht="15" hidden="false" customHeight="false" outlineLevel="0" collapsed="false">
      <c r="A1059" s="2" t="s">
        <v>1147</v>
      </c>
      <c r="B1059" s="13" t="n">
        <v>46279</v>
      </c>
      <c r="C1059" s="2" t="s">
        <v>82</v>
      </c>
      <c r="D1059" s="2" t="n">
        <v>2</v>
      </c>
      <c r="E1059" s="14" t="s">
        <v>1148</v>
      </c>
      <c r="F1059" s="7" t="n">
        <v>13000</v>
      </c>
    </row>
    <row r="1060" customFormat="false" ht="15" hidden="false" customHeight="false" outlineLevel="0" collapsed="false">
      <c r="A1060" s="2" t="s">
        <v>1147</v>
      </c>
      <c r="B1060" s="13" t="n">
        <v>46279</v>
      </c>
      <c r="C1060" s="2" t="s">
        <v>89</v>
      </c>
      <c r="D1060" s="2" t="n">
        <v>1</v>
      </c>
      <c r="E1060" s="14" t="s">
        <v>1148</v>
      </c>
      <c r="F1060" s="7"/>
    </row>
    <row r="1061" customFormat="false" ht="15" hidden="false" customHeight="false" outlineLevel="0" collapsed="false">
      <c r="A1061" s="2" t="s">
        <v>1149</v>
      </c>
      <c r="B1061" s="13" t="n">
        <v>46279</v>
      </c>
      <c r="C1061" s="2" t="s">
        <v>79</v>
      </c>
      <c r="D1061" s="2" t="n">
        <v>1</v>
      </c>
      <c r="E1061" s="14" t="s">
        <v>1150</v>
      </c>
      <c r="F1061" s="7" t="n">
        <v>16000</v>
      </c>
    </row>
    <row r="1062" customFormat="false" ht="15" hidden="false" customHeight="false" outlineLevel="0" collapsed="false">
      <c r="A1062" s="2" t="s">
        <v>1149</v>
      </c>
      <c r="B1062" s="13" t="n">
        <v>46279</v>
      </c>
      <c r="C1062" s="2" t="s">
        <v>101</v>
      </c>
      <c r="D1062" s="2" t="n">
        <v>1</v>
      </c>
      <c r="E1062" s="14" t="s">
        <v>1150</v>
      </c>
      <c r="F1062" s="7" t="n">
        <v>18000</v>
      </c>
    </row>
    <row r="1063" customFormat="false" ht="15" hidden="false" customHeight="false" outlineLevel="0" collapsed="false">
      <c r="A1063" s="2" t="s">
        <v>1151</v>
      </c>
      <c r="B1063" s="13" t="n">
        <v>46279</v>
      </c>
      <c r="C1063" s="2" t="s">
        <v>84</v>
      </c>
      <c r="D1063" s="2" t="n">
        <v>1</v>
      </c>
      <c r="E1063" s="14" t="s">
        <v>1152</v>
      </c>
      <c r="F1063" s="7" t="n">
        <v>5000</v>
      </c>
    </row>
    <row r="1064" customFormat="false" ht="15" hidden="false" customHeight="false" outlineLevel="0" collapsed="false">
      <c r="A1064" s="2" t="s">
        <v>1153</v>
      </c>
      <c r="B1064" s="13" t="n">
        <v>46279</v>
      </c>
      <c r="C1064" s="2" t="s">
        <v>89</v>
      </c>
      <c r="D1064" s="2" t="n">
        <v>1</v>
      </c>
      <c r="E1064" s="14" t="s">
        <v>1154</v>
      </c>
      <c r="F1064" s="7" t="n">
        <v>14000</v>
      </c>
    </row>
    <row r="1065" customFormat="false" ht="15" hidden="false" customHeight="false" outlineLevel="0" collapsed="false">
      <c r="A1065" s="2" t="s">
        <v>1153</v>
      </c>
      <c r="B1065" s="13" t="n">
        <v>46279</v>
      </c>
      <c r="C1065" s="2" t="s">
        <v>81</v>
      </c>
      <c r="D1065" s="2" t="n">
        <v>1</v>
      </c>
      <c r="E1065" s="14" t="s">
        <v>1154</v>
      </c>
      <c r="F1065" s="7" t="n">
        <v>15000</v>
      </c>
    </row>
    <row r="1066" customFormat="false" ht="15" hidden="false" customHeight="false" outlineLevel="0" collapsed="false">
      <c r="A1066" s="2" t="s">
        <v>1155</v>
      </c>
      <c r="B1066" s="13" t="n">
        <v>46279</v>
      </c>
      <c r="C1066" s="2" t="s">
        <v>84</v>
      </c>
      <c r="D1066" s="2" t="n">
        <v>1</v>
      </c>
      <c r="E1066" s="14" t="s">
        <v>1156</v>
      </c>
      <c r="F1066" s="7" t="n">
        <v>5000</v>
      </c>
    </row>
    <row r="1067" customFormat="false" ht="15" hidden="false" customHeight="false" outlineLevel="0" collapsed="false">
      <c r="A1067" s="2" t="s">
        <v>1155</v>
      </c>
      <c r="B1067" s="13" t="n">
        <v>46279</v>
      </c>
      <c r="C1067" s="2" t="s">
        <v>112</v>
      </c>
      <c r="D1067" s="2" t="n">
        <v>1</v>
      </c>
      <c r="E1067" s="14" t="s">
        <v>1156</v>
      </c>
      <c r="F1067" s="7" t="n">
        <v>10000</v>
      </c>
    </row>
    <row r="1068" customFormat="false" ht="15" hidden="false" customHeight="false" outlineLevel="0" collapsed="false">
      <c r="A1068" s="2" t="s">
        <v>1155</v>
      </c>
      <c r="B1068" s="13" t="n">
        <v>46279</v>
      </c>
      <c r="C1068" s="2" t="s">
        <v>108</v>
      </c>
      <c r="D1068" s="2" t="n">
        <v>1</v>
      </c>
      <c r="E1068" s="14" t="s">
        <v>1156</v>
      </c>
      <c r="F1068" s="7" t="n">
        <v>20000</v>
      </c>
    </row>
    <row r="1069" customFormat="false" ht="15" hidden="false" customHeight="false" outlineLevel="0" collapsed="false">
      <c r="A1069" s="2" t="s">
        <v>1157</v>
      </c>
      <c r="B1069" s="13" t="n">
        <v>46279</v>
      </c>
      <c r="C1069" s="2" t="s">
        <v>79</v>
      </c>
      <c r="D1069" s="2" t="n">
        <v>1</v>
      </c>
      <c r="E1069" s="14" t="s">
        <v>1158</v>
      </c>
      <c r="F1069" s="7" t="n">
        <v>16000</v>
      </c>
    </row>
    <row r="1070" customFormat="false" ht="15" hidden="false" customHeight="false" outlineLevel="0" collapsed="false">
      <c r="A1070" s="2" t="s">
        <v>1159</v>
      </c>
      <c r="B1070" s="13" t="n">
        <v>46279</v>
      </c>
      <c r="C1070" s="2" t="s">
        <v>186</v>
      </c>
      <c r="D1070" s="2" t="n">
        <v>1</v>
      </c>
      <c r="E1070" s="14" t="s">
        <v>1160</v>
      </c>
      <c r="F1070" s="7" t="n">
        <v>7000</v>
      </c>
    </row>
    <row r="1071" customFormat="false" ht="15" hidden="false" customHeight="false" outlineLevel="0" collapsed="false">
      <c r="A1071" s="2" t="s">
        <v>1159</v>
      </c>
      <c r="B1071" s="13" t="n">
        <v>46279</v>
      </c>
      <c r="C1071" s="2" t="s">
        <v>81</v>
      </c>
      <c r="D1071" s="2" t="n">
        <v>3</v>
      </c>
      <c r="E1071" s="14" t="s">
        <v>1160</v>
      </c>
      <c r="F1071" s="7" t="n">
        <v>15000</v>
      </c>
    </row>
    <row r="1072" customFormat="false" ht="15" hidden="false" customHeight="false" outlineLevel="0" collapsed="false">
      <c r="A1072" s="2" t="s">
        <v>1161</v>
      </c>
      <c r="B1072" s="13" t="n">
        <v>46279</v>
      </c>
      <c r="C1072" s="2" t="s">
        <v>92</v>
      </c>
      <c r="D1072" s="2" t="n">
        <v>1</v>
      </c>
      <c r="E1072" s="14" t="s">
        <v>445</v>
      </c>
      <c r="F1072" s="7" t="n">
        <v>4000</v>
      </c>
    </row>
    <row r="1073" customFormat="false" ht="15" hidden="false" customHeight="false" outlineLevel="0" collapsed="false">
      <c r="A1073" s="2" t="s">
        <v>1161</v>
      </c>
      <c r="B1073" s="13" t="n">
        <v>46279</v>
      </c>
      <c r="C1073" s="2" t="s">
        <v>132</v>
      </c>
      <c r="D1073" s="2" t="n">
        <v>2</v>
      </c>
      <c r="E1073" s="14" t="s">
        <v>445</v>
      </c>
      <c r="F1073" s="7" t="n">
        <v>15000</v>
      </c>
    </row>
    <row r="1074" customFormat="false" ht="15" hidden="false" customHeight="false" outlineLevel="0" collapsed="false">
      <c r="A1074" s="2" t="s">
        <v>1161</v>
      </c>
      <c r="B1074" s="13" t="n">
        <v>46279</v>
      </c>
      <c r="C1074" s="2" t="s">
        <v>84</v>
      </c>
      <c r="D1074" s="2" t="n">
        <v>1</v>
      </c>
      <c r="E1074" s="14" t="s">
        <v>445</v>
      </c>
      <c r="F1074" s="7" t="n">
        <v>5000</v>
      </c>
    </row>
    <row r="1075" customFormat="false" ht="15" hidden="false" customHeight="false" outlineLevel="0" collapsed="false">
      <c r="A1075" s="2" t="s">
        <v>1162</v>
      </c>
      <c r="B1075" s="13" t="n">
        <v>46279</v>
      </c>
      <c r="C1075" s="2" t="s">
        <v>126</v>
      </c>
      <c r="D1075" s="2" t="n">
        <v>1</v>
      </c>
      <c r="E1075" s="14" t="s">
        <v>279</v>
      </c>
      <c r="F1075" s="7" t="n">
        <v>3000</v>
      </c>
    </row>
    <row r="1076" customFormat="false" ht="15" hidden="false" customHeight="false" outlineLevel="0" collapsed="false">
      <c r="A1076" s="2" t="s">
        <v>1163</v>
      </c>
      <c r="B1076" s="13" t="n">
        <v>46279</v>
      </c>
      <c r="C1076" s="2" t="s">
        <v>79</v>
      </c>
      <c r="D1076" s="2" t="n">
        <v>1</v>
      </c>
      <c r="E1076" s="14" t="s">
        <v>936</v>
      </c>
      <c r="F1076" s="7" t="n">
        <v>16000</v>
      </c>
    </row>
    <row r="1077" customFormat="false" ht="15" hidden="false" customHeight="false" outlineLevel="0" collapsed="false">
      <c r="A1077" s="2" t="s">
        <v>1163</v>
      </c>
      <c r="B1077" s="13" t="n">
        <v>46279</v>
      </c>
      <c r="C1077" s="2" t="s">
        <v>84</v>
      </c>
      <c r="D1077" s="2" t="n">
        <v>2</v>
      </c>
      <c r="E1077" s="14" t="s">
        <v>936</v>
      </c>
      <c r="F1077" s="7" t="n">
        <v>5000</v>
      </c>
    </row>
    <row r="1078" customFormat="false" ht="15" hidden="false" customHeight="false" outlineLevel="0" collapsed="false">
      <c r="A1078" s="2" t="s">
        <v>1163</v>
      </c>
      <c r="B1078" s="13" t="n">
        <v>46279</v>
      </c>
      <c r="C1078" s="2" t="s">
        <v>186</v>
      </c>
      <c r="D1078" s="2" t="n">
        <v>1</v>
      </c>
      <c r="E1078" s="14" t="s">
        <v>936</v>
      </c>
      <c r="F1078" s="7" t="n">
        <v>7000</v>
      </c>
    </row>
    <row r="1079" customFormat="false" ht="15" hidden="false" customHeight="false" outlineLevel="0" collapsed="false">
      <c r="A1079" s="2" t="s">
        <v>1164</v>
      </c>
      <c r="B1079" s="13" t="n">
        <v>46279</v>
      </c>
      <c r="C1079" s="2" t="s">
        <v>101</v>
      </c>
      <c r="D1079" s="2" t="n">
        <v>1</v>
      </c>
      <c r="E1079" s="14" t="s">
        <v>87</v>
      </c>
      <c r="F1079" s="7" t="n">
        <v>18000</v>
      </c>
    </row>
    <row r="1080" customFormat="false" ht="15" hidden="false" customHeight="false" outlineLevel="0" collapsed="false">
      <c r="A1080" s="2" t="s">
        <v>1165</v>
      </c>
      <c r="B1080" s="13" t="n">
        <v>46279</v>
      </c>
      <c r="C1080" s="2" t="s">
        <v>84</v>
      </c>
      <c r="D1080" s="2" t="n">
        <v>1</v>
      </c>
      <c r="E1080" s="14" t="s">
        <v>364</v>
      </c>
      <c r="F1080" s="7" t="n">
        <v>5000</v>
      </c>
    </row>
    <row r="1081" customFormat="false" ht="15" hidden="false" customHeight="false" outlineLevel="0" collapsed="false">
      <c r="A1081" s="2" t="s">
        <v>1166</v>
      </c>
      <c r="B1081" s="13" t="n">
        <v>46279</v>
      </c>
      <c r="C1081" s="2" t="s">
        <v>112</v>
      </c>
      <c r="D1081" s="2" t="n">
        <v>1</v>
      </c>
      <c r="E1081" s="14" t="s">
        <v>623</v>
      </c>
      <c r="F1081" s="7" t="n">
        <v>10000</v>
      </c>
    </row>
    <row r="1082" customFormat="false" ht="15" hidden="false" customHeight="false" outlineLevel="0" collapsed="false">
      <c r="A1082" s="2" t="s">
        <v>1167</v>
      </c>
      <c r="B1082" s="13" t="n">
        <v>46279</v>
      </c>
      <c r="C1082" s="2" t="s">
        <v>79</v>
      </c>
      <c r="D1082" s="2" t="n">
        <v>1</v>
      </c>
      <c r="E1082" s="14" t="s">
        <v>1024</v>
      </c>
      <c r="F1082" s="7" t="n">
        <v>16000</v>
      </c>
    </row>
    <row r="1083" customFormat="false" ht="15" hidden="false" customHeight="false" outlineLevel="0" collapsed="false">
      <c r="A1083" s="2" t="s">
        <v>1167</v>
      </c>
      <c r="B1083" s="13" t="n">
        <v>46279</v>
      </c>
      <c r="C1083" s="2" t="s">
        <v>81</v>
      </c>
      <c r="D1083" s="2" t="n">
        <v>1</v>
      </c>
      <c r="E1083" s="14" t="s">
        <v>1024</v>
      </c>
      <c r="F1083" s="7" t="n">
        <v>15000</v>
      </c>
    </row>
    <row r="1084" customFormat="false" ht="15" hidden="false" customHeight="false" outlineLevel="0" collapsed="false">
      <c r="A1084" s="2" t="s">
        <v>1168</v>
      </c>
      <c r="B1084" s="13" t="n">
        <v>46279</v>
      </c>
      <c r="C1084" s="2" t="s">
        <v>132</v>
      </c>
      <c r="D1084" s="2" t="n">
        <v>1</v>
      </c>
      <c r="E1084" s="14" t="s">
        <v>468</v>
      </c>
      <c r="F1084" s="7" t="n">
        <v>15000</v>
      </c>
    </row>
    <row r="1085" customFormat="false" ht="15" hidden="false" customHeight="false" outlineLevel="0" collapsed="false">
      <c r="A1085" s="2" t="s">
        <v>1169</v>
      </c>
      <c r="B1085" s="13" t="n">
        <v>46279</v>
      </c>
      <c r="C1085" s="2" t="s">
        <v>79</v>
      </c>
      <c r="D1085" s="2" t="n">
        <v>2</v>
      </c>
      <c r="E1085" s="14" t="s">
        <v>1103</v>
      </c>
      <c r="F1085" s="7" t="n">
        <v>16000</v>
      </c>
    </row>
    <row r="1086" customFormat="false" ht="15" hidden="false" customHeight="false" outlineLevel="0" collapsed="false">
      <c r="A1086" s="2" t="s">
        <v>1169</v>
      </c>
      <c r="B1086" s="13" t="n">
        <v>46279</v>
      </c>
      <c r="C1086" s="2" t="s">
        <v>108</v>
      </c>
      <c r="D1086" s="2" t="n">
        <v>1</v>
      </c>
      <c r="E1086" s="14" t="s">
        <v>1103</v>
      </c>
      <c r="F1086" s="7" t="n">
        <v>20000</v>
      </c>
    </row>
    <row r="1087" customFormat="false" ht="15" hidden="false" customHeight="false" outlineLevel="0" collapsed="false">
      <c r="A1087" s="2" t="s">
        <v>1170</v>
      </c>
      <c r="B1087" s="13" t="n">
        <v>46279</v>
      </c>
      <c r="C1087" s="2" t="s">
        <v>132</v>
      </c>
      <c r="D1087" s="2" t="n">
        <v>2</v>
      </c>
      <c r="E1087" s="14" t="s">
        <v>1171</v>
      </c>
      <c r="F1087" s="7" t="n">
        <v>15000</v>
      </c>
    </row>
    <row r="1088" customFormat="false" ht="15" hidden="false" customHeight="false" outlineLevel="0" collapsed="false">
      <c r="A1088" s="2" t="s">
        <v>1172</v>
      </c>
      <c r="B1088" s="13" t="n">
        <v>46279</v>
      </c>
      <c r="C1088" s="2" t="s">
        <v>101</v>
      </c>
      <c r="D1088" s="2" t="n">
        <v>1</v>
      </c>
      <c r="E1088" s="14" t="s">
        <v>1173</v>
      </c>
      <c r="F1088" s="7" t="n">
        <v>18000</v>
      </c>
    </row>
    <row r="1089" customFormat="false" ht="15" hidden="false" customHeight="false" outlineLevel="0" collapsed="false">
      <c r="A1089" s="2" t="s">
        <v>1174</v>
      </c>
      <c r="B1089" s="13" t="n">
        <v>46279</v>
      </c>
      <c r="C1089" s="2" t="s">
        <v>84</v>
      </c>
      <c r="D1089" s="2" t="n">
        <v>2</v>
      </c>
      <c r="E1089" s="14" t="s">
        <v>876</v>
      </c>
      <c r="F1089" s="7" t="n">
        <v>5000</v>
      </c>
    </row>
    <row r="1090" customFormat="false" ht="15" hidden="false" customHeight="false" outlineLevel="0" collapsed="false">
      <c r="A1090" s="2" t="s">
        <v>1175</v>
      </c>
      <c r="B1090" s="13" t="n">
        <v>46279</v>
      </c>
      <c r="C1090" s="2" t="s">
        <v>112</v>
      </c>
      <c r="D1090" s="2" t="n">
        <v>1</v>
      </c>
      <c r="E1090" s="14" t="s">
        <v>474</v>
      </c>
      <c r="F1090" s="7" t="n">
        <v>10000</v>
      </c>
    </row>
    <row r="1091" customFormat="false" ht="15" hidden="false" customHeight="false" outlineLevel="0" collapsed="false">
      <c r="A1091" s="2" t="s">
        <v>1176</v>
      </c>
      <c r="B1091" s="13" t="n">
        <v>46279</v>
      </c>
      <c r="C1091" s="2" t="s">
        <v>84</v>
      </c>
      <c r="D1091" s="2" t="n">
        <v>1</v>
      </c>
      <c r="E1091" s="14" t="s">
        <v>97</v>
      </c>
      <c r="F1091" s="7" t="n">
        <v>5000</v>
      </c>
    </row>
    <row r="1092" customFormat="false" ht="15" hidden="false" customHeight="false" outlineLevel="0" collapsed="false">
      <c r="A1092" s="2" t="s">
        <v>1176</v>
      </c>
      <c r="B1092" s="13" t="n">
        <v>46279</v>
      </c>
      <c r="C1092" s="2" t="s">
        <v>186</v>
      </c>
      <c r="D1092" s="2" t="n">
        <v>2</v>
      </c>
      <c r="E1092" s="14" t="s">
        <v>97</v>
      </c>
      <c r="F1092" s="7" t="n">
        <v>7000</v>
      </c>
    </row>
    <row r="1093" customFormat="false" ht="15" hidden="false" customHeight="false" outlineLevel="0" collapsed="false">
      <c r="A1093" s="2" t="s">
        <v>1177</v>
      </c>
      <c r="B1093" s="13" t="n">
        <v>46279</v>
      </c>
      <c r="C1093" s="2" t="s">
        <v>81</v>
      </c>
      <c r="D1093" s="2" t="n">
        <v>1</v>
      </c>
      <c r="E1093" s="14" t="s">
        <v>102</v>
      </c>
      <c r="F1093" s="7" t="n">
        <v>15000</v>
      </c>
    </row>
    <row r="1094" customFormat="false" ht="15" hidden="false" customHeight="false" outlineLevel="0" collapsed="false">
      <c r="A1094" s="2" t="s">
        <v>1177</v>
      </c>
      <c r="B1094" s="13" t="n">
        <v>46279</v>
      </c>
      <c r="C1094" s="2" t="s">
        <v>84</v>
      </c>
      <c r="D1094" s="2" t="n">
        <v>1</v>
      </c>
      <c r="E1094" s="14" t="s">
        <v>102</v>
      </c>
      <c r="F1094" s="7" t="n">
        <v>5000</v>
      </c>
    </row>
    <row r="1095" customFormat="false" ht="15" hidden="false" customHeight="false" outlineLevel="0" collapsed="false">
      <c r="A1095" s="2" t="s">
        <v>1178</v>
      </c>
      <c r="B1095" s="13" t="n">
        <v>46279</v>
      </c>
      <c r="C1095" s="2" t="s">
        <v>79</v>
      </c>
      <c r="D1095" s="2" t="n">
        <v>1</v>
      </c>
      <c r="E1095" s="14" t="s">
        <v>794</v>
      </c>
      <c r="F1095" s="7" t="n">
        <v>16000</v>
      </c>
    </row>
    <row r="1096" customFormat="false" ht="15" hidden="false" customHeight="false" outlineLevel="0" collapsed="false">
      <c r="A1096" s="2" t="s">
        <v>1178</v>
      </c>
      <c r="B1096" s="13" t="n">
        <v>46279</v>
      </c>
      <c r="C1096" s="2" t="s">
        <v>84</v>
      </c>
      <c r="D1096" s="2" t="n">
        <v>1</v>
      </c>
      <c r="E1096" s="14" t="s">
        <v>794</v>
      </c>
      <c r="F1096" s="7" t="n">
        <v>5000</v>
      </c>
    </row>
    <row r="1097" customFormat="false" ht="15" hidden="false" customHeight="false" outlineLevel="0" collapsed="false">
      <c r="A1097" s="2" t="s">
        <v>1179</v>
      </c>
      <c r="B1097" s="13" t="n">
        <v>46279</v>
      </c>
      <c r="C1097" s="2" t="s">
        <v>81</v>
      </c>
      <c r="D1097" s="2" t="n">
        <v>2</v>
      </c>
      <c r="E1097" s="14" t="s">
        <v>1180</v>
      </c>
      <c r="F1097" s="7" t="n">
        <v>15000</v>
      </c>
    </row>
    <row r="1098" customFormat="false" ht="15" hidden="false" customHeight="false" outlineLevel="0" collapsed="false">
      <c r="A1098" s="2" t="s">
        <v>1179</v>
      </c>
      <c r="B1098" s="13" t="n">
        <v>46279</v>
      </c>
      <c r="C1098" s="2" t="s">
        <v>132</v>
      </c>
      <c r="D1098" s="2" t="n">
        <v>2</v>
      </c>
      <c r="E1098" s="14" t="s">
        <v>1180</v>
      </c>
      <c r="F1098" s="7" t="n">
        <v>15000</v>
      </c>
    </row>
    <row r="1099" customFormat="false" ht="15" hidden="false" customHeight="false" outlineLevel="0" collapsed="false">
      <c r="A1099" s="2" t="s">
        <v>1181</v>
      </c>
      <c r="B1099" s="13" t="n">
        <v>46279</v>
      </c>
      <c r="C1099" s="2" t="s">
        <v>89</v>
      </c>
      <c r="D1099" s="2" t="n">
        <v>1</v>
      </c>
      <c r="E1099" s="14" t="s">
        <v>1182</v>
      </c>
      <c r="F1099" s="7" t="n">
        <v>14000</v>
      </c>
    </row>
    <row r="1100" customFormat="false" ht="15" hidden="false" customHeight="false" outlineLevel="0" collapsed="false">
      <c r="A1100" s="2" t="s">
        <v>1183</v>
      </c>
      <c r="B1100" s="13" t="n">
        <v>46279</v>
      </c>
      <c r="C1100" s="2" t="s">
        <v>81</v>
      </c>
      <c r="D1100" s="2" t="n">
        <v>1</v>
      </c>
      <c r="E1100" s="14" t="s">
        <v>129</v>
      </c>
      <c r="F1100" s="7" t="n">
        <v>15000</v>
      </c>
    </row>
    <row r="1101" customFormat="false" ht="15" hidden="false" customHeight="false" outlineLevel="0" collapsed="false">
      <c r="A1101" s="2" t="s">
        <v>1184</v>
      </c>
      <c r="B1101" s="13" t="n">
        <v>46279</v>
      </c>
      <c r="C1101" s="2" t="s">
        <v>79</v>
      </c>
      <c r="D1101" s="2" t="n">
        <v>1</v>
      </c>
      <c r="E1101" s="14" t="s">
        <v>1185</v>
      </c>
      <c r="F1101" s="7" t="n">
        <v>16000</v>
      </c>
    </row>
    <row r="1102" customFormat="false" ht="15" hidden="false" customHeight="false" outlineLevel="0" collapsed="false">
      <c r="A1102" s="2" t="s">
        <v>1186</v>
      </c>
      <c r="B1102" s="13" t="n">
        <v>46279</v>
      </c>
      <c r="C1102" s="2" t="s">
        <v>84</v>
      </c>
      <c r="D1102" s="2" t="n">
        <v>1</v>
      </c>
      <c r="E1102" s="14" t="s">
        <v>226</v>
      </c>
      <c r="F1102" s="7" t="n">
        <v>5000</v>
      </c>
    </row>
    <row r="1103" customFormat="false" ht="15" hidden="false" customHeight="false" outlineLevel="0" collapsed="false">
      <c r="A1103" s="2" t="s">
        <v>1187</v>
      </c>
      <c r="B1103" s="13" t="n">
        <v>46279</v>
      </c>
      <c r="C1103" s="2" t="s">
        <v>89</v>
      </c>
      <c r="D1103" s="2" t="n">
        <v>2</v>
      </c>
      <c r="E1103" s="14" t="s">
        <v>1188</v>
      </c>
      <c r="F1103" s="7" t="n">
        <v>14000</v>
      </c>
    </row>
    <row r="1104" customFormat="false" ht="15" hidden="false" customHeight="false" outlineLevel="0" collapsed="false">
      <c r="A1104" s="2" t="s">
        <v>1189</v>
      </c>
      <c r="B1104" s="13" t="n">
        <v>46279</v>
      </c>
      <c r="C1104" s="2" t="s">
        <v>112</v>
      </c>
      <c r="D1104" s="2" t="n">
        <v>1</v>
      </c>
      <c r="E1104" s="14" t="s">
        <v>1190</v>
      </c>
      <c r="F1104" s="7" t="n">
        <v>10000</v>
      </c>
    </row>
    <row r="1105" customFormat="false" ht="15" hidden="false" customHeight="false" outlineLevel="0" collapsed="false">
      <c r="A1105" s="2" t="s">
        <v>1191</v>
      </c>
      <c r="B1105" s="13" t="n">
        <v>46279</v>
      </c>
      <c r="C1105" s="2" t="s">
        <v>92</v>
      </c>
      <c r="D1105" s="2" t="n">
        <v>1</v>
      </c>
      <c r="E1105" s="14" t="s">
        <v>1192</v>
      </c>
      <c r="F1105" s="7" t="n">
        <v>4000</v>
      </c>
    </row>
    <row r="1106" customFormat="false" ht="15" hidden="false" customHeight="false" outlineLevel="0" collapsed="false">
      <c r="A1106" s="2" t="s">
        <v>1191</v>
      </c>
      <c r="B1106" s="13" t="n">
        <v>46279</v>
      </c>
      <c r="C1106" s="2" t="s">
        <v>126</v>
      </c>
      <c r="D1106" s="2" t="n">
        <v>1</v>
      </c>
      <c r="E1106" s="14" t="s">
        <v>1192</v>
      </c>
      <c r="F1106" s="7" t="n">
        <v>3000</v>
      </c>
    </row>
    <row r="1107" customFormat="false" ht="15" hidden="false" customHeight="false" outlineLevel="0" collapsed="false">
      <c r="A1107" s="2" t="s">
        <v>1193</v>
      </c>
      <c r="B1107" s="13" t="n">
        <v>46279</v>
      </c>
      <c r="C1107" s="2" t="s">
        <v>132</v>
      </c>
      <c r="D1107" s="2" t="n">
        <v>1</v>
      </c>
      <c r="E1107" s="14" t="s">
        <v>745</v>
      </c>
      <c r="F1107" s="7" t="n">
        <v>15000</v>
      </c>
    </row>
    <row r="1108" customFormat="false" ht="15" hidden="false" customHeight="false" outlineLevel="0" collapsed="false">
      <c r="A1108" s="2" t="s">
        <v>1194</v>
      </c>
      <c r="B1108" s="13" t="n">
        <v>46279</v>
      </c>
      <c r="C1108" s="2" t="s">
        <v>84</v>
      </c>
      <c r="D1108" s="2" t="n">
        <v>1</v>
      </c>
      <c r="E1108" s="14" t="s">
        <v>908</v>
      </c>
      <c r="F1108" s="7" t="n">
        <v>5000</v>
      </c>
    </row>
    <row r="1109" customFormat="false" ht="15" hidden="false" customHeight="false" outlineLevel="0" collapsed="false">
      <c r="A1109" s="2" t="s">
        <v>1194</v>
      </c>
      <c r="B1109" s="13" t="n">
        <v>46279</v>
      </c>
      <c r="C1109" s="2" t="s">
        <v>186</v>
      </c>
      <c r="D1109" s="2" t="n">
        <v>1</v>
      </c>
      <c r="E1109" s="14" t="s">
        <v>908</v>
      </c>
      <c r="F1109" s="7" t="n">
        <v>7000</v>
      </c>
    </row>
    <row r="1110" customFormat="false" ht="15" hidden="false" customHeight="false" outlineLevel="0" collapsed="false">
      <c r="A1110" s="2" t="s">
        <v>1195</v>
      </c>
      <c r="B1110" s="13" t="n">
        <v>46279</v>
      </c>
      <c r="C1110" s="2" t="s">
        <v>81</v>
      </c>
      <c r="D1110" s="2" t="n">
        <v>3</v>
      </c>
      <c r="E1110" s="14" t="s">
        <v>596</v>
      </c>
      <c r="F1110" s="7" t="n">
        <v>15000</v>
      </c>
    </row>
    <row r="1111" customFormat="false" ht="15" hidden="false" customHeight="false" outlineLevel="0" collapsed="false">
      <c r="A1111" s="2" t="s">
        <v>1196</v>
      </c>
      <c r="B1111" s="13" t="n">
        <v>46279</v>
      </c>
      <c r="C1111" s="2" t="s">
        <v>186</v>
      </c>
      <c r="D1111" s="2" t="n">
        <v>1</v>
      </c>
      <c r="E1111" s="14" t="s">
        <v>405</v>
      </c>
      <c r="F1111" s="7" t="n">
        <v>7000</v>
      </c>
    </row>
    <row r="1112" customFormat="false" ht="15" hidden="false" customHeight="false" outlineLevel="0" collapsed="false">
      <c r="A1112" s="2" t="s">
        <v>1197</v>
      </c>
      <c r="B1112" s="13" t="n">
        <v>46279</v>
      </c>
      <c r="C1112" s="2" t="s">
        <v>126</v>
      </c>
      <c r="D1112" s="2" t="n">
        <v>2</v>
      </c>
      <c r="E1112" s="14" t="s">
        <v>1198</v>
      </c>
      <c r="F1112" s="7" t="n">
        <v>3000</v>
      </c>
    </row>
    <row r="1113" customFormat="false" ht="15" hidden="false" customHeight="false" outlineLevel="0" collapsed="false">
      <c r="A1113" s="2" t="s">
        <v>1199</v>
      </c>
      <c r="B1113" s="13" t="n">
        <v>46279</v>
      </c>
      <c r="C1113" s="2" t="s">
        <v>108</v>
      </c>
      <c r="D1113" s="2" t="n">
        <v>1</v>
      </c>
      <c r="E1113" s="14" t="s">
        <v>689</v>
      </c>
      <c r="F1113" s="7" t="n">
        <v>20000</v>
      </c>
    </row>
    <row r="1114" customFormat="false" ht="15" hidden="false" customHeight="false" outlineLevel="0" collapsed="false">
      <c r="A1114" s="2" t="s">
        <v>1199</v>
      </c>
      <c r="B1114" s="13" t="n">
        <v>46279</v>
      </c>
      <c r="C1114" s="2" t="s">
        <v>82</v>
      </c>
      <c r="D1114" s="2" t="n">
        <v>1</v>
      </c>
      <c r="E1114" s="14" t="s">
        <v>689</v>
      </c>
      <c r="F1114" s="7" t="n">
        <v>13000</v>
      </c>
    </row>
    <row r="1115" customFormat="false" ht="15" hidden="false" customHeight="false" outlineLevel="0" collapsed="false">
      <c r="A1115" s="2" t="s">
        <v>1200</v>
      </c>
      <c r="B1115" s="13" t="n">
        <v>46279</v>
      </c>
      <c r="C1115" s="2" t="s">
        <v>186</v>
      </c>
      <c r="D1115" s="2" t="n">
        <v>1</v>
      </c>
      <c r="E1115" s="14" t="s">
        <v>1201</v>
      </c>
      <c r="F1115" s="7" t="n">
        <v>7000</v>
      </c>
    </row>
    <row r="1116" customFormat="false" ht="15" hidden="false" customHeight="false" outlineLevel="0" collapsed="false">
      <c r="A1116" s="2" t="s">
        <v>1202</v>
      </c>
      <c r="B1116" s="13" t="n">
        <v>46279</v>
      </c>
      <c r="C1116" s="2" t="s">
        <v>112</v>
      </c>
      <c r="D1116" s="2" t="n">
        <v>1</v>
      </c>
      <c r="E1116" s="14" t="s">
        <v>1143</v>
      </c>
      <c r="F1116" s="7" t="n">
        <v>10000</v>
      </c>
    </row>
    <row r="1117" customFormat="false" ht="15" hidden="false" customHeight="false" outlineLevel="0" collapsed="false">
      <c r="A1117" s="2" t="s">
        <v>1202</v>
      </c>
      <c r="B1117" s="13" t="n">
        <v>46279</v>
      </c>
      <c r="C1117" s="2" t="s">
        <v>89</v>
      </c>
      <c r="D1117" s="2" t="n">
        <v>1</v>
      </c>
      <c r="E1117" s="14" t="s">
        <v>1143</v>
      </c>
      <c r="F1117" s="7" t="n">
        <v>14000</v>
      </c>
    </row>
    <row r="1118" customFormat="false" ht="15" hidden="false" customHeight="false" outlineLevel="0" collapsed="false">
      <c r="A1118" s="2" t="s">
        <v>1202</v>
      </c>
      <c r="B1118" s="13" t="n">
        <v>46279</v>
      </c>
      <c r="C1118" s="2" t="s">
        <v>79</v>
      </c>
      <c r="D1118" s="2" t="n">
        <v>1</v>
      </c>
      <c r="E1118" s="14" t="s">
        <v>1143</v>
      </c>
      <c r="F1118" s="7" t="n">
        <v>16000</v>
      </c>
    </row>
    <row r="1119" customFormat="false" ht="15" hidden="false" customHeight="false" outlineLevel="0" collapsed="false">
      <c r="A1119" s="2" t="s">
        <v>1203</v>
      </c>
      <c r="B1119" s="13" t="n">
        <v>46279</v>
      </c>
      <c r="C1119" s="2" t="s">
        <v>84</v>
      </c>
      <c r="D1119" s="2" t="n">
        <v>1</v>
      </c>
      <c r="E1119" s="14" t="s">
        <v>1204</v>
      </c>
      <c r="F1119" s="7" t="n">
        <v>5000</v>
      </c>
    </row>
    <row r="1120" customFormat="false" ht="15" hidden="false" customHeight="false" outlineLevel="0" collapsed="false">
      <c r="A1120" s="2" t="s">
        <v>1203</v>
      </c>
      <c r="B1120" s="13" t="n">
        <v>46279</v>
      </c>
      <c r="C1120" s="2" t="s">
        <v>81</v>
      </c>
      <c r="D1120" s="2" t="n">
        <v>1</v>
      </c>
      <c r="E1120" s="14" t="s">
        <v>1204</v>
      </c>
      <c r="F1120" s="7" t="n">
        <v>15000</v>
      </c>
    </row>
    <row r="1121" customFormat="false" ht="15" hidden="false" customHeight="false" outlineLevel="0" collapsed="false">
      <c r="A1121" s="2" t="s">
        <v>1205</v>
      </c>
      <c r="B1121" s="13" t="n">
        <v>46280</v>
      </c>
      <c r="C1121" s="2" t="s">
        <v>101</v>
      </c>
      <c r="D1121" s="2" t="n">
        <v>1</v>
      </c>
      <c r="E1121" s="14" t="s">
        <v>1206</v>
      </c>
      <c r="F1121" s="7" t="n">
        <v>18000</v>
      </c>
    </row>
    <row r="1122" customFormat="false" ht="15" hidden="false" customHeight="false" outlineLevel="0" collapsed="false">
      <c r="A1122" s="2" t="s">
        <v>1207</v>
      </c>
      <c r="B1122" s="13" t="n">
        <v>46280</v>
      </c>
      <c r="C1122" s="2" t="s">
        <v>108</v>
      </c>
      <c r="D1122" s="2" t="n">
        <v>3</v>
      </c>
      <c r="E1122" s="14" t="s">
        <v>1208</v>
      </c>
      <c r="F1122" s="7" t="n">
        <v>20000</v>
      </c>
    </row>
    <row r="1123" customFormat="false" ht="15" hidden="false" customHeight="false" outlineLevel="0" collapsed="false">
      <c r="A1123" s="2" t="s">
        <v>1209</v>
      </c>
      <c r="B1123" s="13" t="n">
        <v>46280</v>
      </c>
      <c r="C1123" s="2" t="s">
        <v>82</v>
      </c>
      <c r="D1123" s="2" t="n">
        <v>1</v>
      </c>
      <c r="E1123" s="14" t="s">
        <v>1210</v>
      </c>
      <c r="F1123" s="7" t="n">
        <v>13000</v>
      </c>
    </row>
    <row r="1124" customFormat="false" ht="15" hidden="false" customHeight="false" outlineLevel="0" collapsed="false">
      <c r="A1124" s="2" t="s">
        <v>1211</v>
      </c>
      <c r="B1124" s="13" t="n">
        <v>46280</v>
      </c>
      <c r="C1124" s="2" t="s">
        <v>132</v>
      </c>
      <c r="D1124" s="2" t="n">
        <v>2</v>
      </c>
      <c r="E1124" s="14" t="s">
        <v>1212</v>
      </c>
      <c r="F1124" s="7" t="n">
        <v>15000</v>
      </c>
    </row>
    <row r="1125" customFormat="false" ht="15" hidden="false" customHeight="false" outlineLevel="0" collapsed="false">
      <c r="A1125" s="2" t="s">
        <v>1211</v>
      </c>
      <c r="B1125" s="13" t="n">
        <v>46280</v>
      </c>
      <c r="C1125" s="2" t="s">
        <v>186</v>
      </c>
      <c r="D1125" s="2" t="n">
        <v>1</v>
      </c>
      <c r="E1125" s="14" t="s">
        <v>1212</v>
      </c>
      <c r="F1125" s="7" t="n">
        <v>7000</v>
      </c>
    </row>
    <row r="1126" customFormat="false" ht="15" hidden="false" customHeight="false" outlineLevel="0" collapsed="false">
      <c r="A1126" s="2" t="s">
        <v>1213</v>
      </c>
      <c r="B1126" s="13" t="n">
        <v>46280</v>
      </c>
      <c r="C1126" s="2" t="s">
        <v>186</v>
      </c>
      <c r="D1126" s="2" t="n">
        <v>1</v>
      </c>
      <c r="E1126" s="14" t="s">
        <v>1083</v>
      </c>
      <c r="F1126" s="7" t="n">
        <v>7000</v>
      </c>
    </row>
    <row r="1127" customFormat="false" ht="15" hidden="false" customHeight="false" outlineLevel="0" collapsed="false">
      <c r="A1127" s="2" t="s">
        <v>1213</v>
      </c>
      <c r="B1127" s="13" t="n">
        <v>46280</v>
      </c>
      <c r="C1127" s="2" t="s">
        <v>89</v>
      </c>
      <c r="D1127" s="2" t="n">
        <v>2</v>
      </c>
      <c r="E1127" s="14" t="s">
        <v>1083</v>
      </c>
      <c r="F1127" s="7" t="n">
        <v>14000</v>
      </c>
    </row>
    <row r="1128" customFormat="false" ht="15" hidden="false" customHeight="false" outlineLevel="0" collapsed="false">
      <c r="A1128" s="2" t="s">
        <v>1214</v>
      </c>
      <c r="B1128" s="13" t="n">
        <v>46280</v>
      </c>
      <c r="C1128" s="2" t="s">
        <v>1215</v>
      </c>
      <c r="D1128" s="2" t="n">
        <v>1</v>
      </c>
      <c r="E1128" s="14" t="s">
        <v>1160</v>
      </c>
      <c r="F1128" s="7" t="n">
        <v>20000</v>
      </c>
    </row>
    <row r="1129" customFormat="false" ht="15" hidden="false" customHeight="false" outlineLevel="0" collapsed="false">
      <c r="A1129" s="2" t="s">
        <v>1214</v>
      </c>
      <c r="B1129" s="13" t="n">
        <v>46280</v>
      </c>
      <c r="C1129" s="2" t="s">
        <v>82</v>
      </c>
      <c r="D1129" s="2" t="n">
        <v>1</v>
      </c>
      <c r="E1129" s="14" t="s">
        <v>1160</v>
      </c>
      <c r="F1129" s="7" t="n">
        <v>13000</v>
      </c>
    </row>
    <row r="1130" customFormat="false" ht="15" hidden="false" customHeight="false" outlineLevel="0" collapsed="false">
      <c r="A1130" s="2" t="s">
        <v>1216</v>
      </c>
      <c r="B1130" s="13" t="n">
        <v>46280</v>
      </c>
      <c r="C1130" s="2" t="s">
        <v>84</v>
      </c>
      <c r="D1130" s="2" t="n">
        <v>1</v>
      </c>
      <c r="E1130" s="14" t="s">
        <v>1089</v>
      </c>
      <c r="F1130" s="7" t="n">
        <v>5000</v>
      </c>
    </row>
    <row r="1131" customFormat="false" ht="15" hidden="false" customHeight="false" outlineLevel="0" collapsed="false">
      <c r="A1131" s="2" t="s">
        <v>1217</v>
      </c>
      <c r="B1131" s="13" t="n">
        <v>46280</v>
      </c>
      <c r="C1131" s="2" t="s">
        <v>126</v>
      </c>
      <c r="D1131" s="2" t="n">
        <v>2</v>
      </c>
      <c r="E1131" s="14" t="s">
        <v>1089</v>
      </c>
      <c r="F1131" s="7" t="n">
        <v>3000</v>
      </c>
    </row>
    <row r="1132" customFormat="false" ht="15" hidden="false" customHeight="false" outlineLevel="0" collapsed="false">
      <c r="A1132" s="2" t="s">
        <v>1218</v>
      </c>
      <c r="B1132" s="13" t="n">
        <v>46280</v>
      </c>
      <c r="C1132" s="2" t="s">
        <v>92</v>
      </c>
      <c r="D1132" s="2" t="n">
        <v>1</v>
      </c>
      <c r="E1132" s="14" t="s">
        <v>938</v>
      </c>
      <c r="F1132" s="7" t="n">
        <v>4000</v>
      </c>
    </row>
    <row r="1133" customFormat="false" ht="15" hidden="false" customHeight="false" outlineLevel="0" collapsed="false">
      <c r="A1133" s="2" t="s">
        <v>1218</v>
      </c>
      <c r="B1133" s="13" t="n">
        <v>46280</v>
      </c>
      <c r="C1133" s="2" t="s">
        <v>81</v>
      </c>
      <c r="D1133" s="2" t="n">
        <v>1</v>
      </c>
      <c r="E1133" s="14" t="s">
        <v>938</v>
      </c>
      <c r="F1133" s="7" t="n">
        <v>15000</v>
      </c>
    </row>
    <row r="1134" customFormat="false" ht="15" hidden="false" customHeight="false" outlineLevel="0" collapsed="false">
      <c r="A1134" s="2" t="s">
        <v>1219</v>
      </c>
      <c r="B1134" s="13" t="n">
        <v>46280</v>
      </c>
      <c r="C1134" s="2" t="s">
        <v>92</v>
      </c>
      <c r="D1134" s="2" t="n">
        <v>1</v>
      </c>
      <c r="E1134" s="14" t="s">
        <v>547</v>
      </c>
      <c r="F1134" s="7" t="n">
        <v>4000</v>
      </c>
    </row>
    <row r="1135" customFormat="false" ht="15" hidden="false" customHeight="false" outlineLevel="0" collapsed="false">
      <c r="A1135" s="2" t="s">
        <v>1220</v>
      </c>
      <c r="B1135" s="13" t="n">
        <v>46280</v>
      </c>
      <c r="C1135" s="2" t="s">
        <v>108</v>
      </c>
      <c r="D1135" s="2" t="n">
        <v>1</v>
      </c>
      <c r="E1135" s="14" t="s">
        <v>366</v>
      </c>
      <c r="F1135" s="7" t="n">
        <v>20000</v>
      </c>
    </row>
    <row r="1136" customFormat="false" ht="15" hidden="false" customHeight="false" outlineLevel="0" collapsed="false">
      <c r="A1136" s="2" t="s">
        <v>1220</v>
      </c>
      <c r="B1136" s="13" t="n">
        <v>46280</v>
      </c>
      <c r="C1136" s="2" t="s">
        <v>132</v>
      </c>
      <c r="D1136" s="2" t="n">
        <v>2</v>
      </c>
      <c r="E1136" s="14" t="s">
        <v>366</v>
      </c>
      <c r="F1136" s="7" t="n">
        <v>15000</v>
      </c>
    </row>
    <row r="1137" customFormat="false" ht="15" hidden="false" customHeight="false" outlineLevel="0" collapsed="false">
      <c r="A1137" s="2" t="s">
        <v>1221</v>
      </c>
      <c r="B1137" s="13" t="n">
        <v>46280</v>
      </c>
      <c r="C1137" s="2" t="s">
        <v>84</v>
      </c>
      <c r="D1137" s="2" t="n">
        <v>1</v>
      </c>
      <c r="E1137" s="14" t="s">
        <v>1222</v>
      </c>
      <c r="F1137" s="7" t="n">
        <v>5000</v>
      </c>
    </row>
    <row r="1138" customFormat="false" ht="15" hidden="false" customHeight="false" outlineLevel="0" collapsed="false">
      <c r="A1138" s="2" t="s">
        <v>1221</v>
      </c>
      <c r="B1138" s="13" t="n">
        <v>46280</v>
      </c>
      <c r="C1138" s="2" t="s">
        <v>132</v>
      </c>
      <c r="D1138" s="2" t="n">
        <v>1</v>
      </c>
      <c r="E1138" s="14" t="s">
        <v>1222</v>
      </c>
      <c r="F1138" s="7" t="n">
        <v>15000</v>
      </c>
    </row>
    <row r="1139" customFormat="false" ht="15" hidden="false" customHeight="false" outlineLevel="0" collapsed="false">
      <c r="A1139" s="2" t="s">
        <v>1221</v>
      </c>
      <c r="B1139" s="13" t="n">
        <v>46280</v>
      </c>
      <c r="C1139" s="2" t="s">
        <v>186</v>
      </c>
      <c r="D1139" s="2" t="n">
        <v>1</v>
      </c>
      <c r="E1139" s="14" t="s">
        <v>1222</v>
      </c>
      <c r="F1139" s="7" t="n">
        <v>7000</v>
      </c>
    </row>
    <row r="1140" customFormat="false" ht="15" hidden="false" customHeight="false" outlineLevel="0" collapsed="false">
      <c r="A1140" s="2" t="s">
        <v>1223</v>
      </c>
      <c r="B1140" s="13" t="n">
        <v>46280</v>
      </c>
      <c r="C1140" s="2" t="s">
        <v>89</v>
      </c>
      <c r="D1140" s="2" t="n">
        <v>2</v>
      </c>
      <c r="E1140" s="14" t="s">
        <v>368</v>
      </c>
      <c r="F1140" s="7" t="n">
        <v>14000</v>
      </c>
    </row>
    <row r="1141" customFormat="false" ht="15" hidden="false" customHeight="false" outlineLevel="0" collapsed="false">
      <c r="A1141" s="2" t="s">
        <v>1223</v>
      </c>
      <c r="B1141" s="13" t="n">
        <v>46280</v>
      </c>
      <c r="C1141" s="2" t="s">
        <v>112</v>
      </c>
      <c r="D1141" s="2" t="n">
        <v>2</v>
      </c>
      <c r="E1141" s="14" t="s">
        <v>368</v>
      </c>
      <c r="F1141" s="7" t="n">
        <v>10000</v>
      </c>
    </row>
    <row r="1142" customFormat="false" ht="15" hidden="false" customHeight="false" outlineLevel="0" collapsed="false">
      <c r="A1142" s="2" t="s">
        <v>1224</v>
      </c>
      <c r="B1142" s="13" t="n">
        <v>46280</v>
      </c>
      <c r="C1142" s="2" t="s">
        <v>81</v>
      </c>
      <c r="D1142" s="2" t="n">
        <v>3</v>
      </c>
      <c r="E1142" s="14" t="s">
        <v>625</v>
      </c>
      <c r="F1142" s="7" t="n">
        <v>15000</v>
      </c>
    </row>
    <row r="1143" customFormat="false" ht="15" hidden="false" customHeight="false" outlineLevel="0" collapsed="false">
      <c r="A1143" s="2" t="s">
        <v>1224</v>
      </c>
      <c r="B1143" s="13" t="n">
        <v>46280</v>
      </c>
      <c r="C1143" s="2" t="s">
        <v>108</v>
      </c>
      <c r="D1143" s="2" t="n">
        <v>2</v>
      </c>
      <c r="E1143" s="14" t="s">
        <v>625</v>
      </c>
      <c r="F1143" s="7" t="n">
        <v>20000</v>
      </c>
    </row>
    <row r="1144" customFormat="false" ht="15" hidden="false" customHeight="false" outlineLevel="0" collapsed="false">
      <c r="A1144" s="2" t="s">
        <v>1225</v>
      </c>
      <c r="B1144" s="13" t="n">
        <v>46280</v>
      </c>
      <c r="C1144" s="2" t="s">
        <v>108</v>
      </c>
      <c r="D1144" s="2" t="n">
        <v>1</v>
      </c>
      <c r="E1144" s="14" t="s">
        <v>372</v>
      </c>
      <c r="F1144" s="7" t="n">
        <v>20000</v>
      </c>
    </row>
    <row r="1145" customFormat="false" ht="15" hidden="false" customHeight="false" outlineLevel="0" collapsed="false">
      <c r="A1145" s="2" t="s">
        <v>1225</v>
      </c>
      <c r="B1145" s="13" t="n">
        <v>46280</v>
      </c>
      <c r="C1145" s="2" t="s">
        <v>186</v>
      </c>
      <c r="D1145" s="2" t="n">
        <v>3</v>
      </c>
      <c r="E1145" s="14" t="s">
        <v>372</v>
      </c>
      <c r="F1145" s="7" t="n">
        <v>7000</v>
      </c>
    </row>
    <row r="1146" customFormat="false" ht="15" hidden="false" customHeight="false" outlineLevel="0" collapsed="false">
      <c r="A1146" s="2" t="s">
        <v>1226</v>
      </c>
      <c r="B1146" s="13" t="n">
        <v>46280</v>
      </c>
      <c r="C1146" s="2" t="s">
        <v>108</v>
      </c>
      <c r="D1146" s="2" t="n">
        <v>2</v>
      </c>
      <c r="E1146" s="14" t="s">
        <v>374</v>
      </c>
      <c r="F1146" s="7" t="n">
        <v>20000</v>
      </c>
    </row>
    <row r="1147" customFormat="false" ht="15" hidden="false" customHeight="false" outlineLevel="0" collapsed="false">
      <c r="A1147" s="2" t="s">
        <v>1226</v>
      </c>
      <c r="B1147" s="13" t="n">
        <v>46280</v>
      </c>
      <c r="C1147" s="2" t="s">
        <v>84</v>
      </c>
      <c r="D1147" s="2" t="n">
        <v>2</v>
      </c>
      <c r="E1147" s="14" t="s">
        <v>374</v>
      </c>
      <c r="F1147" s="7" t="n">
        <v>5000</v>
      </c>
    </row>
    <row r="1148" customFormat="false" ht="15" hidden="false" customHeight="false" outlineLevel="0" collapsed="false">
      <c r="A1148" s="2" t="s">
        <v>1226</v>
      </c>
      <c r="B1148" s="13" t="n">
        <v>46280</v>
      </c>
      <c r="C1148" s="2" t="s">
        <v>81</v>
      </c>
      <c r="D1148" s="2" t="n">
        <v>1</v>
      </c>
      <c r="E1148" s="14" t="s">
        <v>374</v>
      </c>
      <c r="F1148" s="7" t="n">
        <v>15000</v>
      </c>
    </row>
    <row r="1149" customFormat="false" ht="15" hidden="false" customHeight="false" outlineLevel="0" collapsed="false">
      <c r="A1149" s="2" t="s">
        <v>1227</v>
      </c>
      <c r="B1149" s="13" t="n">
        <v>46280</v>
      </c>
      <c r="C1149" s="2" t="s">
        <v>101</v>
      </c>
      <c r="D1149" s="2" t="n">
        <v>1</v>
      </c>
      <c r="E1149" s="14" t="s">
        <v>1024</v>
      </c>
      <c r="F1149" s="7" t="n">
        <v>18000</v>
      </c>
    </row>
    <row r="1150" customFormat="false" ht="15" hidden="false" customHeight="false" outlineLevel="0" collapsed="false">
      <c r="A1150" s="2" t="s">
        <v>1228</v>
      </c>
      <c r="B1150" s="13" t="n">
        <v>46280</v>
      </c>
      <c r="C1150" s="2" t="s">
        <v>89</v>
      </c>
      <c r="D1150" s="2" t="n">
        <v>1</v>
      </c>
      <c r="E1150" s="14" t="s">
        <v>635</v>
      </c>
      <c r="F1150" s="7" t="n">
        <v>14000</v>
      </c>
    </row>
    <row r="1151" customFormat="false" ht="15" hidden="false" customHeight="false" outlineLevel="0" collapsed="false">
      <c r="A1151" s="2" t="s">
        <v>1229</v>
      </c>
      <c r="B1151" s="13" t="n">
        <v>46280</v>
      </c>
      <c r="C1151" s="2" t="s">
        <v>89</v>
      </c>
      <c r="D1151" s="2" t="n">
        <v>3</v>
      </c>
      <c r="E1151" s="14" t="s">
        <v>199</v>
      </c>
      <c r="F1151" s="7" t="n">
        <v>14000</v>
      </c>
    </row>
    <row r="1152" customFormat="false" ht="15" hidden="false" customHeight="false" outlineLevel="0" collapsed="false">
      <c r="A1152" s="2" t="s">
        <v>1230</v>
      </c>
      <c r="B1152" s="13" t="n">
        <v>46280</v>
      </c>
      <c r="C1152" s="2" t="s">
        <v>84</v>
      </c>
      <c r="D1152" s="2" t="n">
        <v>1</v>
      </c>
      <c r="E1152" s="14" t="s">
        <v>95</v>
      </c>
      <c r="F1152" s="7" t="n">
        <v>5000</v>
      </c>
    </row>
    <row r="1153" customFormat="false" ht="15" hidden="false" customHeight="false" outlineLevel="0" collapsed="false">
      <c r="A1153" s="2" t="s">
        <v>1230</v>
      </c>
      <c r="B1153" s="13" t="n">
        <v>46280</v>
      </c>
      <c r="C1153" s="2" t="s">
        <v>186</v>
      </c>
      <c r="D1153" s="2" t="n">
        <v>1</v>
      </c>
      <c r="E1153" s="14" t="s">
        <v>95</v>
      </c>
      <c r="F1153" s="7" t="n">
        <v>7000</v>
      </c>
    </row>
    <row r="1154" customFormat="false" ht="15" hidden="false" customHeight="false" outlineLevel="0" collapsed="false">
      <c r="A1154" s="2" t="s">
        <v>1230</v>
      </c>
      <c r="B1154" s="13" t="n">
        <v>46280</v>
      </c>
      <c r="C1154" s="2" t="s">
        <v>101</v>
      </c>
      <c r="D1154" s="2" t="n">
        <v>1</v>
      </c>
      <c r="E1154" s="14" t="s">
        <v>95</v>
      </c>
      <c r="F1154" s="7" t="n">
        <v>18000</v>
      </c>
    </row>
    <row r="1155" customFormat="false" ht="15" hidden="false" customHeight="false" outlineLevel="0" collapsed="false">
      <c r="A1155" s="2" t="s">
        <v>1231</v>
      </c>
      <c r="B1155" s="13" t="n">
        <v>46280</v>
      </c>
      <c r="C1155" s="2" t="s">
        <v>126</v>
      </c>
      <c r="D1155" s="2" t="n">
        <v>1</v>
      </c>
      <c r="E1155" s="14" t="s">
        <v>637</v>
      </c>
      <c r="F1155" s="7" t="n">
        <v>3000</v>
      </c>
    </row>
    <row r="1156" customFormat="false" ht="15" hidden="false" customHeight="false" outlineLevel="0" collapsed="false">
      <c r="A1156" s="2" t="s">
        <v>1231</v>
      </c>
      <c r="B1156" s="13" t="n">
        <v>46280</v>
      </c>
      <c r="C1156" s="2" t="s">
        <v>92</v>
      </c>
      <c r="D1156" s="2" t="n">
        <v>1</v>
      </c>
      <c r="E1156" s="14" t="s">
        <v>637</v>
      </c>
      <c r="F1156" s="7" t="n">
        <v>4000</v>
      </c>
    </row>
    <row r="1157" customFormat="false" ht="15" hidden="false" customHeight="false" outlineLevel="0" collapsed="false">
      <c r="A1157" s="2" t="s">
        <v>1232</v>
      </c>
      <c r="B1157" s="13" t="n">
        <v>46280</v>
      </c>
      <c r="C1157" s="2" t="s">
        <v>89</v>
      </c>
      <c r="D1157" s="2" t="n">
        <v>1</v>
      </c>
      <c r="E1157" s="14" t="s">
        <v>97</v>
      </c>
      <c r="F1157" s="7" t="n">
        <v>14000</v>
      </c>
    </row>
    <row r="1158" customFormat="false" ht="15" hidden="false" customHeight="false" outlineLevel="0" collapsed="false">
      <c r="A1158" s="2" t="s">
        <v>1232</v>
      </c>
      <c r="B1158" s="13" t="n">
        <v>46280</v>
      </c>
      <c r="C1158" s="2" t="s">
        <v>112</v>
      </c>
      <c r="D1158" s="2" t="n">
        <v>1</v>
      </c>
      <c r="E1158" s="14" t="s">
        <v>97</v>
      </c>
      <c r="F1158" s="7" t="n">
        <v>10000</v>
      </c>
    </row>
    <row r="1159" customFormat="false" ht="15" hidden="false" customHeight="false" outlineLevel="0" collapsed="false">
      <c r="A1159" s="2" t="s">
        <v>1233</v>
      </c>
      <c r="B1159" s="13" t="n">
        <v>46280</v>
      </c>
      <c r="C1159" s="2" t="s">
        <v>101</v>
      </c>
      <c r="D1159" s="2" t="n">
        <v>1</v>
      </c>
      <c r="E1159" s="14" t="s">
        <v>102</v>
      </c>
      <c r="F1159" s="7" t="n">
        <v>18000</v>
      </c>
    </row>
    <row r="1160" customFormat="false" ht="15" hidden="false" customHeight="false" outlineLevel="0" collapsed="false">
      <c r="A1160" s="2" t="s">
        <v>1234</v>
      </c>
      <c r="B1160" s="13" t="n">
        <v>46280</v>
      </c>
      <c r="C1160" s="2" t="s">
        <v>101</v>
      </c>
      <c r="D1160" s="2" t="n">
        <v>1</v>
      </c>
      <c r="E1160" s="14" t="s">
        <v>885</v>
      </c>
      <c r="F1160" s="7" t="n">
        <v>18000</v>
      </c>
    </row>
    <row r="1161" customFormat="false" ht="15" hidden="false" customHeight="false" outlineLevel="0" collapsed="false">
      <c r="A1161" s="2" t="s">
        <v>1234</v>
      </c>
      <c r="B1161" s="13" t="n">
        <v>46280</v>
      </c>
      <c r="C1161" s="2" t="s">
        <v>126</v>
      </c>
      <c r="D1161" s="2" t="n">
        <v>1</v>
      </c>
      <c r="E1161" s="14" t="s">
        <v>885</v>
      </c>
      <c r="F1161" s="7" t="n">
        <v>3000</v>
      </c>
    </row>
    <row r="1162" customFormat="false" ht="15" hidden="false" customHeight="false" outlineLevel="0" collapsed="false">
      <c r="A1162" s="2" t="s">
        <v>1235</v>
      </c>
      <c r="B1162" s="13" t="n">
        <v>46280</v>
      </c>
      <c r="C1162" s="2" t="s">
        <v>186</v>
      </c>
      <c r="D1162" s="2" t="n">
        <v>1</v>
      </c>
      <c r="E1162" s="14" t="s">
        <v>888</v>
      </c>
      <c r="F1162" s="7" t="n">
        <v>7000</v>
      </c>
    </row>
    <row r="1163" customFormat="false" ht="15" hidden="false" customHeight="false" outlineLevel="0" collapsed="false">
      <c r="A1163" s="2" t="s">
        <v>1235</v>
      </c>
      <c r="B1163" s="13" t="n">
        <v>46280</v>
      </c>
      <c r="C1163" s="2" t="s">
        <v>186</v>
      </c>
      <c r="D1163" s="2" t="n">
        <v>1</v>
      </c>
      <c r="E1163" s="14" t="s">
        <v>888</v>
      </c>
      <c r="F1163" s="7" t="n">
        <v>7000</v>
      </c>
    </row>
    <row r="1164" customFormat="false" ht="15" hidden="false" customHeight="false" outlineLevel="0" collapsed="false">
      <c r="A1164" s="2" t="s">
        <v>1235</v>
      </c>
      <c r="B1164" s="13" t="n">
        <v>46280</v>
      </c>
      <c r="C1164" s="2" t="s">
        <v>81</v>
      </c>
      <c r="D1164" s="2" t="n">
        <v>2</v>
      </c>
      <c r="E1164" s="14" t="s">
        <v>888</v>
      </c>
      <c r="F1164" s="7" t="n">
        <v>15000</v>
      </c>
    </row>
    <row r="1165" customFormat="false" ht="15" hidden="false" customHeight="false" outlineLevel="0" collapsed="false">
      <c r="A1165" s="2" t="s">
        <v>1236</v>
      </c>
      <c r="B1165" s="13" t="n">
        <v>46280</v>
      </c>
      <c r="C1165" s="2" t="s">
        <v>101</v>
      </c>
      <c r="D1165" s="2" t="n">
        <v>1</v>
      </c>
      <c r="E1165" s="14" t="s">
        <v>656</v>
      </c>
      <c r="F1165" s="7" t="n">
        <v>18000</v>
      </c>
    </row>
    <row r="1166" customFormat="false" ht="15" hidden="false" customHeight="false" outlineLevel="0" collapsed="false">
      <c r="A1166" s="2" t="s">
        <v>1237</v>
      </c>
      <c r="B1166" s="13" t="n">
        <v>46280</v>
      </c>
      <c r="C1166" s="2" t="s">
        <v>101</v>
      </c>
      <c r="D1166" s="2" t="n">
        <v>1</v>
      </c>
      <c r="E1166" s="14" t="s">
        <v>392</v>
      </c>
      <c r="F1166" s="7" t="n">
        <v>18000</v>
      </c>
    </row>
    <row r="1167" customFormat="false" ht="15" hidden="false" customHeight="false" outlineLevel="0" collapsed="false">
      <c r="A1167" s="2" t="s">
        <v>1238</v>
      </c>
      <c r="B1167" s="13" t="n">
        <v>46280</v>
      </c>
      <c r="C1167" s="2" t="s">
        <v>112</v>
      </c>
      <c r="D1167" s="2" t="n">
        <v>1</v>
      </c>
      <c r="E1167" s="14" t="s">
        <v>666</v>
      </c>
      <c r="F1167" s="7" t="n">
        <v>10000</v>
      </c>
    </row>
    <row r="1168" customFormat="false" ht="15" hidden="false" customHeight="false" outlineLevel="0" collapsed="false">
      <c r="A1168" s="2" t="s">
        <v>1238</v>
      </c>
      <c r="B1168" s="13" t="n">
        <v>46280</v>
      </c>
      <c r="C1168" s="2" t="s">
        <v>81</v>
      </c>
      <c r="D1168" s="2" t="n">
        <v>1</v>
      </c>
      <c r="E1168" s="14" t="s">
        <v>666</v>
      </c>
      <c r="F1168" s="7" t="n">
        <v>15000</v>
      </c>
    </row>
    <row r="1169" customFormat="false" ht="15" hidden="false" customHeight="false" outlineLevel="0" collapsed="false">
      <c r="A1169" s="2" t="s">
        <v>1239</v>
      </c>
      <c r="B1169" s="13" t="n">
        <v>46280</v>
      </c>
      <c r="C1169" s="2" t="s">
        <v>186</v>
      </c>
      <c r="D1169" s="2" t="n">
        <v>1</v>
      </c>
      <c r="E1169" s="14" t="s">
        <v>1240</v>
      </c>
      <c r="F1169" s="7" t="n">
        <v>7000</v>
      </c>
    </row>
    <row r="1170" customFormat="false" ht="15" hidden="false" customHeight="false" outlineLevel="0" collapsed="false">
      <c r="A1170" s="2" t="s">
        <v>1239</v>
      </c>
      <c r="B1170" s="13" t="n">
        <v>46280</v>
      </c>
      <c r="C1170" s="2" t="s">
        <v>112</v>
      </c>
      <c r="D1170" s="2" t="n">
        <v>2</v>
      </c>
      <c r="E1170" s="14" t="s">
        <v>1240</v>
      </c>
      <c r="F1170" s="7" t="n">
        <v>10000</v>
      </c>
    </row>
    <row r="1171" customFormat="false" ht="15" hidden="false" customHeight="false" outlineLevel="0" collapsed="false">
      <c r="A1171" s="2" t="s">
        <v>1241</v>
      </c>
      <c r="B1171" s="13" t="n">
        <v>46280</v>
      </c>
      <c r="C1171" s="2" t="s">
        <v>79</v>
      </c>
      <c r="D1171" s="2" t="n">
        <v>1</v>
      </c>
      <c r="E1171" s="14" t="s">
        <v>509</v>
      </c>
      <c r="F1171" s="7" t="n">
        <v>16000</v>
      </c>
    </row>
    <row r="1172" customFormat="false" ht="15" hidden="false" customHeight="false" outlineLevel="0" collapsed="false">
      <c r="A1172" s="2" t="s">
        <v>1241</v>
      </c>
      <c r="B1172" s="13" t="n">
        <v>46280</v>
      </c>
      <c r="C1172" s="2" t="s">
        <v>89</v>
      </c>
      <c r="D1172" s="2" t="n">
        <v>1</v>
      </c>
      <c r="E1172" s="14" t="s">
        <v>509</v>
      </c>
      <c r="F1172" s="7" t="n">
        <v>14000</v>
      </c>
    </row>
    <row r="1173" customFormat="false" ht="15" hidden="false" customHeight="false" outlineLevel="0" collapsed="false">
      <c r="A1173" s="2" t="s">
        <v>1241</v>
      </c>
      <c r="B1173" s="13" t="n">
        <v>46280</v>
      </c>
      <c r="C1173" s="2" t="s">
        <v>186</v>
      </c>
      <c r="D1173" s="2" t="n">
        <v>1</v>
      </c>
      <c r="E1173" s="14" t="s">
        <v>509</v>
      </c>
      <c r="F1173" s="7" t="n">
        <v>7000</v>
      </c>
    </row>
    <row r="1174" customFormat="false" ht="15" hidden="false" customHeight="false" outlineLevel="0" collapsed="false">
      <c r="A1174" s="2" t="s">
        <v>1242</v>
      </c>
      <c r="B1174" s="13" t="n">
        <v>46280</v>
      </c>
      <c r="C1174" s="2" t="s">
        <v>84</v>
      </c>
      <c r="D1174" s="2" t="n">
        <v>1</v>
      </c>
      <c r="E1174" s="14" t="s">
        <v>673</v>
      </c>
      <c r="F1174" s="7" t="n">
        <v>5000</v>
      </c>
    </row>
    <row r="1175" customFormat="false" ht="15" hidden="false" customHeight="false" outlineLevel="0" collapsed="false">
      <c r="A1175" s="2" t="s">
        <v>1243</v>
      </c>
      <c r="B1175" s="13" t="n">
        <v>46280</v>
      </c>
      <c r="C1175" s="2" t="s">
        <v>81</v>
      </c>
      <c r="D1175" s="2" t="n">
        <v>3</v>
      </c>
      <c r="E1175" s="14" t="s">
        <v>146</v>
      </c>
      <c r="F1175" s="7" t="n">
        <v>15000</v>
      </c>
    </row>
    <row r="1176" customFormat="false" ht="15" hidden="false" customHeight="false" outlineLevel="0" collapsed="false">
      <c r="A1176" s="2" t="s">
        <v>1243</v>
      </c>
      <c r="B1176" s="13" t="n">
        <v>46280</v>
      </c>
      <c r="C1176" s="2" t="s">
        <v>186</v>
      </c>
      <c r="D1176" s="2" t="n">
        <v>3</v>
      </c>
      <c r="E1176" s="14" t="s">
        <v>146</v>
      </c>
      <c r="F1176" s="7" t="n">
        <v>7000</v>
      </c>
    </row>
    <row r="1177" customFormat="false" ht="15" hidden="false" customHeight="false" outlineLevel="0" collapsed="false">
      <c r="A1177" s="2" t="s">
        <v>1244</v>
      </c>
      <c r="B1177" s="13" t="n">
        <v>46280</v>
      </c>
      <c r="C1177" s="2" t="s">
        <v>126</v>
      </c>
      <c r="D1177" s="2" t="n">
        <v>1</v>
      </c>
      <c r="E1177" s="14" t="s">
        <v>318</v>
      </c>
      <c r="F1177" s="7" t="n">
        <v>3000</v>
      </c>
    </row>
    <row r="1178" customFormat="false" ht="15" hidden="false" customHeight="false" outlineLevel="0" collapsed="false">
      <c r="A1178" s="2" t="s">
        <v>1245</v>
      </c>
      <c r="B1178" s="13" t="n">
        <v>46280</v>
      </c>
      <c r="C1178" s="2" t="s">
        <v>89</v>
      </c>
      <c r="D1178" s="2" t="n">
        <v>1</v>
      </c>
      <c r="E1178" s="14" t="s">
        <v>150</v>
      </c>
      <c r="F1178" s="7" t="n">
        <v>14000</v>
      </c>
    </row>
    <row r="1179" customFormat="false" ht="15" hidden="false" customHeight="false" outlineLevel="0" collapsed="false">
      <c r="A1179" s="2" t="s">
        <v>1246</v>
      </c>
      <c r="B1179" s="13" t="n">
        <v>46280</v>
      </c>
      <c r="C1179" s="2" t="s">
        <v>92</v>
      </c>
      <c r="D1179" s="2" t="n">
        <v>2</v>
      </c>
      <c r="E1179" s="14" t="s">
        <v>976</v>
      </c>
      <c r="F1179" s="7" t="n">
        <v>4000</v>
      </c>
    </row>
    <row r="1180" customFormat="false" ht="15" hidden="false" customHeight="false" outlineLevel="0" collapsed="false">
      <c r="A1180" s="2" t="s">
        <v>1247</v>
      </c>
      <c r="B1180" s="13" t="n">
        <v>46280</v>
      </c>
      <c r="C1180" s="2" t="s">
        <v>84</v>
      </c>
      <c r="D1180" s="2" t="n">
        <v>1</v>
      </c>
      <c r="E1180" s="14" t="s">
        <v>405</v>
      </c>
      <c r="F1180" s="7" t="n">
        <v>5000</v>
      </c>
    </row>
    <row r="1181" customFormat="false" ht="15" hidden="false" customHeight="false" outlineLevel="0" collapsed="false">
      <c r="A1181" s="2" t="s">
        <v>1247</v>
      </c>
      <c r="B1181" s="13" t="n">
        <v>46280</v>
      </c>
      <c r="C1181" s="2" t="s">
        <v>132</v>
      </c>
      <c r="D1181" s="2" t="n">
        <v>2</v>
      </c>
      <c r="E1181" s="14" t="s">
        <v>405</v>
      </c>
      <c r="F1181" s="7" t="n">
        <v>15000</v>
      </c>
    </row>
    <row r="1182" customFormat="false" ht="15" hidden="false" customHeight="false" outlineLevel="0" collapsed="false">
      <c r="A1182" s="2" t="s">
        <v>1248</v>
      </c>
      <c r="B1182" s="13" t="n">
        <v>46280</v>
      </c>
      <c r="C1182" s="2" t="s">
        <v>112</v>
      </c>
      <c r="D1182" s="2" t="n">
        <v>3</v>
      </c>
      <c r="E1182" s="14" t="s">
        <v>243</v>
      </c>
      <c r="F1182" s="7" t="n">
        <v>10000</v>
      </c>
    </row>
    <row r="1183" customFormat="false" ht="15" hidden="false" customHeight="false" outlineLevel="0" collapsed="false">
      <c r="A1183" s="2" t="s">
        <v>1249</v>
      </c>
      <c r="B1183" s="13" t="n">
        <v>46280</v>
      </c>
      <c r="C1183" s="2" t="s">
        <v>81</v>
      </c>
      <c r="D1183" s="2" t="n">
        <v>2</v>
      </c>
      <c r="E1183" s="14" t="s">
        <v>1250</v>
      </c>
      <c r="F1183" s="7" t="n">
        <v>15000</v>
      </c>
    </row>
    <row r="1184" customFormat="false" ht="15" hidden="false" customHeight="false" outlineLevel="0" collapsed="false">
      <c r="A1184" s="2" t="s">
        <v>1249</v>
      </c>
      <c r="B1184" s="13" t="n">
        <v>46280</v>
      </c>
      <c r="C1184" s="2" t="s">
        <v>92</v>
      </c>
      <c r="D1184" s="2" t="n">
        <v>2</v>
      </c>
      <c r="E1184" s="14" t="s">
        <v>1250</v>
      </c>
      <c r="F1184" s="7" t="n">
        <v>4000</v>
      </c>
    </row>
    <row r="1185" customFormat="false" ht="15" hidden="false" customHeight="false" outlineLevel="0" collapsed="false">
      <c r="A1185" s="2" t="s">
        <v>1249</v>
      </c>
      <c r="B1185" s="13" t="n">
        <v>46280</v>
      </c>
      <c r="C1185" s="2" t="s">
        <v>108</v>
      </c>
      <c r="D1185" s="2" t="n">
        <v>1</v>
      </c>
      <c r="E1185" s="14" t="s">
        <v>1250</v>
      </c>
      <c r="F1185" s="7" t="n">
        <v>20000</v>
      </c>
    </row>
    <row r="1186" customFormat="false" ht="15" hidden="false" customHeight="false" outlineLevel="0" collapsed="false">
      <c r="A1186" s="2" t="s">
        <v>1251</v>
      </c>
      <c r="B1186" s="13" t="n">
        <v>46280</v>
      </c>
      <c r="C1186" s="2" t="s">
        <v>112</v>
      </c>
      <c r="D1186" s="2" t="n">
        <v>1</v>
      </c>
      <c r="E1186" s="14" t="s">
        <v>1252</v>
      </c>
      <c r="F1186" s="7" t="n">
        <v>10000</v>
      </c>
    </row>
    <row r="1187" customFormat="false" ht="15" hidden="false" customHeight="false" outlineLevel="0" collapsed="false">
      <c r="A1187" s="2" t="s">
        <v>1253</v>
      </c>
      <c r="B1187" s="13" t="n">
        <v>46280</v>
      </c>
      <c r="C1187" s="2" t="s">
        <v>89</v>
      </c>
      <c r="D1187" s="2" t="n">
        <v>1</v>
      </c>
      <c r="E1187" s="14" t="s">
        <v>156</v>
      </c>
      <c r="F1187" s="7" t="n">
        <v>14000</v>
      </c>
    </row>
    <row r="1188" customFormat="false" ht="15" hidden="false" customHeight="false" outlineLevel="0" collapsed="false">
      <c r="A1188" s="2" t="s">
        <v>1254</v>
      </c>
      <c r="B1188" s="13" t="n">
        <v>46280</v>
      </c>
      <c r="C1188" s="2" t="s">
        <v>81</v>
      </c>
      <c r="D1188" s="2" t="n">
        <v>1</v>
      </c>
      <c r="E1188" s="14" t="s">
        <v>1134</v>
      </c>
      <c r="F1188" s="7" t="n">
        <v>15000</v>
      </c>
    </row>
    <row r="1189" customFormat="false" ht="15" hidden="false" customHeight="false" outlineLevel="0" collapsed="false">
      <c r="A1189" s="2" t="s">
        <v>1254</v>
      </c>
      <c r="B1189" s="13" t="n">
        <v>46280</v>
      </c>
      <c r="C1189" s="2" t="s">
        <v>132</v>
      </c>
      <c r="D1189" s="2" t="n">
        <v>1</v>
      </c>
      <c r="E1189" s="14" t="s">
        <v>1134</v>
      </c>
      <c r="F1189" s="7" t="n">
        <v>15000</v>
      </c>
    </row>
    <row r="1190" customFormat="false" ht="15" hidden="false" customHeight="false" outlineLevel="0" collapsed="false">
      <c r="A1190" s="2" t="s">
        <v>1255</v>
      </c>
      <c r="B1190" s="13" t="n">
        <v>46280</v>
      </c>
      <c r="C1190" s="2" t="s">
        <v>186</v>
      </c>
      <c r="D1190" s="2" t="n">
        <v>2</v>
      </c>
      <c r="E1190" s="14" t="s">
        <v>917</v>
      </c>
      <c r="F1190" s="7" t="n">
        <v>7000</v>
      </c>
    </row>
    <row r="1191" customFormat="false" ht="15" hidden="false" customHeight="false" outlineLevel="0" collapsed="false">
      <c r="A1191" s="2" t="s">
        <v>1256</v>
      </c>
      <c r="B1191" s="13" t="n">
        <v>46280</v>
      </c>
      <c r="C1191" s="2" t="s">
        <v>82</v>
      </c>
      <c r="D1191" s="2" t="n">
        <v>1</v>
      </c>
      <c r="E1191" s="14" t="s">
        <v>1257</v>
      </c>
      <c r="F1191" s="7" t="n">
        <v>13000</v>
      </c>
    </row>
    <row r="1192" customFormat="false" ht="15" hidden="false" customHeight="false" outlineLevel="0" collapsed="false">
      <c r="A1192" s="2" t="s">
        <v>1258</v>
      </c>
      <c r="B1192" s="13" t="n">
        <v>46280</v>
      </c>
      <c r="C1192" s="2" t="s">
        <v>82</v>
      </c>
      <c r="D1192" s="2" t="n">
        <v>2</v>
      </c>
      <c r="E1192" s="14" t="s">
        <v>762</v>
      </c>
      <c r="F1192" s="7" t="n">
        <v>13000</v>
      </c>
    </row>
    <row r="1193" customFormat="false" ht="15" hidden="false" customHeight="false" outlineLevel="0" collapsed="false">
      <c r="A1193" s="2" t="s">
        <v>1258</v>
      </c>
      <c r="B1193" s="13" t="n">
        <v>46280</v>
      </c>
      <c r="C1193" s="2" t="s">
        <v>101</v>
      </c>
      <c r="D1193" s="2" t="n">
        <v>2</v>
      </c>
      <c r="E1193" s="14" t="s">
        <v>762</v>
      </c>
      <c r="F1193" s="7" t="n">
        <v>18000</v>
      </c>
    </row>
    <row r="1194" customFormat="false" ht="15" hidden="false" customHeight="false" outlineLevel="0" collapsed="false">
      <c r="A1194" s="2" t="s">
        <v>1259</v>
      </c>
      <c r="B1194" s="13" t="n">
        <v>46281</v>
      </c>
      <c r="C1194" s="2" t="s">
        <v>186</v>
      </c>
      <c r="D1194" s="2" t="n">
        <v>1</v>
      </c>
      <c r="E1194" s="14" t="s">
        <v>1260</v>
      </c>
      <c r="F1194" s="7" t="n">
        <v>7000</v>
      </c>
    </row>
    <row r="1195" customFormat="false" ht="15" hidden="false" customHeight="false" outlineLevel="0" collapsed="false">
      <c r="A1195" s="2" t="s">
        <v>1261</v>
      </c>
      <c r="B1195" s="13" t="n">
        <v>46281</v>
      </c>
      <c r="C1195" s="2" t="s">
        <v>101</v>
      </c>
      <c r="D1195" s="2" t="n">
        <v>1</v>
      </c>
      <c r="E1195" s="14" t="s">
        <v>1002</v>
      </c>
      <c r="F1195" s="7" t="n">
        <v>18000</v>
      </c>
    </row>
    <row r="1196" customFormat="false" ht="15" hidden="false" customHeight="false" outlineLevel="0" collapsed="false">
      <c r="A1196" s="2" t="s">
        <v>1261</v>
      </c>
      <c r="B1196" s="13" t="n">
        <v>46281</v>
      </c>
      <c r="C1196" s="2" t="s">
        <v>108</v>
      </c>
      <c r="D1196" s="2" t="n">
        <v>3</v>
      </c>
      <c r="E1196" s="14" t="s">
        <v>1002</v>
      </c>
      <c r="F1196" s="7" t="n">
        <v>20000</v>
      </c>
    </row>
    <row r="1197" customFormat="false" ht="15" hidden="false" customHeight="false" outlineLevel="0" collapsed="false">
      <c r="A1197" s="2" t="s">
        <v>1262</v>
      </c>
      <c r="B1197" s="13" t="n">
        <v>46281</v>
      </c>
      <c r="C1197" s="2" t="s">
        <v>108</v>
      </c>
      <c r="D1197" s="2" t="n">
        <v>2</v>
      </c>
      <c r="E1197" s="14" t="s">
        <v>85</v>
      </c>
      <c r="F1197" s="7" t="n">
        <v>20000</v>
      </c>
    </row>
    <row r="1198" customFormat="false" ht="15" hidden="false" customHeight="false" outlineLevel="0" collapsed="false">
      <c r="A1198" s="2" t="s">
        <v>1262</v>
      </c>
      <c r="B1198" s="13" t="n">
        <v>46281</v>
      </c>
      <c r="C1198" s="2" t="s">
        <v>84</v>
      </c>
      <c r="D1198" s="2" t="n">
        <v>1</v>
      </c>
      <c r="E1198" s="14" t="s">
        <v>85</v>
      </c>
      <c r="F1198" s="7" t="n">
        <v>5000</v>
      </c>
    </row>
    <row r="1199" customFormat="false" ht="15" hidden="false" customHeight="false" outlineLevel="0" collapsed="false">
      <c r="A1199" s="2" t="s">
        <v>1263</v>
      </c>
      <c r="B1199" s="13" t="n">
        <v>46281</v>
      </c>
      <c r="C1199" s="2" t="s">
        <v>92</v>
      </c>
      <c r="D1199" s="2" t="n">
        <v>1</v>
      </c>
      <c r="E1199" s="14" t="s">
        <v>928</v>
      </c>
      <c r="F1199" s="7" t="n">
        <v>4000</v>
      </c>
    </row>
    <row r="1200" customFormat="false" ht="15" hidden="false" customHeight="false" outlineLevel="0" collapsed="false">
      <c r="A1200" s="2" t="s">
        <v>1264</v>
      </c>
      <c r="B1200" s="13" t="n">
        <v>46281</v>
      </c>
      <c r="C1200" s="2" t="s">
        <v>81</v>
      </c>
      <c r="D1200" s="2" t="n">
        <v>1</v>
      </c>
      <c r="E1200" s="14" t="s">
        <v>774</v>
      </c>
      <c r="F1200" s="7" t="n">
        <v>15000</v>
      </c>
    </row>
    <row r="1201" customFormat="false" ht="15" hidden="false" customHeight="false" outlineLevel="0" collapsed="false">
      <c r="A1201" s="2" t="s">
        <v>1264</v>
      </c>
      <c r="B1201" s="13" t="n">
        <v>46281</v>
      </c>
      <c r="C1201" s="2" t="s">
        <v>89</v>
      </c>
      <c r="D1201" s="2" t="n">
        <v>1</v>
      </c>
      <c r="E1201" s="14" t="s">
        <v>774</v>
      </c>
      <c r="F1201" s="7" t="n">
        <v>14000</v>
      </c>
    </row>
    <row r="1202" customFormat="false" ht="15" hidden="false" customHeight="false" outlineLevel="0" collapsed="false">
      <c r="A1202" s="2" t="s">
        <v>1265</v>
      </c>
      <c r="B1202" s="13" t="n">
        <v>46281</v>
      </c>
      <c r="C1202" s="2" t="s">
        <v>92</v>
      </c>
      <c r="D1202" s="2" t="n">
        <v>1</v>
      </c>
      <c r="E1202" s="14" t="s">
        <v>179</v>
      </c>
      <c r="F1202" s="7" t="n">
        <v>4000</v>
      </c>
    </row>
    <row r="1203" customFormat="false" ht="15" hidden="false" customHeight="false" outlineLevel="0" collapsed="false">
      <c r="A1203" s="2" t="s">
        <v>1266</v>
      </c>
      <c r="B1203" s="13" t="n">
        <v>46281</v>
      </c>
      <c r="C1203" s="2" t="s">
        <v>84</v>
      </c>
      <c r="D1203" s="2" t="n">
        <v>1</v>
      </c>
      <c r="E1203" s="14" t="s">
        <v>447</v>
      </c>
      <c r="F1203" s="7" t="n">
        <v>5000</v>
      </c>
    </row>
    <row r="1204" customFormat="false" ht="15" hidden="false" customHeight="false" outlineLevel="0" collapsed="false">
      <c r="A1204" s="2" t="s">
        <v>1266</v>
      </c>
      <c r="B1204" s="13" t="n">
        <v>46281</v>
      </c>
      <c r="C1204" s="2" t="s">
        <v>92</v>
      </c>
      <c r="D1204" s="2" t="n">
        <v>1</v>
      </c>
      <c r="E1204" s="14" t="s">
        <v>447</v>
      </c>
      <c r="F1204" s="7" t="n">
        <v>4000</v>
      </c>
    </row>
    <row r="1205" customFormat="false" ht="15" hidden="false" customHeight="false" outlineLevel="0" collapsed="false">
      <c r="A1205" s="2" t="s">
        <v>1267</v>
      </c>
      <c r="B1205" s="13" t="n">
        <v>46281</v>
      </c>
      <c r="C1205" s="2" t="s">
        <v>101</v>
      </c>
      <c r="D1205" s="2" t="n">
        <v>1</v>
      </c>
      <c r="E1205" s="14" t="s">
        <v>279</v>
      </c>
      <c r="F1205" s="7" t="n">
        <v>18000</v>
      </c>
    </row>
    <row r="1206" customFormat="false" ht="15" hidden="false" customHeight="false" outlineLevel="0" collapsed="false">
      <c r="A1206" s="2" t="s">
        <v>1267</v>
      </c>
      <c r="B1206" s="13" t="n">
        <v>46281</v>
      </c>
      <c r="C1206" s="2" t="s">
        <v>108</v>
      </c>
      <c r="D1206" s="2" t="n">
        <v>1</v>
      </c>
      <c r="E1206" s="14" t="s">
        <v>279</v>
      </c>
      <c r="F1206" s="7" t="n">
        <v>20000</v>
      </c>
    </row>
    <row r="1207" customFormat="false" ht="15" hidden="false" customHeight="false" outlineLevel="0" collapsed="false">
      <c r="A1207" s="2" t="s">
        <v>1267</v>
      </c>
      <c r="B1207" s="13" t="n">
        <v>46281</v>
      </c>
      <c r="C1207" s="2" t="s">
        <v>89</v>
      </c>
      <c r="D1207" s="2" t="n">
        <v>1</v>
      </c>
      <c r="E1207" s="14" t="s">
        <v>279</v>
      </c>
      <c r="F1207" s="7" t="n">
        <v>14000</v>
      </c>
    </row>
    <row r="1208" customFormat="false" ht="15" hidden="false" customHeight="false" outlineLevel="0" collapsed="false">
      <c r="A1208" s="2" t="s">
        <v>1268</v>
      </c>
      <c r="B1208" s="13" t="n">
        <v>46281</v>
      </c>
      <c r="C1208" s="2" t="s">
        <v>101</v>
      </c>
      <c r="D1208" s="2" t="n">
        <v>2</v>
      </c>
      <c r="E1208" s="14" t="s">
        <v>1222</v>
      </c>
      <c r="F1208" s="7" t="n">
        <v>18000</v>
      </c>
    </row>
    <row r="1209" customFormat="false" ht="15" hidden="false" customHeight="false" outlineLevel="0" collapsed="false">
      <c r="A1209" s="2" t="s">
        <v>1269</v>
      </c>
      <c r="B1209" s="13" t="n">
        <v>46281</v>
      </c>
      <c r="C1209" s="2" t="s">
        <v>81</v>
      </c>
      <c r="D1209" s="2" t="n">
        <v>1</v>
      </c>
      <c r="E1209" s="14" t="s">
        <v>459</v>
      </c>
      <c r="F1209" s="7" t="n">
        <v>15000</v>
      </c>
    </row>
    <row r="1210" customFormat="false" ht="15" hidden="false" customHeight="false" outlineLevel="0" collapsed="false">
      <c r="A1210" s="2" t="s">
        <v>1270</v>
      </c>
      <c r="B1210" s="13" t="n">
        <v>46281</v>
      </c>
      <c r="C1210" s="2" t="s">
        <v>1271</v>
      </c>
      <c r="D1210" s="2" t="n">
        <v>2</v>
      </c>
      <c r="E1210" s="14" t="s">
        <v>199</v>
      </c>
      <c r="F1210" s="7" t="n">
        <v>18000</v>
      </c>
    </row>
    <row r="1211" customFormat="false" ht="15" hidden="false" customHeight="false" outlineLevel="0" collapsed="false">
      <c r="A1211" s="2" t="s">
        <v>1272</v>
      </c>
      <c r="B1211" s="13" t="n">
        <v>46281</v>
      </c>
      <c r="C1211" s="2" t="s">
        <v>89</v>
      </c>
      <c r="D1211" s="2" t="n">
        <v>3</v>
      </c>
      <c r="E1211" s="14" t="s">
        <v>199</v>
      </c>
      <c r="F1211" s="7" t="n">
        <v>14000</v>
      </c>
    </row>
    <row r="1212" customFormat="false" ht="15" hidden="false" customHeight="false" outlineLevel="0" collapsed="false">
      <c r="A1212" s="2" t="s">
        <v>1272</v>
      </c>
      <c r="B1212" s="13" t="n">
        <v>46281</v>
      </c>
      <c r="C1212" s="2" t="s">
        <v>126</v>
      </c>
      <c r="D1212" s="2" t="n">
        <v>1</v>
      </c>
      <c r="E1212" s="14" t="s">
        <v>199</v>
      </c>
      <c r="F1212" s="7" t="n">
        <v>3000</v>
      </c>
    </row>
    <row r="1213" customFormat="false" ht="15" hidden="false" customHeight="false" outlineLevel="0" collapsed="false">
      <c r="A1213" s="2" t="s">
        <v>1273</v>
      </c>
      <c r="B1213" s="13" t="n">
        <v>46281</v>
      </c>
      <c r="C1213" s="2" t="s">
        <v>82</v>
      </c>
      <c r="D1213" s="2" t="n">
        <v>3</v>
      </c>
      <c r="E1213" s="14" t="s">
        <v>716</v>
      </c>
      <c r="F1213" s="7" t="n">
        <v>13000</v>
      </c>
    </row>
    <row r="1214" customFormat="false" ht="15" hidden="false" customHeight="false" outlineLevel="0" collapsed="false">
      <c r="A1214" s="2" t="s">
        <v>1274</v>
      </c>
      <c r="B1214" s="13" t="n">
        <v>46281</v>
      </c>
      <c r="C1214" s="2" t="s">
        <v>84</v>
      </c>
      <c r="D1214" s="2" t="n">
        <v>1</v>
      </c>
      <c r="E1214" s="14" t="s">
        <v>1275</v>
      </c>
      <c r="F1214" s="7" t="n">
        <v>5000</v>
      </c>
    </row>
    <row r="1215" customFormat="false" ht="15" hidden="false" customHeight="false" outlineLevel="0" collapsed="false">
      <c r="A1215" s="2" t="s">
        <v>1274</v>
      </c>
      <c r="B1215" s="13" t="n">
        <v>46281</v>
      </c>
      <c r="C1215" s="2" t="s">
        <v>108</v>
      </c>
      <c r="D1215" s="2" t="n">
        <v>1</v>
      </c>
      <c r="E1215" s="14" t="s">
        <v>1275</v>
      </c>
      <c r="F1215" s="7" t="n">
        <v>20000</v>
      </c>
    </row>
    <row r="1216" customFormat="false" ht="15" hidden="false" customHeight="false" outlineLevel="0" collapsed="false">
      <c r="A1216" s="2" t="s">
        <v>1274</v>
      </c>
      <c r="B1216" s="13" t="n">
        <v>46281</v>
      </c>
      <c r="C1216" s="2" t="s">
        <v>89</v>
      </c>
      <c r="D1216" s="2" t="n">
        <v>2</v>
      </c>
      <c r="E1216" s="14" t="s">
        <v>1275</v>
      </c>
      <c r="F1216" s="7" t="n">
        <v>14000</v>
      </c>
    </row>
    <row r="1217" customFormat="false" ht="15" hidden="false" customHeight="false" outlineLevel="0" collapsed="false">
      <c r="A1217" s="2" t="s">
        <v>1276</v>
      </c>
      <c r="B1217" s="13" t="n">
        <v>46281</v>
      </c>
      <c r="C1217" s="2" t="s">
        <v>81</v>
      </c>
      <c r="D1217" s="2" t="n">
        <v>2</v>
      </c>
      <c r="E1217" s="14" t="s">
        <v>1277</v>
      </c>
      <c r="F1217" s="7" t="n">
        <v>15000</v>
      </c>
    </row>
    <row r="1218" customFormat="false" ht="15" hidden="false" customHeight="false" outlineLevel="0" collapsed="false">
      <c r="A1218" s="2" t="s">
        <v>1276</v>
      </c>
      <c r="B1218" s="13" t="n">
        <v>46281</v>
      </c>
      <c r="C1218" s="2" t="s">
        <v>126</v>
      </c>
      <c r="D1218" s="2" t="n">
        <v>1</v>
      </c>
      <c r="E1218" s="14" t="s">
        <v>1277</v>
      </c>
      <c r="F1218" s="7" t="n">
        <v>3000</v>
      </c>
    </row>
    <row r="1219" customFormat="false" ht="15" hidden="false" customHeight="false" outlineLevel="0" collapsed="false">
      <c r="A1219" s="2" t="s">
        <v>1276</v>
      </c>
      <c r="B1219" s="13" t="n">
        <v>46281</v>
      </c>
      <c r="C1219" s="2" t="s">
        <v>132</v>
      </c>
      <c r="D1219" s="2" t="n">
        <v>2</v>
      </c>
      <c r="E1219" s="14" t="s">
        <v>1277</v>
      </c>
      <c r="F1219" s="7" t="n">
        <v>15000</v>
      </c>
    </row>
    <row r="1220" customFormat="false" ht="15" hidden="false" customHeight="false" outlineLevel="0" collapsed="false">
      <c r="A1220" s="2" t="s">
        <v>1278</v>
      </c>
      <c r="B1220" s="13" t="n">
        <v>46281</v>
      </c>
      <c r="C1220" s="2" t="s">
        <v>79</v>
      </c>
      <c r="D1220" s="2" t="n">
        <v>1</v>
      </c>
      <c r="E1220" s="14" t="s">
        <v>1279</v>
      </c>
      <c r="F1220" s="7" t="n">
        <v>16000</v>
      </c>
    </row>
    <row r="1221" customFormat="false" ht="15" hidden="false" customHeight="false" outlineLevel="0" collapsed="false">
      <c r="A1221" s="2" t="s">
        <v>1280</v>
      </c>
      <c r="B1221" s="13" t="n">
        <v>46281</v>
      </c>
      <c r="C1221" s="2" t="s">
        <v>84</v>
      </c>
      <c r="D1221" s="2" t="n">
        <v>2</v>
      </c>
      <c r="E1221" s="14" t="s">
        <v>1281</v>
      </c>
      <c r="F1221" s="7" t="n">
        <v>5000</v>
      </c>
    </row>
    <row r="1222" customFormat="false" ht="15" hidden="false" customHeight="false" outlineLevel="0" collapsed="false">
      <c r="A1222" s="2" t="s">
        <v>1282</v>
      </c>
      <c r="B1222" s="13" t="n">
        <v>46281</v>
      </c>
      <c r="C1222" s="2" t="s">
        <v>108</v>
      </c>
      <c r="D1222" s="2" t="n">
        <v>1</v>
      </c>
      <c r="E1222" s="14" t="s">
        <v>648</v>
      </c>
      <c r="F1222" s="7" t="n">
        <v>20000</v>
      </c>
    </row>
    <row r="1223" customFormat="false" ht="15" hidden="false" customHeight="false" outlineLevel="0" collapsed="false">
      <c r="A1223" s="2" t="s">
        <v>1282</v>
      </c>
      <c r="B1223" s="13" t="n">
        <v>46281</v>
      </c>
      <c r="C1223" s="2" t="s">
        <v>84</v>
      </c>
      <c r="D1223" s="2" t="n">
        <v>1</v>
      </c>
      <c r="E1223" s="14" t="s">
        <v>648</v>
      </c>
      <c r="F1223" s="7" t="n">
        <v>5000</v>
      </c>
    </row>
    <row r="1224" customFormat="false" ht="15" hidden="false" customHeight="false" outlineLevel="0" collapsed="false">
      <c r="A1224" s="2" t="s">
        <v>1282</v>
      </c>
      <c r="B1224" s="13" t="n">
        <v>46281</v>
      </c>
      <c r="C1224" s="2" t="s">
        <v>89</v>
      </c>
      <c r="D1224" s="2" t="n">
        <v>1</v>
      </c>
      <c r="E1224" s="14" t="s">
        <v>648</v>
      </c>
      <c r="F1224" s="7" t="n">
        <v>14000</v>
      </c>
    </row>
    <row r="1225" customFormat="false" ht="15" hidden="false" customHeight="false" outlineLevel="0" collapsed="false">
      <c r="A1225" s="2" t="s">
        <v>1283</v>
      </c>
      <c r="B1225" s="13" t="n">
        <v>46281</v>
      </c>
      <c r="C1225" s="2" t="s">
        <v>186</v>
      </c>
      <c r="D1225" s="2" t="n">
        <v>1</v>
      </c>
      <c r="E1225" s="14" t="s">
        <v>1284</v>
      </c>
      <c r="F1225" s="7" t="n">
        <v>7000</v>
      </c>
    </row>
    <row r="1226" customFormat="false" ht="15" hidden="false" customHeight="false" outlineLevel="0" collapsed="false">
      <c r="A1226" s="2" t="s">
        <v>1283</v>
      </c>
      <c r="B1226" s="13" t="n">
        <v>46281</v>
      </c>
      <c r="C1226" s="2" t="s">
        <v>92</v>
      </c>
      <c r="D1226" s="2" t="n">
        <v>3</v>
      </c>
      <c r="E1226" s="14" t="s">
        <v>1284</v>
      </c>
      <c r="F1226" s="7" t="n">
        <v>4000</v>
      </c>
    </row>
    <row r="1227" customFormat="false" ht="15" hidden="false" customHeight="false" outlineLevel="0" collapsed="false">
      <c r="A1227" s="2" t="s">
        <v>1285</v>
      </c>
      <c r="B1227" s="13" t="n">
        <v>46281</v>
      </c>
      <c r="C1227" s="2" t="s">
        <v>84</v>
      </c>
      <c r="D1227" s="2" t="n">
        <v>1</v>
      </c>
      <c r="E1227" s="14" t="s">
        <v>1286</v>
      </c>
      <c r="F1227" s="7" t="n">
        <v>5000</v>
      </c>
    </row>
    <row r="1228" customFormat="false" ht="15" hidden="false" customHeight="false" outlineLevel="0" collapsed="false">
      <c r="A1228" s="2" t="s">
        <v>1285</v>
      </c>
      <c r="B1228" s="13" t="n">
        <v>46281</v>
      </c>
      <c r="C1228" s="2" t="s">
        <v>89</v>
      </c>
      <c r="D1228" s="2" t="n">
        <v>2</v>
      </c>
      <c r="E1228" s="14" t="s">
        <v>1286</v>
      </c>
      <c r="F1228" s="7" t="n">
        <v>14000</v>
      </c>
    </row>
    <row r="1229" customFormat="false" ht="15" hidden="false" customHeight="false" outlineLevel="0" collapsed="false">
      <c r="A1229" s="2" t="s">
        <v>1287</v>
      </c>
      <c r="B1229" s="13" t="n">
        <v>46281</v>
      </c>
      <c r="C1229" s="2" t="s">
        <v>101</v>
      </c>
      <c r="D1229" s="2" t="n">
        <v>1</v>
      </c>
      <c r="E1229" s="14" t="s">
        <v>1288</v>
      </c>
      <c r="F1229" s="7" t="n">
        <v>18000</v>
      </c>
    </row>
    <row r="1230" customFormat="false" ht="15" hidden="false" customHeight="false" outlineLevel="0" collapsed="false">
      <c r="A1230" s="2" t="s">
        <v>1287</v>
      </c>
      <c r="B1230" s="13" t="n">
        <v>46281</v>
      </c>
      <c r="C1230" s="2" t="s">
        <v>84</v>
      </c>
      <c r="D1230" s="2" t="n">
        <v>2</v>
      </c>
      <c r="E1230" s="14" t="s">
        <v>1288</v>
      </c>
      <c r="F1230" s="7" t="n">
        <v>5000</v>
      </c>
    </row>
    <row r="1231" customFormat="false" ht="15" hidden="false" customHeight="false" outlineLevel="0" collapsed="false">
      <c r="A1231" s="2" t="s">
        <v>1287</v>
      </c>
      <c r="B1231" s="13" t="n">
        <v>46281</v>
      </c>
      <c r="C1231" s="2" t="s">
        <v>132</v>
      </c>
      <c r="D1231" s="2" t="n">
        <v>1</v>
      </c>
      <c r="E1231" s="14" t="s">
        <v>1288</v>
      </c>
      <c r="F1231" s="7" t="n">
        <v>15000</v>
      </c>
    </row>
    <row r="1232" customFormat="false" ht="15" hidden="false" customHeight="false" outlineLevel="0" collapsed="false">
      <c r="A1232" s="2" t="s">
        <v>1289</v>
      </c>
      <c r="B1232" s="13" t="n">
        <v>46281</v>
      </c>
      <c r="C1232" s="2" t="s">
        <v>1031</v>
      </c>
      <c r="D1232" s="2" t="n">
        <v>1</v>
      </c>
      <c r="E1232" s="14" t="s">
        <v>127</v>
      </c>
      <c r="F1232" s="7" t="n">
        <v>15000</v>
      </c>
    </row>
    <row r="1233" customFormat="false" ht="15" hidden="false" customHeight="false" outlineLevel="0" collapsed="false">
      <c r="A1233" s="2" t="s">
        <v>1290</v>
      </c>
      <c r="B1233" s="13" t="n">
        <v>46281</v>
      </c>
      <c r="C1233" s="2" t="s">
        <v>92</v>
      </c>
      <c r="D1233" s="2" t="n">
        <v>1</v>
      </c>
      <c r="E1233" s="14" t="s">
        <v>304</v>
      </c>
      <c r="F1233" s="7" t="n">
        <v>4000</v>
      </c>
    </row>
    <row r="1234" customFormat="false" ht="15" hidden="false" customHeight="false" outlineLevel="0" collapsed="false">
      <c r="A1234" s="2" t="s">
        <v>1290</v>
      </c>
      <c r="B1234" s="13" t="n">
        <v>46281</v>
      </c>
      <c r="C1234" s="2" t="s">
        <v>132</v>
      </c>
      <c r="D1234" s="2" t="n">
        <v>1</v>
      </c>
      <c r="E1234" s="14" t="s">
        <v>304</v>
      </c>
      <c r="F1234" s="7" t="n">
        <v>15000</v>
      </c>
    </row>
    <row r="1235" customFormat="false" ht="15" hidden="false" customHeight="false" outlineLevel="0" collapsed="false">
      <c r="A1235" s="2" t="s">
        <v>1291</v>
      </c>
      <c r="B1235" s="13" t="n">
        <v>46281</v>
      </c>
      <c r="C1235" s="2" t="s">
        <v>132</v>
      </c>
      <c r="D1235" s="2" t="n">
        <v>1</v>
      </c>
      <c r="E1235" s="14" t="s">
        <v>1292</v>
      </c>
      <c r="F1235" s="7" t="n">
        <v>15000</v>
      </c>
    </row>
    <row r="1236" customFormat="false" ht="15" hidden="false" customHeight="false" outlineLevel="0" collapsed="false">
      <c r="A1236" s="2" t="s">
        <v>1291</v>
      </c>
      <c r="B1236" s="13" t="n">
        <v>46281</v>
      </c>
      <c r="C1236" s="2" t="s">
        <v>81</v>
      </c>
      <c r="D1236" s="2" t="n">
        <v>2</v>
      </c>
      <c r="E1236" s="14" t="s">
        <v>1292</v>
      </c>
      <c r="F1236" s="7" t="n">
        <v>15000</v>
      </c>
    </row>
    <row r="1237" customFormat="false" ht="15" hidden="false" customHeight="false" outlineLevel="0" collapsed="false">
      <c r="A1237" s="2" t="s">
        <v>1291</v>
      </c>
      <c r="B1237" s="13" t="n">
        <v>46281</v>
      </c>
      <c r="C1237" s="2" t="s">
        <v>186</v>
      </c>
      <c r="D1237" s="2" t="n">
        <v>1</v>
      </c>
      <c r="E1237" s="14" t="s">
        <v>1292</v>
      </c>
      <c r="F1237" s="7" t="n">
        <v>7000</v>
      </c>
    </row>
    <row r="1238" customFormat="false" ht="15" hidden="false" customHeight="false" outlineLevel="0" collapsed="false">
      <c r="A1238" s="2" t="s">
        <v>1293</v>
      </c>
      <c r="B1238" s="13" t="n">
        <v>46281</v>
      </c>
      <c r="C1238" s="2" t="s">
        <v>112</v>
      </c>
      <c r="D1238" s="2" t="n">
        <v>1</v>
      </c>
      <c r="E1238" s="14" t="s">
        <v>495</v>
      </c>
      <c r="F1238" s="7" t="n">
        <v>10000</v>
      </c>
    </row>
    <row r="1239" customFormat="false" ht="15" hidden="false" customHeight="false" outlineLevel="0" collapsed="false">
      <c r="A1239" s="2" t="s">
        <v>1294</v>
      </c>
      <c r="B1239" s="13" t="n">
        <v>46281</v>
      </c>
      <c r="C1239" s="2" t="s">
        <v>89</v>
      </c>
      <c r="D1239" s="2" t="n">
        <v>1</v>
      </c>
      <c r="E1239" s="14" t="s">
        <v>142</v>
      </c>
      <c r="F1239" s="7" t="n">
        <v>14000</v>
      </c>
    </row>
    <row r="1240" customFormat="false" ht="15" hidden="false" customHeight="false" outlineLevel="0" collapsed="false">
      <c r="A1240" s="2" t="s">
        <v>1294</v>
      </c>
      <c r="B1240" s="13" t="n">
        <v>46281</v>
      </c>
      <c r="C1240" s="2" t="s">
        <v>112</v>
      </c>
      <c r="D1240" s="2" t="n">
        <v>2</v>
      </c>
      <c r="E1240" s="14" t="s">
        <v>142</v>
      </c>
      <c r="F1240" s="7" t="n">
        <v>10000</v>
      </c>
    </row>
    <row r="1241" customFormat="false" ht="15" hidden="false" customHeight="false" outlineLevel="0" collapsed="false">
      <c r="A1241" s="2" t="s">
        <v>1295</v>
      </c>
      <c r="B1241" s="13" t="n">
        <v>46281</v>
      </c>
      <c r="C1241" s="2" t="s">
        <v>101</v>
      </c>
      <c r="D1241" s="2" t="n">
        <v>1</v>
      </c>
      <c r="E1241" s="14" t="s">
        <v>586</v>
      </c>
      <c r="F1241" s="7" t="n">
        <v>18000</v>
      </c>
    </row>
    <row r="1242" customFormat="false" ht="15" hidden="false" customHeight="false" outlineLevel="0" collapsed="false">
      <c r="A1242" s="2" t="s">
        <v>1295</v>
      </c>
      <c r="B1242" s="13" t="n">
        <v>46281</v>
      </c>
      <c r="C1242" s="2" t="s">
        <v>112</v>
      </c>
      <c r="D1242" s="2" t="n">
        <v>2</v>
      </c>
      <c r="E1242" s="14" t="s">
        <v>586</v>
      </c>
      <c r="F1242" s="7" t="n">
        <v>10000</v>
      </c>
    </row>
    <row r="1243" customFormat="false" ht="15" hidden="false" customHeight="false" outlineLevel="0" collapsed="false">
      <c r="A1243" s="2" t="s">
        <v>1296</v>
      </c>
      <c r="B1243" s="13" t="n">
        <v>46281</v>
      </c>
      <c r="C1243" s="2" t="s">
        <v>89</v>
      </c>
      <c r="D1243" s="2" t="n">
        <v>1</v>
      </c>
      <c r="E1243" s="14" t="s">
        <v>590</v>
      </c>
      <c r="F1243" s="7" t="n">
        <v>14000</v>
      </c>
    </row>
    <row r="1244" customFormat="false" ht="15" hidden="false" customHeight="false" outlineLevel="0" collapsed="false">
      <c r="A1244" s="2" t="s">
        <v>1296</v>
      </c>
      <c r="B1244" s="13" t="n">
        <v>46281</v>
      </c>
      <c r="C1244" s="2" t="s">
        <v>101</v>
      </c>
      <c r="D1244" s="2" t="n">
        <v>1</v>
      </c>
      <c r="E1244" s="14" t="s">
        <v>590</v>
      </c>
      <c r="F1244" s="7" t="n">
        <v>18000</v>
      </c>
    </row>
    <row r="1245" customFormat="false" ht="15" hidden="false" customHeight="false" outlineLevel="0" collapsed="false">
      <c r="A1245" s="2" t="s">
        <v>1297</v>
      </c>
      <c r="B1245" s="13" t="n">
        <v>46281</v>
      </c>
      <c r="C1245" s="2" t="s">
        <v>79</v>
      </c>
      <c r="D1245" s="2" t="n">
        <v>1</v>
      </c>
      <c r="E1245" s="14" t="s">
        <v>592</v>
      </c>
      <c r="F1245" s="7" t="n">
        <v>16000</v>
      </c>
    </row>
    <row r="1246" customFormat="false" ht="15" hidden="false" customHeight="false" outlineLevel="0" collapsed="false">
      <c r="A1246" s="2" t="s">
        <v>1298</v>
      </c>
      <c r="B1246" s="13" t="n">
        <v>46281</v>
      </c>
      <c r="C1246" s="2" t="s">
        <v>84</v>
      </c>
      <c r="D1246" s="2" t="n">
        <v>1</v>
      </c>
      <c r="E1246" s="14" t="s">
        <v>316</v>
      </c>
      <c r="F1246" s="7" t="n">
        <v>5000</v>
      </c>
    </row>
    <row r="1247" customFormat="false" ht="15" hidden="false" customHeight="false" outlineLevel="0" collapsed="false">
      <c r="A1247" s="2" t="s">
        <v>1299</v>
      </c>
      <c r="B1247" s="13" t="n">
        <v>46281</v>
      </c>
      <c r="C1247" s="2" t="s">
        <v>89</v>
      </c>
      <c r="D1247" s="2" t="n">
        <v>1</v>
      </c>
      <c r="E1247" s="14" t="s">
        <v>146</v>
      </c>
      <c r="F1247" s="7" t="n">
        <v>14000</v>
      </c>
    </row>
    <row r="1248" customFormat="false" ht="15" hidden="false" customHeight="false" outlineLevel="0" collapsed="false">
      <c r="A1248" s="2" t="s">
        <v>1299</v>
      </c>
      <c r="B1248" s="13" t="n">
        <v>46281</v>
      </c>
      <c r="C1248" s="2" t="s">
        <v>101</v>
      </c>
      <c r="D1248" s="2" t="n">
        <v>1</v>
      </c>
      <c r="E1248" s="14" t="s">
        <v>146</v>
      </c>
      <c r="F1248" s="7" t="n">
        <v>18000</v>
      </c>
    </row>
    <row r="1249" customFormat="false" ht="15" hidden="false" customHeight="false" outlineLevel="0" collapsed="false">
      <c r="A1249" s="2" t="s">
        <v>1300</v>
      </c>
      <c r="B1249" s="13" t="n">
        <v>46281</v>
      </c>
      <c r="C1249" s="2" t="s">
        <v>108</v>
      </c>
      <c r="D1249" s="2" t="n">
        <v>1</v>
      </c>
      <c r="E1249" s="14" t="s">
        <v>1301</v>
      </c>
      <c r="F1249" s="7" t="n">
        <v>200000</v>
      </c>
    </row>
    <row r="1250" customFormat="false" ht="15" hidden="false" customHeight="false" outlineLevel="0" collapsed="false">
      <c r="A1250" s="2" t="s">
        <v>1302</v>
      </c>
      <c r="B1250" s="13" t="n">
        <v>46281</v>
      </c>
      <c r="C1250" s="2" t="s">
        <v>186</v>
      </c>
      <c r="D1250" s="2" t="n">
        <v>2</v>
      </c>
      <c r="E1250" s="14" t="s">
        <v>150</v>
      </c>
      <c r="F1250" s="7" t="n">
        <v>7000</v>
      </c>
    </row>
    <row r="1251" customFormat="false" ht="15" hidden="false" customHeight="false" outlineLevel="0" collapsed="false">
      <c r="A1251" s="2" t="s">
        <v>1302</v>
      </c>
      <c r="B1251" s="13" t="n">
        <v>46281</v>
      </c>
      <c r="C1251" s="2" t="s">
        <v>89</v>
      </c>
      <c r="D1251" s="2" t="n">
        <v>3</v>
      </c>
      <c r="E1251" s="14" t="s">
        <v>150</v>
      </c>
      <c r="F1251" s="7" t="n">
        <v>14000</v>
      </c>
    </row>
    <row r="1252" customFormat="false" ht="15" hidden="false" customHeight="false" outlineLevel="0" collapsed="false">
      <c r="A1252" s="2" t="s">
        <v>1303</v>
      </c>
      <c r="B1252" s="13" t="n">
        <v>46281</v>
      </c>
      <c r="C1252" s="2" t="s">
        <v>101</v>
      </c>
      <c r="D1252" s="2" t="n">
        <v>1</v>
      </c>
      <c r="E1252" s="14" t="s">
        <v>241</v>
      </c>
      <c r="F1252" s="7" t="n">
        <v>18000</v>
      </c>
    </row>
    <row r="1253" customFormat="false" ht="15" hidden="false" customHeight="false" outlineLevel="0" collapsed="false">
      <c r="A1253" s="2" t="s">
        <v>1303</v>
      </c>
      <c r="B1253" s="13" t="n">
        <v>46281</v>
      </c>
      <c r="C1253" s="2" t="s">
        <v>79</v>
      </c>
      <c r="D1253" s="2" t="n">
        <v>2</v>
      </c>
      <c r="E1253" s="14" t="s">
        <v>241</v>
      </c>
      <c r="F1253" s="7" t="n">
        <v>16000</v>
      </c>
    </row>
    <row r="1254" customFormat="false" ht="15" hidden="false" customHeight="false" outlineLevel="0" collapsed="false">
      <c r="A1254" s="2" t="s">
        <v>1304</v>
      </c>
      <c r="B1254" s="13" t="n">
        <v>46281</v>
      </c>
      <c r="C1254" s="2" t="s">
        <v>81</v>
      </c>
      <c r="D1254" s="2" t="n">
        <v>1</v>
      </c>
      <c r="E1254" s="14" t="s">
        <v>245</v>
      </c>
      <c r="F1254" s="7" t="n">
        <v>15000</v>
      </c>
    </row>
    <row r="1255" customFormat="false" ht="15" hidden="false" customHeight="false" outlineLevel="0" collapsed="false">
      <c r="A1255" s="2" t="s">
        <v>1304</v>
      </c>
      <c r="B1255" s="13" t="n">
        <v>46281</v>
      </c>
      <c r="C1255" s="2" t="s">
        <v>108</v>
      </c>
      <c r="D1255" s="2" t="n">
        <v>3</v>
      </c>
      <c r="E1255" s="14" t="s">
        <v>245</v>
      </c>
      <c r="F1255" s="7" t="n">
        <v>20000</v>
      </c>
    </row>
    <row r="1256" customFormat="false" ht="15" hidden="false" customHeight="false" outlineLevel="0" collapsed="false">
      <c r="A1256" s="2" t="s">
        <v>1304</v>
      </c>
      <c r="B1256" s="13" t="n">
        <v>46281</v>
      </c>
      <c r="C1256" s="2" t="s">
        <v>101</v>
      </c>
      <c r="D1256" s="2" t="n">
        <v>1</v>
      </c>
      <c r="E1256" s="14" t="s">
        <v>245</v>
      </c>
      <c r="F1256" s="7" t="n">
        <v>18000</v>
      </c>
    </row>
    <row r="1257" customFormat="false" ht="15" hidden="false" customHeight="false" outlineLevel="0" collapsed="false">
      <c r="A1257" s="2" t="s">
        <v>1305</v>
      </c>
      <c r="B1257" s="13" t="n">
        <v>46281</v>
      </c>
      <c r="C1257" s="2" t="s">
        <v>108</v>
      </c>
      <c r="D1257" s="2" t="n">
        <v>2</v>
      </c>
      <c r="E1257" s="14" t="s">
        <v>602</v>
      </c>
      <c r="F1257" s="7" t="n">
        <v>20000</v>
      </c>
    </row>
    <row r="1258" customFormat="false" ht="15" hidden="false" customHeight="false" outlineLevel="0" collapsed="false">
      <c r="A1258" s="2" t="s">
        <v>1305</v>
      </c>
      <c r="B1258" s="13" t="n">
        <v>46281</v>
      </c>
      <c r="C1258" s="2" t="s">
        <v>79</v>
      </c>
      <c r="D1258" s="2" t="n">
        <v>1</v>
      </c>
      <c r="E1258" s="14" t="s">
        <v>602</v>
      </c>
      <c r="F1258" s="7" t="n">
        <v>16000</v>
      </c>
    </row>
    <row r="1259" customFormat="false" ht="15" hidden="false" customHeight="false" outlineLevel="0" collapsed="false">
      <c r="A1259" s="2" t="s">
        <v>1306</v>
      </c>
      <c r="B1259" s="13" t="n">
        <v>46281</v>
      </c>
      <c r="C1259" s="2" t="s">
        <v>108</v>
      </c>
      <c r="D1259" s="2" t="n">
        <v>1</v>
      </c>
      <c r="E1259" s="14" t="s">
        <v>980</v>
      </c>
      <c r="F1259" s="7" t="n">
        <v>20000</v>
      </c>
    </row>
    <row r="1260" customFormat="false" ht="15" hidden="false" customHeight="false" outlineLevel="0" collapsed="false">
      <c r="A1260" s="2" t="s">
        <v>1307</v>
      </c>
      <c r="B1260" s="13" t="n">
        <v>46281</v>
      </c>
      <c r="C1260" s="2" t="s">
        <v>186</v>
      </c>
      <c r="D1260" s="2" t="n">
        <v>1</v>
      </c>
      <c r="E1260" s="14" t="s">
        <v>683</v>
      </c>
      <c r="F1260" s="7" t="n">
        <v>7000</v>
      </c>
    </row>
    <row r="1261" customFormat="false" ht="15" hidden="false" customHeight="false" outlineLevel="0" collapsed="false">
      <c r="A1261" s="2" t="s">
        <v>1307</v>
      </c>
      <c r="B1261" s="13" t="n">
        <v>46281</v>
      </c>
      <c r="C1261" s="2" t="s">
        <v>84</v>
      </c>
      <c r="D1261" s="2" t="n">
        <v>2</v>
      </c>
      <c r="E1261" s="14" t="s">
        <v>683</v>
      </c>
      <c r="F1261" s="7" t="n">
        <v>5000</v>
      </c>
    </row>
    <row r="1262" customFormat="false" ht="15" hidden="false" customHeight="false" outlineLevel="0" collapsed="false">
      <c r="A1262" s="2" t="s">
        <v>1308</v>
      </c>
      <c r="B1262" s="13" t="n">
        <v>46281</v>
      </c>
      <c r="C1262" s="2" t="s">
        <v>89</v>
      </c>
      <c r="D1262" s="2" t="n">
        <v>1</v>
      </c>
      <c r="E1262" s="14" t="s">
        <v>683</v>
      </c>
      <c r="F1262" s="7" t="n">
        <v>14000</v>
      </c>
    </row>
    <row r="1263" customFormat="false" ht="15" hidden="false" customHeight="false" outlineLevel="0" collapsed="false">
      <c r="A1263" s="2" t="s">
        <v>1308</v>
      </c>
      <c r="B1263" s="13" t="n">
        <v>46281</v>
      </c>
      <c r="C1263" s="2" t="s">
        <v>82</v>
      </c>
      <c r="D1263" s="2" t="n">
        <v>1</v>
      </c>
      <c r="E1263" s="14" t="s">
        <v>683</v>
      </c>
      <c r="F1263" s="7" t="n">
        <v>13000</v>
      </c>
    </row>
    <row r="1264" customFormat="false" ht="15" hidden="false" customHeight="false" outlineLevel="0" collapsed="false">
      <c r="A1264" s="2" t="s">
        <v>1308</v>
      </c>
      <c r="B1264" s="13" t="n">
        <v>46281</v>
      </c>
      <c r="C1264" s="2" t="s">
        <v>126</v>
      </c>
      <c r="D1264" s="2" t="n">
        <v>1</v>
      </c>
      <c r="E1264" s="14" t="s">
        <v>683</v>
      </c>
      <c r="F1264" s="7" t="n">
        <v>3000</v>
      </c>
    </row>
    <row r="1265" customFormat="false" ht="15" hidden="false" customHeight="false" outlineLevel="0" collapsed="false">
      <c r="A1265" s="2" t="s">
        <v>1309</v>
      </c>
      <c r="B1265" s="13" t="n">
        <v>46281</v>
      </c>
      <c r="C1265" s="2" t="s">
        <v>92</v>
      </c>
      <c r="D1265" s="2" t="n">
        <v>2</v>
      </c>
      <c r="E1265" s="14" t="s">
        <v>1310</v>
      </c>
      <c r="F1265" s="7" t="n">
        <v>4000</v>
      </c>
    </row>
    <row r="1266" customFormat="false" ht="15" hidden="false" customHeight="false" outlineLevel="0" collapsed="false">
      <c r="A1266" s="2" t="s">
        <v>1309</v>
      </c>
      <c r="B1266" s="13" t="n">
        <v>46281</v>
      </c>
      <c r="C1266" s="2" t="s">
        <v>792</v>
      </c>
      <c r="D1266" s="2" t="n">
        <v>1</v>
      </c>
      <c r="E1266" s="14" t="s">
        <v>1310</v>
      </c>
      <c r="F1266" s="7" t="n">
        <v>13000</v>
      </c>
    </row>
    <row r="1267" customFormat="false" ht="15" hidden="false" customHeight="false" outlineLevel="0" collapsed="false">
      <c r="A1267" s="2" t="s">
        <v>1311</v>
      </c>
      <c r="B1267" s="13" t="n">
        <v>46281</v>
      </c>
      <c r="C1267" s="2" t="s">
        <v>132</v>
      </c>
      <c r="D1267" s="2" t="n">
        <v>1</v>
      </c>
      <c r="E1267" s="14" t="s">
        <v>1312</v>
      </c>
      <c r="F1267" s="7" t="n">
        <v>15000</v>
      </c>
    </row>
    <row r="1268" customFormat="false" ht="15" hidden="false" customHeight="false" outlineLevel="0" collapsed="false">
      <c r="A1268" s="2" t="s">
        <v>1311</v>
      </c>
      <c r="B1268" s="13" t="n">
        <v>46281</v>
      </c>
      <c r="C1268" s="2" t="s">
        <v>101</v>
      </c>
      <c r="D1268" s="2" t="n">
        <v>1</v>
      </c>
      <c r="E1268" s="14" t="s">
        <v>1312</v>
      </c>
      <c r="F1268" s="7" t="n">
        <v>18000</v>
      </c>
    </row>
    <row r="1269" customFormat="false" ht="15" hidden="false" customHeight="false" outlineLevel="0" collapsed="false">
      <c r="A1269" s="2" t="s">
        <v>1313</v>
      </c>
      <c r="B1269" s="13" t="n">
        <v>46281</v>
      </c>
      <c r="C1269" s="2" t="s">
        <v>81</v>
      </c>
      <c r="D1269" s="2" t="n">
        <v>2</v>
      </c>
      <c r="E1269" s="14" t="s">
        <v>333</v>
      </c>
      <c r="F1269" s="7" t="n">
        <v>15000</v>
      </c>
    </row>
    <row r="1270" customFormat="false" ht="15" hidden="false" customHeight="false" outlineLevel="0" collapsed="false">
      <c r="A1270" s="2" t="s">
        <v>1314</v>
      </c>
      <c r="B1270" s="13" t="n">
        <v>46281</v>
      </c>
      <c r="C1270" s="2" t="s">
        <v>79</v>
      </c>
      <c r="D1270" s="2" t="n">
        <v>1</v>
      </c>
      <c r="E1270" s="14" t="s">
        <v>1315</v>
      </c>
      <c r="F1270" s="7" t="n">
        <v>16000</v>
      </c>
    </row>
    <row r="1271" customFormat="false" ht="15" hidden="false" customHeight="false" outlineLevel="0" collapsed="false">
      <c r="A1271" s="2" t="s">
        <v>1316</v>
      </c>
      <c r="B1271" s="13" t="n">
        <v>46282</v>
      </c>
      <c r="C1271" s="2" t="s">
        <v>79</v>
      </c>
      <c r="D1271" s="2" t="n">
        <v>1</v>
      </c>
      <c r="E1271" s="14" t="s">
        <v>1317</v>
      </c>
      <c r="F1271" s="7" t="n">
        <v>16000</v>
      </c>
    </row>
    <row r="1272" customFormat="false" ht="15" hidden="false" customHeight="false" outlineLevel="0" collapsed="false">
      <c r="A1272" s="2" t="s">
        <v>1316</v>
      </c>
      <c r="B1272" s="13" t="n">
        <v>46282</v>
      </c>
      <c r="C1272" s="2" t="s">
        <v>92</v>
      </c>
      <c r="D1272" s="2" t="n">
        <v>1</v>
      </c>
      <c r="E1272" s="14" t="s">
        <v>1317</v>
      </c>
      <c r="F1272" s="7" t="n">
        <v>4000</v>
      </c>
    </row>
    <row r="1273" customFormat="false" ht="15" hidden="false" customHeight="false" outlineLevel="0" collapsed="false">
      <c r="A1273" s="2" t="s">
        <v>1318</v>
      </c>
      <c r="B1273" s="13" t="n">
        <v>46282</v>
      </c>
      <c r="C1273" s="2" t="s">
        <v>108</v>
      </c>
      <c r="D1273" s="2" t="n">
        <v>1</v>
      </c>
      <c r="E1273" s="14" t="s">
        <v>1319</v>
      </c>
      <c r="F1273" s="7" t="n">
        <v>20000</v>
      </c>
    </row>
    <row r="1274" customFormat="false" ht="15" hidden="false" customHeight="false" outlineLevel="0" collapsed="false">
      <c r="A1274" s="2" t="s">
        <v>1318</v>
      </c>
      <c r="B1274" s="13" t="n">
        <v>46282</v>
      </c>
      <c r="C1274" s="2" t="s">
        <v>81</v>
      </c>
      <c r="D1274" s="2" t="n">
        <v>2</v>
      </c>
      <c r="E1274" s="14" t="s">
        <v>1077</v>
      </c>
      <c r="F1274" s="7" t="n">
        <v>15000</v>
      </c>
    </row>
    <row r="1275" customFormat="false" ht="15" hidden="false" customHeight="false" outlineLevel="0" collapsed="false">
      <c r="A1275" s="2" t="s">
        <v>1318</v>
      </c>
      <c r="B1275" s="13" t="n">
        <v>46282</v>
      </c>
      <c r="C1275" s="2" t="s">
        <v>112</v>
      </c>
      <c r="D1275" s="2" t="n">
        <v>2</v>
      </c>
      <c r="E1275" s="14" t="s">
        <v>1077</v>
      </c>
      <c r="F1275" s="7" t="n">
        <v>10000</v>
      </c>
    </row>
    <row r="1276" customFormat="false" ht="15" hidden="false" customHeight="false" outlineLevel="0" collapsed="false">
      <c r="A1276" s="2" t="s">
        <v>1320</v>
      </c>
      <c r="B1276" s="13" t="n">
        <v>46282</v>
      </c>
      <c r="C1276" s="2" t="s">
        <v>84</v>
      </c>
      <c r="D1276" s="2" t="n">
        <v>1</v>
      </c>
      <c r="E1276" s="14" t="s">
        <v>267</v>
      </c>
      <c r="F1276" s="7" t="n">
        <v>5000</v>
      </c>
    </row>
    <row r="1277" customFormat="false" ht="15" hidden="false" customHeight="false" outlineLevel="0" collapsed="false">
      <c r="A1277" s="2" t="s">
        <v>1320</v>
      </c>
      <c r="B1277" s="13" t="n">
        <v>46282</v>
      </c>
      <c r="C1277" s="2" t="s">
        <v>89</v>
      </c>
      <c r="D1277" s="2" t="n">
        <v>1</v>
      </c>
      <c r="E1277" s="14" t="s">
        <v>267</v>
      </c>
      <c r="F1277" s="7" t="n">
        <v>14000</v>
      </c>
    </row>
    <row r="1278" customFormat="false" ht="15" hidden="false" customHeight="false" outlineLevel="0" collapsed="false">
      <c r="A1278" s="2" t="s">
        <v>1320</v>
      </c>
      <c r="B1278" s="13" t="n">
        <v>46282</v>
      </c>
      <c r="C1278" s="2" t="s">
        <v>108</v>
      </c>
      <c r="D1278" s="2" t="n">
        <v>1</v>
      </c>
      <c r="E1278" s="14" t="s">
        <v>267</v>
      </c>
      <c r="F1278" s="7" t="n">
        <v>20000</v>
      </c>
    </row>
    <row r="1279" customFormat="false" ht="15" hidden="false" customHeight="false" outlineLevel="0" collapsed="false">
      <c r="A1279" s="2" t="s">
        <v>1321</v>
      </c>
      <c r="B1279" s="13" t="n">
        <v>46282</v>
      </c>
      <c r="C1279" s="2" t="s">
        <v>132</v>
      </c>
      <c r="D1279" s="2" t="n">
        <v>1</v>
      </c>
      <c r="E1279" s="14" t="s">
        <v>354</v>
      </c>
      <c r="F1279" s="7" t="n">
        <v>15000</v>
      </c>
    </row>
    <row r="1280" customFormat="false" ht="15" hidden="false" customHeight="false" outlineLevel="0" collapsed="false">
      <c r="A1280" s="2" t="s">
        <v>1321</v>
      </c>
      <c r="B1280" s="13" t="n">
        <v>46282</v>
      </c>
      <c r="C1280" s="2" t="s">
        <v>112</v>
      </c>
      <c r="D1280" s="2" t="n">
        <v>2</v>
      </c>
      <c r="E1280" s="14" t="s">
        <v>354</v>
      </c>
      <c r="F1280" s="7" t="n">
        <v>10000</v>
      </c>
    </row>
    <row r="1281" customFormat="false" ht="15" hidden="false" customHeight="false" outlineLevel="0" collapsed="false">
      <c r="A1281" s="2" t="s">
        <v>1322</v>
      </c>
      <c r="B1281" s="13" t="n">
        <v>46282</v>
      </c>
      <c r="C1281" s="2" t="s">
        <v>84</v>
      </c>
      <c r="D1281" s="2" t="n">
        <v>2</v>
      </c>
      <c r="E1281" s="14" t="s">
        <v>1012</v>
      </c>
      <c r="F1281" s="7" t="n">
        <v>5000</v>
      </c>
    </row>
    <row r="1282" customFormat="false" ht="15" hidden="false" customHeight="false" outlineLevel="0" collapsed="false">
      <c r="A1282" s="2" t="s">
        <v>1323</v>
      </c>
      <c r="B1282" s="13" t="n">
        <v>46282</v>
      </c>
      <c r="C1282" s="2" t="s">
        <v>186</v>
      </c>
      <c r="D1282" s="2" t="n">
        <v>3</v>
      </c>
      <c r="E1282" s="14" t="s">
        <v>443</v>
      </c>
      <c r="F1282" s="7" t="n">
        <v>7000</v>
      </c>
    </row>
    <row r="1283" customFormat="false" ht="15" hidden="false" customHeight="false" outlineLevel="0" collapsed="false">
      <c r="A1283" s="2" t="s">
        <v>1323</v>
      </c>
      <c r="B1283" s="13" t="n">
        <v>46282</v>
      </c>
      <c r="C1283" s="2" t="s">
        <v>84</v>
      </c>
      <c r="D1283" s="2" t="n">
        <v>2</v>
      </c>
      <c r="E1283" s="14" t="s">
        <v>443</v>
      </c>
      <c r="F1283" s="7" t="n">
        <v>5000</v>
      </c>
    </row>
    <row r="1284" customFormat="false" ht="15" hidden="false" customHeight="false" outlineLevel="0" collapsed="false">
      <c r="A1284" s="2" t="s">
        <v>1324</v>
      </c>
      <c r="B1284" s="13" t="n">
        <v>46282</v>
      </c>
      <c r="C1284" s="2" t="s">
        <v>79</v>
      </c>
      <c r="D1284" s="2" t="n">
        <v>1</v>
      </c>
      <c r="E1284" s="14" t="s">
        <v>445</v>
      </c>
      <c r="F1284" s="7" t="n">
        <v>16000</v>
      </c>
    </row>
    <row r="1285" customFormat="false" ht="15" hidden="false" customHeight="false" outlineLevel="0" collapsed="false">
      <c r="A1285" s="2" t="s">
        <v>1324</v>
      </c>
      <c r="B1285" s="13" t="n">
        <v>46282</v>
      </c>
      <c r="C1285" s="2" t="s">
        <v>84</v>
      </c>
      <c r="D1285" s="2" t="n">
        <v>1</v>
      </c>
      <c r="E1285" s="14" t="s">
        <v>445</v>
      </c>
      <c r="F1285" s="7" t="n">
        <v>5000</v>
      </c>
    </row>
    <row r="1286" customFormat="false" ht="15" hidden="false" customHeight="false" outlineLevel="0" collapsed="false">
      <c r="A1286" s="2" t="s">
        <v>1325</v>
      </c>
      <c r="B1286" s="13" t="n">
        <v>46282</v>
      </c>
      <c r="C1286" s="2" t="s">
        <v>84</v>
      </c>
      <c r="D1286" s="2" t="n">
        <v>1</v>
      </c>
      <c r="E1286" s="14" t="s">
        <v>356</v>
      </c>
      <c r="F1286" s="7" t="n">
        <v>5000</v>
      </c>
    </row>
    <row r="1287" customFormat="false" ht="15" hidden="false" customHeight="false" outlineLevel="0" collapsed="false">
      <c r="A1287" s="2" t="s">
        <v>1326</v>
      </c>
      <c r="B1287" s="13" t="n">
        <v>46282</v>
      </c>
      <c r="C1287" s="2" t="s">
        <v>84</v>
      </c>
      <c r="D1287" s="2" t="n">
        <v>2</v>
      </c>
      <c r="E1287" s="14" t="s">
        <v>860</v>
      </c>
      <c r="F1287" s="7" t="n">
        <v>5000</v>
      </c>
    </row>
    <row r="1288" customFormat="false" ht="15" hidden="false" customHeight="false" outlineLevel="0" collapsed="false">
      <c r="A1288" s="2" t="s">
        <v>1327</v>
      </c>
      <c r="B1288" s="13" t="n">
        <v>46282</v>
      </c>
      <c r="C1288" s="2" t="s">
        <v>82</v>
      </c>
      <c r="D1288" s="2" t="n">
        <v>1</v>
      </c>
      <c r="E1288" s="14" t="s">
        <v>1328</v>
      </c>
      <c r="F1288" s="7" t="n">
        <v>13000</v>
      </c>
    </row>
    <row r="1289" customFormat="false" ht="15" hidden="false" customHeight="false" outlineLevel="0" collapsed="false">
      <c r="A1289" s="2" t="s">
        <v>1327</v>
      </c>
      <c r="B1289" s="13" t="n">
        <v>46282</v>
      </c>
      <c r="C1289" s="2" t="s">
        <v>108</v>
      </c>
      <c r="D1289" s="2" t="n">
        <v>2</v>
      </c>
      <c r="E1289" s="14" t="s">
        <v>1328</v>
      </c>
      <c r="F1289" s="7" t="n">
        <v>20000</v>
      </c>
    </row>
    <row r="1290" customFormat="false" ht="15" hidden="false" customHeight="false" outlineLevel="0" collapsed="false">
      <c r="A1290" s="2" t="s">
        <v>1329</v>
      </c>
      <c r="B1290" s="13" t="n">
        <v>46282</v>
      </c>
      <c r="C1290" s="2" t="s">
        <v>79</v>
      </c>
      <c r="D1290" s="2" t="n">
        <v>0</v>
      </c>
      <c r="E1290" s="14" t="s">
        <v>466</v>
      </c>
      <c r="F1290" s="7" t="n">
        <v>16000</v>
      </c>
    </row>
    <row r="1291" customFormat="false" ht="15" hidden="false" customHeight="false" outlineLevel="0" collapsed="false">
      <c r="A1291" s="2" t="s">
        <v>1329</v>
      </c>
      <c r="B1291" s="13" t="n">
        <v>46282</v>
      </c>
      <c r="C1291" s="2" t="s">
        <v>132</v>
      </c>
      <c r="D1291" s="2" t="n">
        <v>2</v>
      </c>
      <c r="E1291" s="14" t="s">
        <v>466</v>
      </c>
      <c r="F1291" s="7" t="n">
        <v>15000</v>
      </c>
    </row>
    <row r="1292" customFormat="false" ht="15" hidden="false" customHeight="false" outlineLevel="0" collapsed="false">
      <c r="A1292" s="2" t="s">
        <v>1329</v>
      </c>
      <c r="B1292" s="13" t="n">
        <v>46282</v>
      </c>
      <c r="C1292" s="2" t="s">
        <v>186</v>
      </c>
      <c r="D1292" s="2" t="n">
        <v>1</v>
      </c>
      <c r="E1292" s="14" t="s">
        <v>466</v>
      </c>
      <c r="F1292" s="7" t="n">
        <v>7000</v>
      </c>
    </row>
    <row r="1293" customFormat="false" ht="15" hidden="false" customHeight="false" outlineLevel="0" collapsed="false">
      <c r="A1293" s="2" t="s">
        <v>1330</v>
      </c>
      <c r="B1293" s="13" t="n">
        <v>46282</v>
      </c>
      <c r="C1293" s="2" t="s">
        <v>101</v>
      </c>
      <c r="D1293" s="2" t="n">
        <v>1</v>
      </c>
      <c r="E1293" s="14" t="s">
        <v>630</v>
      </c>
      <c r="F1293" s="7" t="n">
        <v>18000</v>
      </c>
    </row>
    <row r="1294" customFormat="false" ht="15" hidden="false" customHeight="false" outlineLevel="0" collapsed="false">
      <c r="A1294" s="2" t="s">
        <v>1331</v>
      </c>
      <c r="B1294" s="13" t="n">
        <v>46282</v>
      </c>
      <c r="C1294" s="2" t="s">
        <v>92</v>
      </c>
      <c r="D1294" s="2" t="n">
        <v>1</v>
      </c>
      <c r="E1294" s="14" t="s">
        <v>1024</v>
      </c>
      <c r="F1294" s="7" t="n">
        <v>4000</v>
      </c>
    </row>
    <row r="1295" customFormat="false" ht="15" hidden="false" customHeight="false" outlineLevel="0" collapsed="false">
      <c r="A1295" s="2" t="s">
        <v>1332</v>
      </c>
      <c r="B1295" s="13" t="n">
        <v>46282</v>
      </c>
      <c r="C1295" s="2" t="s">
        <v>81</v>
      </c>
      <c r="D1295" s="2" t="n">
        <v>1</v>
      </c>
      <c r="E1295" s="14" t="s">
        <v>1110</v>
      </c>
      <c r="F1295" s="7" t="n">
        <v>15000</v>
      </c>
    </row>
    <row r="1296" customFormat="false" ht="15" hidden="false" customHeight="false" outlineLevel="0" collapsed="false">
      <c r="A1296" s="2" t="s">
        <v>1332</v>
      </c>
      <c r="B1296" s="13" t="n">
        <v>46282</v>
      </c>
      <c r="C1296" s="2" t="s">
        <v>84</v>
      </c>
      <c r="D1296" s="2" t="n">
        <v>3</v>
      </c>
      <c r="E1296" s="14" t="s">
        <v>1110</v>
      </c>
      <c r="F1296" s="7" t="n">
        <v>5000</v>
      </c>
    </row>
    <row r="1297" customFormat="false" ht="15" hidden="false" customHeight="false" outlineLevel="0" collapsed="false">
      <c r="A1297" s="2" t="s">
        <v>1333</v>
      </c>
      <c r="B1297" s="13" t="n">
        <v>46282</v>
      </c>
      <c r="C1297" s="2" t="s">
        <v>112</v>
      </c>
      <c r="D1297" s="2" t="n">
        <v>1</v>
      </c>
      <c r="E1297" s="14" t="s">
        <v>1281</v>
      </c>
      <c r="F1297" s="7" t="n">
        <v>10000</v>
      </c>
    </row>
    <row r="1298" customFormat="false" ht="15" hidden="false" customHeight="false" outlineLevel="0" collapsed="false">
      <c r="A1298" s="2" t="s">
        <v>1333</v>
      </c>
      <c r="B1298" s="13" t="n">
        <v>46282</v>
      </c>
      <c r="C1298" s="2" t="s">
        <v>84</v>
      </c>
      <c r="D1298" s="2" t="n">
        <v>2</v>
      </c>
      <c r="E1298" s="14" t="s">
        <v>1281</v>
      </c>
      <c r="F1298" s="7" t="n">
        <v>5000</v>
      </c>
    </row>
    <row r="1299" customFormat="false" ht="15" hidden="false" customHeight="false" outlineLevel="0" collapsed="false">
      <c r="A1299" s="2" t="s">
        <v>1334</v>
      </c>
      <c r="B1299" s="13" t="n">
        <v>46282</v>
      </c>
      <c r="C1299" s="2" t="s">
        <v>126</v>
      </c>
      <c r="D1299" s="2" t="n">
        <v>1</v>
      </c>
      <c r="E1299" s="14" t="s">
        <v>646</v>
      </c>
      <c r="F1299" s="7" t="n">
        <v>3000</v>
      </c>
    </row>
    <row r="1300" customFormat="false" ht="15" hidden="false" customHeight="false" outlineLevel="0" collapsed="false">
      <c r="A1300" s="2" t="s">
        <v>1335</v>
      </c>
      <c r="B1300" s="13" t="n">
        <v>46282</v>
      </c>
      <c r="C1300" s="2" t="s">
        <v>89</v>
      </c>
      <c r="D1300" s="2" t="n">
        <v>1</v>
      </c>
      <c r="E1300" s="14" t="s">
        <v>109</v>
      </c>
      <c r="F1300" s="7" t="n">
        <v>14000</v>
      </c>
    </row>
    <row r="1301" customFormat="false" ht="15" hidden="false" customHeight="false" outlineLevel="0" collapsed="false">
      <c r="A1301" s="2" t="s">
        <v>1336</v>
      </c>
      <c r="B1301" s="13" t="n">
        <v>46282</v>
      </c>
      <c r="C1301" s="2" t="s">
        <v>132</v>
      </c>
      <c r="D1301" s="2" t="n">
        <v>2</v>
      </c>
      <c r="E1301" s="14" t="s">
        <v>1337</v>
      </c>
      <c r="F1301" s="7" t="n">
        <v>15000</v>
      </c>
    </row>
    <row r="1302" customFormat="false" ht="15" hidden="false" customHeight="false" outlineLevel="0" collapsed="false">
      <c r="A1302" s="2" t="s">
        <v>1338</v>
      </c>
      <c r="B1302" s="13" t="n">
        <v>46282</v>
      </c>
      <c r="C1302" s="2" t="s">
        <v>108</v>
      </c>
      <c r="D1302" s="2" t="n">
        <v>1</v>
      </c>
      <c r="E1302" s="14" t="s">
        <v>114</v>
      </c>
      <c r="F1302" s="7" t="n">
        <v>20000</v>
      </c>
    </row>
    <row r="1303" customFormat="false" ht="15" hidden="false" customHeight="false" outlineLevel="0" collapsed="false">
      <c r="A1303" s="2" t="s">
        <v>1338</v>
      </c>
      <c r="B1303" s="13" t="n">
        <v>46282</v>
      </c>
      <c r="C1303" s="2" t="s">
        <v>81</v>
      </c>
      <c r="D1303" s="2" t="n">
        <v>1</v>
      </c>
      <c r="E1303" s="14" t="s">
        <v>114</v>
      </c>
      <c r="F1303" s="7" t="n">
        <v>15000</v>
      </c>
    </row>
    <row r="1304" customFormat="false" ht="15" hidden="false" customHeight="false" outlineLevel="0" collapsed="false">
      <c r="A1304" s="2" t="s">
        <v>1339</v>
      </c>
      <c r="B1304" s="13" t="n">
        <v>46282</v>
      </c>
      <c r="C1304" s="2" t="s">
        <v>81</v>
      </c>
      <c r="D1304" s="2" t="n">
        <v>2</v>
      </c>
      <c r="E1304" s="14" t="s">
        <v>114</v>
      </c>
      <c r="F1304" s="7" t="n">
        <v>15000</v>
      </c>
    </row>
    <row r="1305" customFormat="false" ht="15" hidden="false" customHeight="false" outlineLevel="0" collapsed="false">
      <c r="A1305" s="2" t="s">
        <v>1339</v>
      </c>
      <c r="B1305" s="13" t="n">
        <v>46282</v>
      </c>
      <c r="C1305" s="2" t="s">
        <v>108</v>
      </c>
      <c r="D1305" s="2" t="n">
        <v>1</v>
      </c>
      <c r="E1305" s="14" t="s">
        <v>114</v>
      </c>
      <c r="F1305" s="7" t="n">
        <v>20000</v>
      </c>
    </row>
    <row r="1306" customFormat="false" ht="15" hidden="false" customHeight="false" outlineLevel="0" collapsed="false">
      <c r="A1306" s="2" t="s">
        <v>1339</v>
      </c>
      <c r="B1306" s="13" t="n">
        <v>46282</v>
      </c>
      <c r="C1306" s="2" t="s">
        <v>112</v>
      </c>
      <c r="D1306" s="2" t="n">
        <v>1</v>
      </c>
      <c r="E1306" s="14" t="s">
        <v>114</v>
      </c>
      <c r="F1306" s="7" t="n">
        <v>10000</v>
      </c>
    </row>
    <row r="1307" customFormat="false" ht="15" hidden="false" customHeight="false" outlineLevel="0" collapsed="false">
      <c r="A1307" s="2" t="s">
        <v>1340</v>
      </c>
      <c r="B1307" s="13" t="n">
        <v>46282</v>
      </c>
      <c r="C1307" s="2" t="s">
        <v>101</v>
      </c>
      <c r="D1307" s="2" t="n">
        <v>1</v>
      </c>
      <c r="E1307" s="14" t="s">
        <v>483</v>
      </c>
      <c r="F1307" s="7" t="n">
        <v>18000</v>
      </c>
    </row>
    <row r="1308" customFormat="false" ht="15" hidden="false" customHeight="false" outlineLevel="0" collapsed="false">
      <c r="A1308" s="2" t="s">
        <v>1341</v>
      </c>
      <c r="B1308" s="13" t="n">
        <v>46282</v>
      </c>
      <c r="C1308" s="2" t="s">
        <v>79</v>
      </c>
      <c r="D1308" s="2" t="n">
        <v>1</v>
      </c>
      <c r="E1308" s="14" t="s">
        <v>1342</v>
      </c>
      <c r="F1308" s="7" t="n">
        <v>16000</v>
      </c>
    </row>
    <row r="1309" customFormat="false" ht="15" hidden="false" customHeight="false" outlineLevel="0" collapsed="false">
      <c r="A1309" s="2" t="s">
        <v>1343</v>
      </c>
      <c r="B1309" s="13" t="n">
        <v>46282</v>
      </c>
      <c r="C1309" s="2" t="s">
        <v>81</v>
      </c>
      <c r="D1309" s="2" t="n">
        <v>2</v>
      </c>
      <c r="E1309" s="14" t="s">
        <v>129</v>
      </c>
      <c r="F1309" s="7" t="n">
        <v>15000</v>
      </c>
    </row>
    <row r="1310" customFormat="false" ht="15" hidden="false" customHeight="false" outlineLevel="0" collapsed="false">
      <c r="A1310" s="2" t="s">
        <v>1343</v>
      </c>
      <c r="B1310" s="13" t="n">
        <v>46282</v>
      </c>
      <c r="C1310" s="2" t="s">
        <v>186</v>
      </c>
      <c r="D1310" s="2" t="n">
        <v>1</v>
      </c>
      <c r="E1310" s="14" t="s">
        <v>129</v>
      </c>
      <c r="F1310" s="7" t="n">
        <v>7000</v>
      </c>
    </row>
    <row r="1311" customFormat="false" ht="15" hidden="false" customHeight="false" outlineLevel="0" collapsed="false">
      <c r="A1311" s="2" t="s">
        <v>1344</v>
      </c>
      <c r="B1311" s="13" t="n">
        <v>46282</v>
      </c>
      <c r="C1311" s="2" t="s">
        <v>82</v>
      </c>
      <c r="D1311" s="2" t="n">
        <v>1</v>
      </c>
      <c r="E1311" s="14" t="s">
        <v>1345</v>
      </c>
      <c r="F1311" s="7" t="n">
        <v>13000</v>
      </c>
    </row>
    <row r="1312" customFormat="false" ht="15" hidden="false" customHeight="false" outlineLevel="0" collapsed="false">
      <c r="A1312" s="2" t="s">
        <v>1346</v>
      </c>
      <c r="B1312" s="13" t="n">
        <v>46282</v>
      </c>
      <c r="C1312" s="2" t="s">
        <v>79</v>
      </c>
      <c r="D1312" s="2" t="n">
        <v>1</v>
      </c>
      <c r="E1312" s="14" t="s">
        <v>220</v>
      </c>
      <c r="F1312" s="7" t="n">
        <v>16000</v>
      </c>
    </row>
    <row r="1313" customFormat="false" ht="15" hidden="false" customHeight="false" outlineLevel="0" collapsed="false">
      <c r="A1313" s="2" t="s">
        <v>1346</v>
      </c>
      <c r="B1313" s="13" t="n">
        <v>46282</v>
      </c>
      <c r="C1313" s="2" t="s">
        <v>186</v>
      </c>
      <c r="D1313" s="2" t="n">
        <v>1</v>
      </c>
      <c r="E1313" s="14" t="s">
        <v>220</v>
      </c>
      <c r="F1313" s="7" t="n">
        <v>7000</v>
      </c>
    </row>
    <row r="1314" customFormat="false" ht="15" hidden="false" customHeight="false" outlineLevel="0" collapsed="false">
      <c r="A1314" s="2" t="s">
        <v>1347</v>
      </c>
      <c r="B1314" s="13" t="n">
        <v>46282</v>
      </c>
      <c r="C1314" s="2" t="s">
        <v>108</v>
      </c>
      <c r="D1314" s="2" t="n">
        <v>2</v>
      </c>
      <c r="E1314" s="14" t="s">
        <v>577</v>
      </c>
      <c r="F1314" s="7" t="n">
        <v>20000</v>
      </c>
    </row>
    <row r="1315" customFormat="false" ht="15" hidden="false" customHeight="false" outlineLevel="0" collapsed="false">
      <c r="A1315" s="2" t="s">
        <v>1347</v>
      </c>
      <c r="B1315" s="13" t="n">
        <v>46282</v>
      </c>
      <c r="C1315" s="2" t="s">
        <v>132</v>
      </c>
      <c r="D1315" s="2" t="n">
        <v>1</v>
      </c>
      <c r="E1315" s="14" t="s">
        <v>577</v>
      </c>
      <c r="F1315" s="7" t="n">
        <v>15000</v>
      </c>
    </row>
    <row r="1316" customFormat="false" ht="15" hidden="false" customHeight="false" outlineLevel="0" collapsed="false">
      <c r="A1316" s="2" t="s">
        <v>1348</v>
      </c>
      <c r="B1316" s="13" t="n">
        <v>46282</v>
      </c>
      <c r="C1316" s="2" t="s">
        <v>101</v>
      </c>
      <c r="D1316" s="2" t="n">
        <v>3</v>
      </c>
      <c r="E1316" s="14" t="s">
        <v>1349</v>
      </c>
      <c r="F1316" s="7" t="n">
        <v>18000</v>
      </c>
    </row>
    <row r="1317" customFormat="false" ht="15" hidden="false" customHeight="false" outlineLevel="0" collapsed="false">
      <c r="A1317" s="2" t="s">
        <v>1350</v>
      </c>
      <c r="B1317" s="13" t="n">
        <v>46282</v>
      </c>
      <c r="C1317" s="2" t="s">
        <v>79</v>
      </c>
      <c r="D1317" s="2" t="n">
        <v>1</v>
      </c>
      <c r="E1317" s="14" t="s">
        <v>1055</v>
      </c>
      <c r="F1317" s="7" t="n">
        <v>16000</v>
      </c>
    </row>
    <row r="1318" customFormat="false" ht="15" hidden="false" customHeight="false" outlineLevel="0" collapsed="false">
      <c r="A1318" s="2" t="s">
        <v>1351</v>
      </c>
      <c r="B1318" s="13" t="n">
        <v>46282</v>
      </c>
      <c r="C1318" s="2" t="s">
        <v>112</v>
      </c>
      <c r="D1318" s="2" t="n">
        <v>3</v>
      </c>
      <c r="E1318" s="14" t="s">
        <v>1352</v>
      </c>
      <c r="F1318" s="7" t="n">
        <v>10000</v>
      </c>
    </row>
    <row r="1319" customFormat="false" ht="15" hidden="false" customHeight="false" outlineLevel="0" collapsed="false">
      <c r="A1319" s="2" t="s">
        <v>1351</v>
      </c>
      <c r="B1319" s="13" t="n">
        <v>46282</v>
      </c>
      <c r="C1319" s="2" t="s">
        <v>84</v>
      </c>
      <c r="D1319" s="2" t="n">
        <v>2</v>
      </c>
      <c r="E1319" s="14" t="s">
        <v>1352</v>
      </c>
      <c r="F1319" s="7" t="n">
        <v>5000</v>
      </c>
    </row>
    <row r="1320" customFormat="false" ht="15" hidden="false" customHeight="false" outlineLevel="0" collapsed="false">
      <c r="A1320" s="2" t="s">
        <v>1351</v>
      </c>
      <c r="B1320" s="13" t="n">
        <v>46282</v>
      </c>
      <c r="C1320" s="2" t="s">
        <v>126</v>
      </c>
      <c r="D1320" s="2" t="n">
        <v>2</v>
      </c>
      <c r="E1320" s="14" t="s">
        <v>1352</v>
      </c>
      <c r="F1320" s="7" t="n">
        <v>3000</v>
      </c>
    </row>
    <row r="1321" customFormat="false" ht="15" hidden="false" customHeight="false" outlineLevel="0" collapsed="false">
      <c r="A1321" s="2" t="s">
        <v>1353</v>
      </c>
      <c r="B1321" s="13" t="n">
        <v>46282</v>
      </c>
      <c r="C1321" s="2" t="s">
        <v>92</v>
      </c>
      <c r="D1321" s="2" t="n">
        <v>1</v>
      </c>
      <c r="E1321" s="14" t="s">
        <v>1192</v>
      </c>
      <c r="F1321" s="7" t="n">
        <v>4000</v>
      </c>
    </row>
    <row r="1322" customFormat="false" ht="15" hidden="false" customHeight="false" outlineLevel="0" collapsed="false">
      <c r="A1322" s="2" t="s">
        <v>1354</v>
      </c>
      <c r="B1322" s="13" t="n">
        <v>46282</v>
      </c>
      <c r="C1322" s="2" t="s">
        <v>79</v>
      </c>
      <c r="D1322" s="2" t="n">
        <v>1</v>
      </c>
      <c r="E1322" s="14" t="s">
        <v>588</v>
      </c>
      <c r="F1322" s="7" t="n">
        <v>16000</v>
      </c>
    </row>
    <row r="1323" customFormat="false" ht="15" hidden="false" customHeight="false" outlineLevel="0" collapsed="false">
      <c r="A1323" s="2" t="s">
        <v>1354</v>
      </c>
      <c r="B1323" s="13" t="n">
        <v>46282</v>
      </c>
      <c r="C1323" s="2" t="s">
        <v>112</v>
      </c>
      <c r="D1323" s="2" t="n">
        <v>1</v>
      </c>
      <c r="E1323" s="14" t="s">
        <v>588</v>
      </c>
      <c r="F1323" s="7" t="n">
        <v>10000</v>
      </c>
    </row>
    <row r="1324" customFormat="false" ht="15" hidden="false" customHeight="false" outlineLevel="0" collapsed="false">
      <c r="A1324" s="2" t="s">
        <v>1355</v>
      </c>
      <c r="B1324" s="13" t="n">
        <v>46282</v>
      </c>
      <c r="C1324" s="2" t="s">
        <v>89</v>
      </c>
      <c r="D1324" s="2" t="n">
        <v>1</v>
      </c>
      <c r="E1324" s="14" t="s">
        <v>823</v>
      </c>
      <c r="F1324" s="7" t="n">
        <v>14000</v>
      </c>
    </row>
    <row r="1325" customFormat="false" ht="15" hidden="false" customHeight="false" outlineLevel="0" collapsed="false">
      <c r="A1325" s="2" t="s">
        <v>1356</v>
      </c>
      <c r="B1325" s="13" t="n">
        <v>46282</v>
      </c>
      <c r="C1325" s="2" t="s">
        <v>84</v>
      </c>
      <c r="D1325" s="2" t="n">
        <v>1</v>
      </c>
      <c r="E1325" s="14" t="s">
        <v>325</v>
      </c>
      <c r="F1325" s="7" t="n">
        <v>5000</v>
      </c>
    </row>
    <row r="1326" customFormat="false" ht="15" hidden="false" customHeight="false" outlineLevel="0" collapsed="false">
      <c r="A1326" s="2" t="s">
        <v>1357</v>
      </c>
      <c r="B1326" s="13" t="n">
        <v>46282</v>
      </c>
      <c r="C1326" s="2" t="s">
        <v>108</v>
      </c>
      <c r="D1326" s="2" t="n">
        <v>1</v>
      </c>
      <c r="E1326" s="14" t="s">
        <v>602</v>
      </c>
      <c r="F1326" s="7" t="n">
        <v>20000</v>
      </c>
    </row>
    <row r="1327" customFormat="false" ht="15" hidden="false" customHeight="false" outlineLevel="0" collapsed="false">
      <c r="A1327" s="2" t="s">
        <v>1358</v>
      </c>
      <c r="B1327" s="13" t="n">
        <v>46282</v>
      </c>
      <c r="C1327" s="2" t="s">
        <v>108</v>
      </c>
      <c r="D1327" s="2" t="n">
        <v>2</v>
      </c>
      <c r="E1327" s="14" t="s">
        <v>152</v>
      </c>
      <c r="F1327" s="7" t="n">
        <v>20000</v>
      </c>
    </row>
    <row r="1328" customFormat="false" ht="15" hidden="false" customHeight="false" outlineLevel="0" collapsed="false">
      <c r="A1328" s="2" t="s">
        <v>1359</v>
      </c>
      <c r="B1328" s="13" t="n">
        <v>46282</v>
      </c>
      <c r="C1328" s="2" t="s">
        <v>81</v>
      </c>
      <c r="D1328" s="2" t="n">
        <v>1</v>
      </c>
      <c r="E1328" s="14" t="s">
        <v>980</v>
      </c>
      <c r="F1328" s="7" t="n">
        <v>15000</v>
      </c>
    </row>
    <row r="1329" customFormat="false" ht="15" hidden="false" customHeight="false" outlineLevel="0" collapsed="false">
      <c r="A1329" s="2" t="s">
        <v>1359</v>
      </c>
      <c r="B1329" s="13" t="n">
        <v>46282</v>
      </c>
      <c r="C1329" s="2" t="s">
        <v>132</v>
      </c>
      <c r="D1329" s="2" t="n">
        <v>1</v>
      </c>
      <c r="E1329" s="14" t="s">
        <v>980</v>
      </c>
      <c r="F1329" s="7" t="n">
        <v>15000</v>
      </c>
    </row>
    <row r="1330" customFormat="false" ht="15" hidden="false" customHeight="false" outlineLevel="0" collapsed="false">
      <c r="A1330" s="2" t="s">
        <v>1360</v>
      </c>
      <c r="B1330" s="13" t="n">
        <v>46282</v>
      </c>
      <c r="C1330" s="2" t="s">
        <v>89</v>
      </c>
      <c r="D1330" s="2" t="n">
        <v>1</v>
      </c>
      <c r="E1330" s="14" t="s">
        <v>1361</v>
      </c>
      <c r="F1330" s="7" t="n">
        <v>14000</v>
      </c>
    </row>
    <row r="1331" customFormat="false" ht="15" hidden="false" customHeight="false" outlineLevel="0" collapsed="false">
      <c r="A1331" s="2" t="s">
        <v>1360</v>
      </c>
      <c r="B1331" s="13" t="n">
        <v>46282</v>
      </c>
      <c r="C1331" s="2" t="s">
        <v>101</v>
      </c>
      <c r="D1331" s="2" t="n">
        <v>2</v>
      </c>
      <c r="E1331" s="14" t="s">
        <v>1361</v>
      </c>
      <c r="F1331" s="7" t="n">
        <v>18000</v>
      </c>
    </row>
    <row r="1332" customFormat="false" ht="15" hidden="false" customHeight="false" outlineLevel="0" collapsed="false">
      <c r="A1332" s="2" t="s">
        <v>1360</v>
      </c>
      <c r="B1332" s="13" t="n">
        <v>46282</v>
      </c>
      <c r="C1332" s="2" t="s">
        <v>132</v>
      </c>
      <c r="D1332" s="2" t="n">
        <v>1</v>
      </c>
      <c r="E1332" s="14" t="s">
        <v>1361</v>
      </c>
      <c r="F1332" s="7" t="n">
        <v>15000</v>
      </c>
    </row>
    <row r="1333" customFormat="false" ht="15" hidden="false" customHeight="false" outlineLevel="0" collapsed="false">
      <c r="A1333" s="2" t="s">
        <v>1362</v>
      </c>
      <c r="B1333" s="13" t="n">
        <v>46282</v>
      </c>
      <c r="C1333" s="2" t="s">
        <v>84</v>
      </c>
      <c r="D1333" s="2" t="n">
        <v>1</v>
      </c>
      <c r="E1333" s="14" t="s">
        <v>158</v>
      </c>
      <c r="F1333" s="7" t="n">
        <v>5000</v>
      </c>
    </row>
    <row r="1334" customFormat="false" ht="15" hidden="false" customHeight="false" outlineLevel="0" collapsed="false">
      <c r="A1334" s="2" t="s">
        <v>1362</v>
      </c>
      <c r="B1334" s="13" t="n">
        <v>46282</v>
      </c>
      <c r="C1334" s="2" t="s">
        <v>92</v>
      </c>
      <c r="D1334" s="2" t="n">
        <v>1</v>
      </c>
      <c r="E1334" s="14" t="s">
        <v>158</v>
      </c>
      <c r="F1334" s="7" t="n">
        <v>4000</v>
      </c>
    </row>
    <row r="1335" customFormat="false" ht="15" hidden="false" customHeight="false" outlineLevel="0" collapsed="false">
      <c r="A1335" s="2" t="s">
        <v>1362</v>
      </c>
      <c r="B1335" s="13" t="n">
        <v>46282</v>
      </c>
      <c r="C1335" s="2" t="s">
        <v>82</v>
      </c>
      <c r="D1335" s="2" t="n">
        <v>3</v>
      </c>
      <c r="E1335" s="14" t="s">
        <v>158</v>
      </c>
      <c r="F1335" s="7" t="n">
        <v>13000</v>
      </c>
    </row>
    <row r="1336" customFormat="false" ht="15" hidden="false" customHeight="false" outlineLevel="0" collapsed="false">
      <c r="A1336" s="2" t="s">
        <v>1363</v>
      </c>
      <c r="B1336" s="13" t="n">
        <v>46282</v>
      </c>
      <c r="C1336" s="2" t="s">
        <v>84</v>
      </c>
      <c r="D1336" s="2" t="n">
        <v>2</v>
      </c>
      <c r="E1336" s="14" t="s">
        <v>328</v>
      </c>
      <c r="F1336" s="7" t="n">
        <v>5000</v>
      </c>
    </row>
    <row r="1337" customFormat="false" ht="15" hidden="false" customHeight="false" outlineLevel="0" collapsed="false">
      <c r="A1337" s="2" t="s">
        <v>1363</v>
      </c>
      <c r="B1337" s="13" t="n">
        <v>46282</v>
      </c>
      <c r="C1337" s="2" t="s">
        <v>92</v>
      </c>
      <c r="D1337" s="2" t="n">
        <v>2</v>
      </c>
      <c r="E1337" s="14" t="s">
        <v>328</v>
      </c>
      <c r="F1337" s="7" t="n">
        <v>4000</v>
      </c>
    </row>
    <row r="1338" customFormat="false" ht="15" hidden="false" customHeight="false" outlineLevel="0" collapsed="false">
      <c r="A1338" s="2" t="s">
        <v>1363</v>
      </c>
      <c r="B1338" s="13" t="n">
        <v>46282</v>
      </c>
      <c r="C1338" s="2" t="s">
        <v>81</v>
      </c>
      <c r="D1338" s="2" t="n">
        <v>1</v>
      </c>
      <c r="E1338" s="14" t="s">
        <v>328</v>
      </c>
      <c r="F1338" s="7" t="n">
        <v>15000</v>
      </c>
    </row>
    <row r="1339" customFormat="false" ht="15" hidden="false" customHeight="false" outlineLevel="0" collapsed="false">
      <c r="A1339" s="2" t="s">
        <v>1364</v>
      </c>
      <c r="B1339" s="13" t="n">
        <v>46282</v>
      </c>
      <c r="C1339" s="2" t="s">
        <v>132</v>
      </c>
      <c r="D1339" s="2" t="n">
        <v>1</v>
      </c>
      <c r="E1339" s="14" t="s">
        <v>523</v>
      </c>
      <c r="F1339" s="7" t="n">
        <v>15000</v>
      </c>
    </row>
    <row r="1340" customFormat="false" ht="15" hidden="false" customHeight="false" outlineLevel="0" collapsed="false">
      <c r="A1340" s="2" t="s">
        <v>1364</v>
      </c>
      <c r="B1340" s="13" t="n">
        <v>46282</v>
      </c>
      <c r="C1340" s="2" t="s">
        <v>81</v>
      </c>
      <c r="D1340" s="2" t="n">
        <v>1</v>
      </c>
      <c r="E1340" s="14" t="s">
        <v>523</v>
      </c>
      <c r="F1340" s="7" t="n">
        <v>15000</v>
      </c>
    </row>
    <row r="1341" customFormat="false" ht="15" hidden="false" customHeight="false" outlineLevel="0" collapsed="false">
      <c r="A1341" s="2" t="s">
        <v>1365</v>
      </c>
      <c r="B1341" s="13" t="n">
        <v>46282</v>
      </c>
      <c r="C1341" s="2" t="s">
        <v>84</v>
      </c>
      <c r="D1341" s="2" t="n">
        <v>1</v>
      </c>
      <c r="E1341" s="14" t="s">
        <v>1366</v>
      </c>
      <c r="F1341" s="7" t="n">
        <v>5000</v>
      </c>
    </row>
    <row r="1342" customFormat="false" ht="15" hidden="false" customHeight="false" outlineLevel="0" collapsed="false">
      <c r="A1342" s="2" t="s">
        <v>1367</v>
      </c>
      <c r="B1342" s="13" t="n">
        <v>46283</v>
      </c>
      <c r="C1342" s="2" t="s">
        <v>101</v>
      </c>
      <c r="D1342" s="2" t="n">
        <v>1</v>
      </c>
      <c r="E1342" s="14" t="s">
        <v>839</v>
      </c>
      <c r="F1342" s="7" t="n">
        <v>18000</v>
      </c>
    </row>
    <row r="1343" customFormat="false" ht="15" hidden="false" customHeight="false" outlineLevel="0" collapsed="false">
      <c r="A1343" s="2" t="s">
        <v>1368</v>
      </c>
      <c r="B1343" s="13" t="n">
        <v>46283</v>
      </c>
      <c r="C1343" s="2" t="s">
        <v>84</v>
      </c>
      <c r="D1343" s="2" t="n">
        <v>2</v>
      </c>
      <c r="E1343" s="14" t="s">
        <v>1369</v>
      </c>
      <c r="F1343" s="7" t="n">
        <v>5000</v>
      </c>
    </row>
    <row r="1344" customFormat="false" ht="15" hidden="false" customHeight="false" outlineLevel="0" collapsed="false">
      <c r="A1344" s="2" t="s">
        <v>1368</v>
      </c>
      <c r="B1344" s="13" t="n">
        <v>46283</v>
      </c>
      <c r="C1344" s="2" t="s">
        <v>81</v>
      </c>
      <c r="D1344" s="2" t="n">
        <v>1</v>
      </c>
      <c r="E1344" s="14" t="s">
        <v>1369</v>
      </c>
      <c r="F1344" s="7" t="n">
        <v>15000</v>
      </c>
    </row>
    <row r="1345" customFormat="false" ht="15" hidden="false" customHeight="false" outlineLevel="0" collapsed="false">
      <c r="A1345" s="2" t="s">
        <v>1370</v>
      </c>
      <c r="B1345" s="13" t="n">
        <v>46283</v>
      </c>
      <c r="C1345" s="2" t="s">
        <v>81</v>
      </c>
      <c r="D1345" s="2"/>
      <c r="E1345" s="14" t="s">
        <v>1371</v>
      </c>
      <c r="F1345" s="7" t="n">
        <v>15000</v>
      </c>
    </row>
    <row r="1346" customFormat="false" ht="15" hidden="false" customHeight="false" outlineLevel="0" collapsed="false">
      <c r="A1346" s="2" t="s">
        <v>1372</v>
      </c>
      <c r="B1346" s="13" t="n">
        <v>46283</v>
      </c>
      <c r="C1346" s="2" t="s">
        <v>84</v>
      </c>
      <c r="D1346" s="2" t="n">
        <v>1</v>
      </c>
      <c r="E1346" s="14" t="s">
        <v>1087</v>
      </c>
      <c r="F1346" s="7" t="n">
        <v>5000</v>
      </c>
    </row>
    <row r="1347" customFormat="false" ht="15" hidden="false" customHeight="false" outlineLevel="0" collapsed="false">
      <c r="A1347" s="2" t="s">
        <v>1373</v>
      </c>
      <c r="B1347" s="13" t="n">
        <v>46283</v>
      </c>
      <c r="C1347" s="2" t="s">
        <v>132</v>
      </c>
      <c r="D1347" s="2" t="n">
        <v>1</v>
      </c>
      <c r="E1347" s="14" t="s">
        <v>1374</v>
      </c>
      <c r="F1347" s="7" t="n">
        <v>15000</v>
      </c>
    </row>
    <row r="1348" customFormat="false" ht="15" hidden="false" customHeight="false" outlineLevel="0" collapsed="false">
      <c r="A1348" s="2" t="s">
        <v>1375</v>
      </c>
      <c r="B1348" s="13" t="n">
        <v>46283</v>
      </c>
      <c r="C1348" s="2" t="s">
        <v>81</v>
      </c>
      <c r="D1348" s="2" t="n">
        <v>1</v>
      </c>
      <c r="E1348" s="14" t="s">
        <v>366</v>
      </c>
      <c r="F1348" s="7" t="n">
        <v>15000</v>
      </c>
    </row>
    <row r="1349" customFormat="false" ht="15" hidden="false" customHeight="false" outlineLevel="0" collapsed="false">
      <c r="A1349" s="2" t="s">
        <v>1376</v>
      </c>
      <c r="B1349" s="13" t="n">
        <v>46283</v>
      </c>
      <c r="C1349" s="2" t="s">
        <v>186</v>
      </c>
      <c r="D1349" s="2" t="n">
        <v>2</v>
      </c>
      <c r="E1349" s="14" t="s">
        <v>866</v>
      </c>
      <c r="F1349" s="7" t="n">
        <v>7000</v>
      </c>
    </row>
    <row r="1350" customFormat="false" ht="15" hidden="false" customHeight="false" outlineLevel="0" collapsed="false">
      <c r="A1350" s="2" t="s">
        <v>1376</v>
      </c>
      <c r="B1350" s="13" t="n">
        <v>46283</v>
      </c>
      <c r="C1350" s="2" t="s">
        <v>84</v>
      </c>
      <c r="D1350" s="2" t="n">
        <v>2</v>
      </c>
      <c r="E1350" s="14" t="s">
        <v>866</v>
      </c>
      <c r="F1350" s="7" t="n">
        <v>5000</v>
      </c>
    </row>
    <row r="1351" customFormat="false" ht="15" hidden="false" customHeight="false" outlineLevel="0" collapsed="false">
      <c r="A1351" s="2" t="s">
        <v>1377</v>
      </c>
      <c r="B1351" s="13" t="n">
        <v>46283</v>
      </c>
      <c r="C1351" s="2" t="s">
        <v>84</v>
      </c>
      <c r="D1351" s="2" t="n">
        <v>1</v>
      </c>
      <c r="E1351" s="14" t="s">
        <v>1222</v>
      </c>
      <c r="F1351" s="7" t="n">
        <v>5000</v>
      </c>
    </row>
    <row r="1352" customFormat="false" ht="15" hidden="false" customHeight="false" outlineLevel="0" collapsed="false">
      <c r="A1352" s="2" t="s">
        <v>1377</v>
      </c>
      <c r="B1352" s="13" t="n">
        <v>46283</v>
      </c>
      <c r="C1352" s="2" t="s">
        <v>101</v>
      </c>
      <c r="D1352" s="2" t="n">
        <v>2</v>
      </c>
      <c r="E1352" s="14" t="s">
        <v>1222</v>
      </c>
      <c r="F1352" s="7" t="n">
        <v>18000</v>
      </c>
    </row>
    <row r="1353" customFormat="false" ht="15" hidden="false" customHeight="false" outlineLevel="0" collapsed="false">
      <c r="A1353" s="2" t="s">
        <v>1377</v>
      </c>
      <c r="B1353" s="13" t="n">
        <v>46283</v>
      </c>
      <c r="C1353" s="2" t="s">
        <v>82</v>
      </c>
      <c r="D1353" s="2" t="n">
        <v>1</v>
      </c>
      <c r="E1353" s="14" t="s">
        <v>1222</v>
      </c>
      <c r="F1353" s="7" t="n">
        <v>13000</v>
      </c>
    </row>
    <row r="1354" customFormat="false" ht="15" hidden="false" customHeight="false" outlineLevel="0" collapsed="false">
      <c r="A1354" s="2" t="s">
        <v>1378</v>
      </c>
      <c r="B1354" s="13" t="n">
        <v>46283</v>
      </c>
      <c r="C1354" s="2" t="s">
        <v>79</v>
      </c>
      <c r="D1354" s="2" t="n">
        <v>1</v>
      </c>
      <c r="E1354" s="14" t="s">
        <v>370</v>
      </c>
      <c r="F1354" s="7" t="n">
        <v>16000</v>
      </c>
    </row>
    <row r="1355" customFormat="false" ht="15" hidden="false" customHeight="false" outlineLevel="0" collapsed="false">
      <c r="A1355" s="2" t="s">
        <v>1379</v>
      </c>
      <c r="B1355" s="13" t="n">
        <v>46283</v>
      </c>
      <c r="C1355" s="2" t="s">
        <v>108</v>
      </c>
      <c r="D1355" s="2" t="n">
        <v>2</v>
      </c>
      <c r="E1355" s="14" t="s">
        <v>468</v>
      </c>
      <c r="F1355" s="7" t="n">
        <v>20000</v>
      </c>
    </row>
    <row r="1356" customFormat="false" ht="15" hidden="false" customHeight="false" outlineLevel="0" collapsed="false">
      <c r="A1356" s="2" t="s">
        <v>1379</v>
      </c>
      <c r="B1356" s="13" t="n">
        <v>46283</v>
      </c>
      <c r="C1356" s="2" t="s">
        <v>101</v>
      </c>
      <c r="D1356" s="2" t="n">
        <v>2</v>
      </c>
      <c r="E1356" s="14" t="s">
        <v>468</v>
      </c>
      <c r="F1356" s="7" t="n">
        <v>18000</v>
      </c>
    </row>
    <row r="1357" customFormat="false" ht="15" hidden="false" customHeight="false" outlineLevel="0" collapsed="false">
      <c r="A1357" s="2" t="s">
        <v>1380</v>
      </c>
      <c r="B1357" s="13" t="n">
        <v>46283</v>
      </c>
      <c r="C1357" s="2" t="s">
        <v>81</v>
      </c>
      <c r="D1357" s="2" t="n">
        <v>1</v>
      </c>
      <c r="E1357" s="14" t="s">
        <v>786</v>
      </c>
      <c r="F1357" s="7" t="n">
        <v>15000</v>
      </c>
    </row>
    <row r="1358" customFormat="false" ht="15" hidden="false" customHeight="false" outlineLevel="0" collapsed="false">
      <c r="A1358" s="2" t="s">
        <v>1380</v>
      </c>
      <c r="B1358" s="13" t="n">
        <v>46283</v>
      </c>
      <c r="C1358" s="2" t="s">
        <v>108</v>
      </c>
      <c r="D1358" s="2" t="n">
        <v>1</v>
      </c>
      <c r="E1358" s="14" t="s">
        <v>786</v>
      </c>
      <c r="F1358" s="7" t="n">
        <v>20000</v>
      </c>
    </row>
    <row r="1359" customFormat="false" ht="15" hidden="false" customHeight="false" outlineLevel="0" collapsed="false">
      <c r="A1359" s="2" t="s">
        <v>1380</v>
      </c>
      <c r="B1359" s="13" t="n">
        <v>46283</v>
      </c>
      <c r="C1359" s="2" t="s">
        <v>126</v>
      </c>
      <c r="D1359" s="2" t="n">
        <v>1</v>
      </c>
      <c r="E1359" s="14" t="s">
        <v>786</v>
      </c>
      <c r="F1359" s="7" t="n">
        <v>3000</v>
      </c>
    </row>
    <row r="1360" customFormat="false" ht="15" hidden="false" customHeight="false" outlineLevel="0" collapsed="false">
      <c r="A1360" s="2" t="s">
        <v>1381</v>
      </c>
      <c r="B1360" s="13" t="n">
        <v>46283</v>
      </c>
      <c r="C1360" s="2" t="s">
        <v>108</v>
      </c>
      <c r="D1360" s="2" t="n">
        <v>1</v>
      </c>
      <c r="E1360" s="14" t="s">
        <v>197</v>
      </c>
      <c r="F1360" s="7" t="n">
        <v>20000</v>
      </c>
    </row>
    <row r="1361" customFormat="false" ht="15" hidden="false" customHeight="false" outlineLevel="0" collapsed="false">
      <c r="A1361" s="2" t="s">
        <v>1381</v>
      </c>
      <c r="B1361" s="13" t="n">
        <v>46283</v>
      </c>
      <c r="C1361" s="2" t="s">
        <v>186</v>
      </c>
      <c r="D1361" s="2" t="n">
        <v>1</v>
      </c>
      <c r="E1361" s="14" t="s">
        <v>197</v>
      </c>
      <c r="F1361" s="7" t="n">
        <v>7000</v>
      </c>
    </row>
    <row r="1362" customFormat="false" ht="15" hidden="false" customHeight="false" outlineLevel="0" collapsed="false">
      <c r="A1362" s="2" t="s">
        <v>1381</v>
      </c>
      <c r="B1362" s="13" t="n">
        <v>46283</v>
      </c>
      <c r="C1362" s="2" t="s">
        <v>112</v>
      </c>
      <c r="D1362" s="2" t="n">
        <v>1</v>
      </c>
      <c r="E1362" s="14" t="s">
        <v>197</v>
      </c>
      <c r="F1362" s="7" t="n">
        <v>10000</v>
      </c>
    </row>
    <row r="1363" customFormat="false" ht="15" hidden="false" customHeight="false" outlineLevel="0" collapsed="false">
      <c r="A1363" s="2" t="s">
        <v>1382</v>
      </c>
      <c r="B1363" s="13" t="n">
        <v>46283</v>
      </c>
      <c r="C1363" s="2" t="s">
        <v>82</v>
      </c>
      <c r="D1363" s="2" t="n">
        <v>1</v>
      </c>
      <c r="E1363" s="14" t="s">
        <v>1383</v>
      </c>
      <c r="F1363" s="7" t="n">
        <v>13000</v>
      </c>
    </row>
    <row r="1364" customFormat="false" ht="15" hidden="false" customHeight="false" outlineLevel="0" collapsed="false">
      <c r="A1364" s="2" t="s">
        <v>1382</v>
      </c>
      <c r="B1364" s="13" t="n">
        <v>46283</v>
      </c>
      <c r="C1364" s="2" t="s">
        <v>186</v>
      </c>
      <c r="D1364" s="2" t="n">
        <v>2</v>
      </c>
      <c r="E1364" s="14" t="s">
        <v>1383</v>
      </c>
      <c r="F1364" s="7" t="n">
        <v>7000</v>
      </c>
    </row>
    <row r="1365" customFormat="false" ht="15" hidden="false" customHeight="false" outlineLevel="0" collapsed="false">
      <c r="A1365" s="2" t="s">
        <v>1384</v>
      </c>
      <c r="B1365" s="13" t="n">
        <v>46283</v>
      </c>
      <c r="C1365" s="2" t="s">
        <v>81</v>
      </c>
      <c r="D1365" s="2" t="n">
        <v>1</v>
      </c>
      <c r="E1365" s="14" t="s">
        <v>102</v>
      </c>
      <c r="F1365" s="7" t="n">
        <v>15000</v>
      </c>
    </row>
    <row r="1366" customFormat="false" ht="15" hidden="false" customHeight="false" outlineLevel="0" collapsed="false">
      <c r="A1366" s="2" t="s">
        <v>1384</v>
      </c>
      <c r="B1366" s="13" t="n">
        <v>46283</v>
      </c>
      <c r="C1366" s="2" t="s">
        <v>92</v>
      </c>
      <c r="D1366" s="2" t="n">
        <v>1</v>
      </c>
      <c r="E1366" s="14" t="s">
        <v>102</v>
      </c>
      <c r="F1366" s="7" t="n">
        <v>4000</v>
      </c>
    </row>
    <row r="1367" customFormat="false" ht="15" hidden="false" customHeight="false" outlineLevel="0" collapsed="false">
      <c r="A1367" s="2" t="s">
        <v>1384</v>
      </c>
      <c r="B1367" s="13" t="n">
        <v>46283</v>
      </c>
      <c r="C1367" s="2" t="s">
        <v>84</v>
      </c>
      <c r="D1367" s="2" t="n">
        <v>1</v>
      </c>
      <c r="E1367" s="14" t="s">
        <v>102</v>
      </c>
      <c r="F1367" s="7" t="n">
        <v>5000</v>
      </c>
    </row>
    <row r="1368" customFormat="false" ht="15" hidden="false" customHeight="false" outlineLevel="0" collapsed="false">
      <c r="A1368" s="2" t="s">
        <v>1385</v>
      </c>
      <c r="B1368" s="13" t="n">
        <v>46283</v>
      </c>
      <c r="C1368" s="2" t="s">
        <v>108</v>
      </c>
      <c r="D1368" s="2" t="n">
        <v>1</v>
      </c>
      <c r="E1368" s="14" t="s">
        <v>794</v>
      </c>
      <c r="F1368" s="7" t="n">
        <v>20000</v>
      </c>
    </row>
    <row r="1369" customFormat="false" ht="15" hidden="false" customHeight="false" outlineLevel="0" collapsed="false">
      <c r="A1369" s="2" t="s">
        <v>1386</v>
      </c>
      <c r="B1369" s="13" t="n">
        <v>46283</v>
      </c>
      <c r="C1369" s="2" t="s">
        <v>112</v>
      </c>
      <c r="D1369" s="2" t="n">
        <v>1</v>
      </c>
      <c r="E1369" s="14" t="s">
        <v>288</v>
      </c>
      <c r="F1369" s="7" t="n">
        <v>10000</v>
      </c>
    </row>
    <row r="1370" customFormat="false" ht="15" hidden="false" customHeight="false" outlineLevel="0" collapsed="false">
      <c r="A1370" s="2" t="s">
        <v>1387</v>
      </c>
      <c r="B1370" s="13" t="n">
        <v>46283</v>
      </c>
      <c r="C1370" s="2" t="s">
        <v>186</v>
      </c>
      <c r="D1370" s="2" t="n">
        <v>1</v>
      </c>
      <c r="E1370" s="14" t="s">
        <v>109</v>
      </c>
      <c r="F1370" s="7" t="n">
        <v>7000</v>
      </c>
    </row>
    <row r="1371" customFormat="false" ht="15" hidden="false" customHeight="false" outlineLevel="0" collapsed="false">
      <c r="A1371" s="2" t="s">
        <v>1387</v>
      </c>
      <c r="B1371" s="13" t="n">
        <v>46283</v>
      </c>
      <c r="C1371" s="2" t="s">
        <v>79</v>
      </c>
      <c r="D1371" s="2" t="n">
        <v>1</v>
      </c>
      <c r="E1371" s="14" t="s">
        <v>109</v>
      </c>
      <c r="F1371" s="7" t="n">
        <v>16000</v>
      </c>
    </row>
    <row r="1372" customFormat="false" ht="15" hidden="false" customHeight="false" outlineLevel="0" collapsed="false">
      <c r="A1372" s="2" t="s">
        <v>1388</v>
      </c>
      <c r="B1372" s="13" t="n">
        <v>46283</v>
      </c>
      <c r="C1372" s="2" t="s">
        <v>81</v>
      </c>
      <c r="D1372" s="2" t="n">
        <v>1</v>
      </c>
      <c r="E1372" s="14" t="s">
        <v>1389</v>
      </c>
      <c r="F1372" s="7" t="n">
        <v>15000</v>
      </c>
    </row>
    <row r="1373" customFormat="false" ht="15" hidden="false" customHeight="false" outlineLevel="0" collapsed="false">
      <c r="A1373" s="2" t="s">
        <v>1388</v>
      </c>
      <c r="B1373" s="13" t="n">
        <v>46283</v>
      </c>
      <c r="C1373" s="2" t="s">
        <v>101</v>
      </c>
      <c r="D1373" s="2" t="n">
        <v>1</v>
      </c>
      <c r="E1373" s="14" t="s">
        <v>1389</v>
      </c>
      <c r="F1373" s="7" t="n">
        <v>18000</v>
      </c>
    </row>
    <row r="1374" customFormat="false" ht="15" hidden="false" customHeight="false" outlineLevel="0" collapsed="false">
      <c r="A1374" s="2" t="s">
        <v>1388</v>
      </c>
      <c r="B1374" s="13" t="n">
        <v>46283</v>
      </c>
      <c r="C1374" s="2" t="s">
        <v>108</v>
      </c>
      <c r="D1374" s="2" t="n">
        <v>1</v>
      </c>
      <c r="E1374" s="14" t="s">
        <v>1389</v>
      </c>
      <c r="F1374" s="7" t="n">
        <v>20000</v>
      </c>
    </row>
    <row r="1375" customFormat="false" ht="15" hidden="false" customHeight="false" outlineLevel="0" collapsed="false">
      <c r="A1375" s="2" t="s">
        <v>1390</v>
      </c>
      <c r="B1375" s="13" t="n">
        <v>46283</v>
      </c>
      <c r="C1375" s="2" t="s">
        <v>79</v>
      </c>
      <c r="D1375" s="2" t="n">
        <v>1</v>
      </c>
      <c r="E1375" s="14" t="s">
        <v>1391</v>
      </c>
      <c r="F1375" s="7"/>
    </row>
    <row r="1376" customFormat="false" ht="15" hidden="false" customHeight="false" outlineLevel="0" collapsed="false">
      <c r="A1376" s="2" t="s">
        <v>1390</v>
      </c>
      <c r="B1376" s="13" t="n">
        <v>46283</v>
      </c>
      <c r="C1376" s="2" t="s">
        <v>101</v>
      </c>
      <c r="D1376" s="2" t="n">
        <v>2</v>
      </c>
      <c r="E1376" s="14" t="s">
        <v>1391</v>
      </c>
      <c r="F1376" s="7" t="n">
        <v>18000</v>
      </c>
    </row>
    <row r="1377" customFormat="false" ht="15" hidden="false" customHeight="false" outlineLevel="0" collapsed="false">
      <c r="A1377" s="2" t="s">
        <v>1390</v>
      </c>
      <c r="B1377" s="13" t="n">
        <v>46283</v>
      </c>
      <c r="C1377" s="2" t="s">
        <v>101</v>
      </c>
      <c r="D1377" s="2" t="n">
        <v>2</v>
      </c>
      <c r="E1377" s="14" t="s">
        <v>1391</v>
      </c>
      <c r="F1377" s="7" t="n">
        <v>18000</v>
      </c>
    </row>
    <row r="1378" customFormat="false" ht="15" hidden="false" customHeight="false" outlineLevel="0" collapsed="false">
      <c r="A1378" s="2" t="s">
        <v>1392</v>
      </c>
      <c r="B1378" s="13" t="n">
        <v>46283</v>
      </c>
      <c r="C1378" s="2" t="s">
        <v>81</v>
      </c>
      <c r="D1378" s="2" t="n">
        <v>3</v>
      </c>
      <c r="E1378" s="14" t="s">
        <v>653</v>
      </c>
      <c r="F1378" s="7" t="n">
        <v>15000</v>
      </c>
    </row>
    <row r="1379" customFormat="false" ht="15" hidden="false" customHeight="false" outlineLevel="0" collapsed="false">
      <c r="A1379" s="2" t="s">
        <v>1393</v>
      </c>
      <c r="B1379" s="13" t="n">
        <v>46283</v>
      </c>
      <c r="C1379" s="2" t="s">
        <v>84</v>
      </c>
      <c r="D1379" s="2" t="n">
        <v>1</v>
      </c>
      <c r="E1379" s="14" t="s">
        <v>485</v>
      </c>
      <c r="F1379" s="7" t="n">
        <v>5000</v>
      </c>
    </row>
    <row r="1380" customFormat="false" ht="15" hidden="false" customHeight="false" outlineLevel="0" collapsed="false">
      <c r="A1380" s="2" t="s">
        <v>1393</v>
      </c>
      <c r="B1380" s="13" t="n">
        <v>46283</v>
      </c>
      <c r="C1380" s="2" t="s">
        <v>101</v>
      </c>
      <c r="D1380" s="2" t="n">
        <v>2</v>
      </c>
      <c r="E1380" s="14" t="s">
        <v>485</v>
      </c>
      <c r="F1380" s="7" t="n">
        <v>18000</v>
      </c>
    </row>
    <row r="1381" customFormat="false" ht="15" hidden="false" customHeight="false" outlineLevel="0" collapsed="false">
      <c r="A1381" s="2" t="s">
        <v>1394</v>
      </c>
      <c r="B1381" s="13" t="n">
        <v>46283</v>
      </c>
      <c r="C1381" s="2" t="s">
        <v>84</v>
      </c>
      <c r="D1381" s="2" t="n">
        <v>2</v>
      </c>
      <c r="E1381" s="14" t="s">
        <v>966</v>
      </c>
      <c r="F1381" s="7" t="n">
        <v>5000</v>
      </c>
    </row>
    <row r="1382" customFormat="false" ht="15" hidden="false" customHeight="false" outlineLevel="0" collapsed="false">
      <c r="A1382" s="2" t="s">
        <v>1395</v>
      </c>
      <c r="B1382" s="13" t="n">
        <v>46283</v>
      </c>
      <c r="C1382" s="2" t="s">
        <v>84</v>
      </c>
      <c r="D1382" s="2" t="n">
        <v>1</v>
      </c>
      <c r="E1382" s="14" t="s">
        <v>734</v>
      </c>
      <c r="F1382" s="7" t="n">
        <v>5000</v>
      </c>
    </row>
    <row r="1383" customFormat="false" ht="15" hidden="false" customHeight="false" outlineLevel="0" collapsed="false">
      <c r="A1383" s="2" t="s">
        <v>1395</v>
      </c>
      <c r="B1383" s="13" t="n">
        <v>46283</v>
      </c>
      <c r="C1383" s="2" t="s">
        <v>126</v>
      </c>
      <c r="D1383" s="2" t="n">
        <v>1</v>
      </c>
      <c r="E1383" s="14" t="s">
        <v>734</v>
      </c>
      <c r="F1383" s="7" t="n">
        <v>3000</v>
      </c>
    </row>
    <row r="1384" customFormat="false" ht="15" hidden="false" customHeight="false" outlineLevel="0" collapsed="false">
      <c r="A1384" s="2" t="s">
        <v>1396</v>
      </c>
      <c r="B1384" s="13" t="n">
        <v>46283</v>
      </c>
      <c r="C1384" s="2" t="s">
        <v>101</v>
      </c>
      <c r="D1384" s="2" t="n">
        <v>1</v>
      </c>
      <c r="E1384" s="14" t="s">
        <v>308</v>
      </c>
      <c r="F1384" s="7" t="n">
        <v>18000</v>
      </c>
    </row>
    <row r="1385" customFormat="false" ht="15" hidden="false" customHeight="false" outlineLevel="0" collapsed="false">
      <c r="A1385" s="2" t="s">
        <v>1397</v>
      </c>
      <c r="B1385" s="13" t="n">
        <v>46283</v>
      </c>
      <c r="C1385" s="2" t="s">
        <v>89</v>
      </c>
      <c r="D1385" s="2" t="n">
        <v>1</v>
      </c>
      <c r="E1385" s="14" t="s">
        <v>311</v>
      </c>
      <c r="F1385" s="7" t="n">
        <v>14000</v>
      </c>
    </row>
    <row r="1386" customFormat="false" ht="15" hidden="false" customHeight="false" outlineLevel="0" collapsed="false">
      <c r="A1386" s="2" t="s">
        <v>1397</v>
      </c>
      <c r="B1386" s="13" t="n">
        <v>46283</v>
      </c>
      <c r="C1386" s="2" t="s">
        <v>132</v>
      </c>
      <c r="D1386" s="2" t="n">
        <v>1</v>
      </c>
      <c r="E1386" s="14" t="s">
        <v>311</v>
      </c>
      <c r="F1386" s="7" t="n">
        <v>15000</v>
      </c>
    </row>
    <row r="1387" customFormat="false" ht="15" hidden="false" customHeight="false" outlineLevel="0" collapsed="false">
      <c r="A1387" s="2" t="s">
        <v>1398</v>
      </c>
      <c r="B1387" s="13" t="n">
        <v>46283</v>
      </c>
      <c r="C1387" s="2" t="s">
        <v>82</v>
      </c>
      <c r="D1387" s="2" t="n">
        <v>2</v>
      </c>
      <c r="E1387" s="14" t="s">
        <v>1399</v>
      </c>
      <c r="F1387" s="7" t="n">
        <v>13000</v>
      </c>
    </row>
    <row r="1388" customFormat="false" ht="15" hidden="false" customHeight="false" outlineLevel="0" collapsed="false">
      <c r="A1388" s="2" t="s">
        <v>1400</v>
      </c>
      <c r="B1388" s="13" t="n">
        <v>46283</v>
      </c>
      <c r="C1388" s="2" t="s">
        <v>186</v>
      </c>
      <c r="D1388" s="2" t="n">
        <v>1</v>
      </c>
      <c r="E1388" s="14" t="s">
        <v>586</v>
      </c>
      <c r="F1388" s="7" t="n">
        <v>7000</v>
      </c>
    </row>
    <row r="1389" customFormat="false" ht="15" hidden="false" customHeight="false" outlineLevel="0" collapsed="false">
      <c r="A1389" s="2" t="s">
        <v>1401</v>
      </c>
      <c r="B1389" s="13" t="n">
        <v>46283</v>
      </c>
      <c r="C1389" s="2" t="s">
        <v>112</v>
      </c>
      <c r="D1389" s="2" t="n">
        <v>1</v>
      </c>
      <c r="E1389" s="14" t="s">
        <v>398</v>
      </c>
      <c r="F1389" s="7" t="n">
        <v>10000</v>
      </c>
    </row>
    <row r="1390" customFormat="false" ht="15" hidden="false" customHeight="false" outlineLevel="0" collapsed="false">
      <c r="A1390" s="2" t="s">
        <v>1402</v>
      </c>
      <c r="B1390" s="13" t="n">
        <v>46283</v>
      </c>
      <c r="C1390" s="2" t="s">
        <v>186</v>
      </c>
      <c r="D1390" s="2" t="n">
        <v>1</v>
      </c>
      <c r="E1390" s="14" t="s">
        <v>1403</v>
      </c>
      <c r="F1390" s="7" t="n">
        <v>7000</v>
      </c>
    </row>
    <row r="1391" customFormat="false" ht="15" hidden="false" customHeight="false" outlineLevel="0" collapsed="false">
      <c r="A1391" s="2" t="s">
        <v>1402</v>
      </c>
      <c r="B1391" s="13" t="n">
        <v>46283</v>
      </c>
      <c r="C1391" s="2" t="s">
        <v>101</v>
      </c>
      <c r="D1391" s="2" t="n">
        <v>1</v>
      </c>
      <c r="E1391" s="14" t="s">
        <v>908</v>
      </c>
      <c r="F1391" s="7" t="n">
        <v>18000</v>
      </c>
    </row>
    <row r="1392" customFormat="false" ht="15" hidden="false" customHeight="false" outlineLevel="0" collapsed="false">
      <c r="A1392" s="2" t="s">
        <v>1404</v>
      </c>
      <c r="B1392" s="13" t="n">
        <v>46283</v>
      </c>
      <c r="C1392" s="2" t="s">
        <v>132</v>
      </c>
      <c r="D1392" s="2" t="n">
        <v>1</v>
      </c>
      <c r="E1392" s="14" t="s">
        <v>237</v>
      </c>
      <c r="F1392" s="7" t="n">
        <v>15000</v>
      </c>
    </row>
    <row r="1393" customFormat="false" ht="15" hidden="false" customHeight="false" outlineLevel="0" collapsed="false">
      <c r="A1393" s="2" t="s">
        <v>1404</v>
      </c>
      <c r="B1393" s="13" t="n">
        <v>46283</v>
      </c>
      <c r="C1393" s="2" t="s">
        <v>89</v>
      </c>
      <c r="D1393" s="2" t="n">
        <v>1</v>
      </c>
      <c r="E1393" s="14" t="s">
        <v>237</v>
      </c>
      <c r="F1393" s="7" t="n">
        <v>14000</v>
      </c>
    </row>
    <row r="1394" customFormat="false" ht="15" hidden="false" customHeight="false" outlineLevel="0" collapsed="false">
      <c r="A1394" s="2" t="s">
        <v>1404</v>
      </c>
      <c r="B1394" s="13" t="n">
        <v>46283</v>
      </c>
      <c r="C1394" s="2" t="s">
        <v>108</v>
      </c>
      <c r="D1394" s="2" t="n">
        <v>1</v>
      </c>
      <c r="E1394" s="14" t="s">
        <v>237</v>
      </c>
      <c r="F1394" s="7" t="n">
        <v>20000</v>
      </c>
    </row>
    <row r="1395" customFormat="false" ht="15" hidden="false" customHeight="false" outlineLevel="0" collapsed="false">
      <c r="A1395" s="2" t="s">
        <v>1405</v>
      </c>
      <c r="B1395" s="13" t="n">
        <v>46283</v>
      </c>
      <c r="C1395" s="2" t="s">
        <v>1406</v>
      </c>
      <c r="D1395" s="2" t="n">
        <v>1</v>
      </c>
      <c r="E1395" s="14" t="s">
        <v>239</v>
      </c>
      <c r="F1395" s="7" t="n">
        <v>18000</v>
      </c>
    </row>
    <row r="1396" customFormat="false" ht="15" hidden="false" customHeight="false" outlineLevel="0" collapsed="false">
      <c r="A1396" s="2" t="s">
        <v>1407</v>
      </c>
      <c r="B1396" s="13" t="n">
        <v>46283</v>
      </c>
      <c r="C1396" s="2" t="s">
        <v>84</v>
      </c>
      <c r="D1396" s="2" t="n">
        <v>2</v>
      </c>
      <c r="E1396" s="14" t="s">
        <v>748</v>
      </c>
      <c r="F1396" s="7" t="n">
        <v>5000</v>
      </c>
    </row>
    <row r="1397" customFormat="false" ht="15" hidden="false" customHeight="false" outlineLevel="0" collapsed="false">
      <c r="A1397" s="2" t="s">
        <v>1407</v>
      </c>
      <c r="B1397" s="13" t="n">
        <v>46283</v>
      </c>
      <c r="C1397" s="2" t="s">
        <v>112</v>
      </c>
      <c r="D1397" s="2" t="n">
        <v>1</v>
      </c>
      <c r="E1397" s="14" t="s">
        <v>748</v>
      </c>
      <c r="F1397" s="7" t="n">
        <v>10000</v>
      </c>
    </row>
    <row r="1398" customFormat="false" ht="15" hidden="false" customHeight="false" outlineLevel="0" collapsed="false">
      <c r="A1398" s="2" t="s">
        <v>1408</v>
      </c>
      <c r="B1398" s="13" t="n">
        <v>46283</v>
      </c>
      <c r="C1398" s="2" t="s">
        <v>101</v>
      </c>
      <c r="D1398" s="2" t="n">
        <v>1</v>
      </c>
      <c r="E1398" s="14" t="s">
        <v>748</v>
      </c>
      <c r="F1398" s="7" t="n">
        <v>18000</v>
      </c>
    </row>
    <row r="1399" customFormat="false" ht="15" hidden="false" customHeight="false" outlineLevel="0" collapsed="false">
      <c r="A1399" s="2" t="s">
        <v>1408</v>
      </c>
      <c r="B1399" s="13" t="n">
        <v>46283</v>
      </c>
      <c r="C1399" s="2" t="s">
        <v>81</v>
      </c>
      <c r="D1399" s="2" t="n">
        <v>1</v>
      </c>
      <c r="E1399" s="14" t="s">
        <v>748</v>
      </c>
      <c r="F1399" s="7" t="n">
        <v>15000</v>
      </c>
    </row>
    <row r="1400" customFormat="false" ht="15" hidden="false" customHeight="false" outlineLevel="0" collapsed="false">
      <c r="A1400" s="2" t="s">
        <v>1409</v>
      </c>
      <c r="B1400" s="13" t="n">
        <v>46283</v>
      </c>
      <c r="C1400" s="2" t="s">
        <v>108</v>
      </c>
      <c r="D1400" s="2" t="n">
        <v>1</v>
      </c>
      <c r="E1400" s="14" t="s">
        <v>1410</v>
      </c>
      <c r="F1400" s="7" t="n">
        <v>20000</v>
      </c>
    </row>
    <row r="1401" customFormat="false" ht="15" hidden="false" customHeight="false" outlineLevel="0" collapsed="false">
      <c r="A1401" s="2" t="s">
        <v>1411</v>
      </c>
      <c r="B1401" s="13" t="n">
        <v>46283</v>
      </c>
      <c r="C1401" s="2" t="s">
        <v>186</v>
      </c>
      <c r="D1401" s="2" t="n">
        <v>3</v>
      </c>
      <c r="E1401" s="14" t="s">
        <v>407</v>
      </c>
      <c r="F1401" s="7" t="n">
        <v>7000</v>
      </c>
    </row>
    <row r="1402" customFormat="false" ht="15" hidden="false" customHeight="false" outlineLevel="0" collapsed="false">
      <c r="A1402" s="2" t="s">
        <v>1412</v>
      </c>
      <c r="B1402" s="13" t="n">
        <v>46283</v>
      </c>
      <c r="C1402" s="2" t="s">
        <v>101</v>
      </c>
      <c r="D1402" s="2" t="n">
        <v>1</v>
      </c>
      <c r="E1402" s="14" t="s">
        <v>1413</v>
      </c>
      <c r="F1402" s="7" t="n">
        <v>18000</v>
      </c>
    </row>
    <row r="1403" customFormat="false" ht="15" hidden="false" customHeight="false" outlineLevel="0" collapsed="false">
      <c r="A1403" s="2" t="s">
        <v>1412</v>
      </c>
      <c r="B1403" s="13" t="n">
        <v>46283</v>
      </c>
      <c r="C1403" s="2" t="s">
        <v>132</v>
      </c>
      <c r="D1403" s="2" t="n">
        <v>2</v>
      </c>
      <c r="E1403" s="14" t="s">
        <v>1413</v>
      </c>
      <c r="F1403" s="7" t="n">
        <v>15000</v>
      </c>
    </row>
    <row r="1404" customFormat="false" ht="15" hidden="false" customHeight="false" outlineLevel="0" collapsed="false">
      <c r="A1404" s="2" t="s">
        <v>1414</v>
      </c>
      <c r="B1404" s="13" t="n">
        <v>46283</v>
      </c>
      <c r="C1404" s="2" t="s">
        <v>84</v>
      </c>
      <c r="D1404" s="2" t="n">
        <v>3</v>
      </c>
      <c r="E1404" s="14" t="s">
        <v>247</v>
      </c>
      <c r="F1404" s="7" t="n">
        <v>5000</v>
      </c>
    </row>
    <row r="1405" customFormat="false" ht="15" hidden="false" customHeight="false" outlineLevel="0" collapsed="false">
      <c r="A1405" s="2" t="s">
        <v>1415</v>
      </c>
      <c r="B1405" s="13" t="n">
        <v>46283</v>
      </c>
      <c r="C1405" s="2" t="s">
        <v>186</v>
      </c>
      <c r="D1405" s="2" t="n">
        <v>1</v>
      </c>
      <c r="E1405" s="14" t="s">
        <v>1416</v>
      </c>
      <c r="F1405" s="7" t="n">
        <v>7000</v>
      </c>
    </row>
    <row r="1406" customFormat="false" ht="15" hidden="false" customHeight="false" outlineLevel="0" collapsed="false">
      <c r="A1406" s="2" t="s">
        <v>1415</v>
      </c>
      <c r="B1406" s="13" t="n">
        <v>46283</v>
      </c>
      <c r="C1406" s="2" t="s">
        <v>132</v>
      </c>
      <c r="D1406" s="2" t="n">
        <v>1</v>
      </c>
      <c r="E1406" s="14" t="s">
        <v>1416</v>
      </c>
      <c r="F1406" s="7" t="n">
        <v>15000</v>
      </c>
    </row>
    <row r="1407" customFormat="false" ht="15" hidden="false" customHeight="false" outlineLevel="0" collapsed="false">
      <c r="A1407" s="2" t="s">
        <v>1417</v>
      </c>
      <c r="B1407" s="13" t="n">
        <v>46283</v>
      </c>
      <c r="C1407" s="2" t="s">
        <v>84</v>
      </c>
      <c r="D1407" s="2" t="n">
        <v>3</v>
      </c>
      <c r="E1407" s="14" t="s">
        <v>1418</v>
      </c>
      <c r="F1407" s="7" t="n">
        <v>5000</v>
      </c>
    </row>
    <row r="1408" customFormat="false" ht="15" hidden="false" customHeight="false" outlineLevel="0" collapsed="false">
      <c r="A1408" s="2" t="s">
        <v>1417</v>
      </c>
      <c r="B1408" s="13" t="n">
        <v>46283</v>
      </c>
      <c r="C1408" s="2" t="s">
        <v>84</v>
      </c>
      <c r="D1408" s="2" t="n">
        <v>3</v>
      </c>
      <c r="E1408" s="14" t="s">
        <v>1418</v>
      </c>
      <c r="F1408" s="7" t="n">
        <v>5000</v>
      </c>
    </row>
    <row r="1409" customFormat="false" ht="15" hidden="false" customHeight="false" outlineLevel="0" collapsed="false">
      <c r="A1409" s="2" t="s">
        <v>1419</v>
      </c>
      <c r="B1409" s="13" t="n">
        <v>46283</v>
      </c>
      <c r="C1409" s="2" t="s">
        <v>101</v>
      </c>
      <c r="D1409" s="2" t="n">
        <v>1</v>
      </c>
      <c r="E1409" s="14" t="s">
        <v>834</v>
      </c>
      <c r="F1409" s="7" t="n">
        <v>18000</v>
      </c>
    </row>
    <row r="1410" customFormat="false" ht="15" hidden="false" customHeight="false" outlineLevel="0" collapsed="false">
      <c r="A1410" s="2" t="s">
        <v>1420</v>
      </c>
      <c r="B1410" s="13" t="n">
        <v>46283</v>
      </c>
      <c r="C1410" s="2" t="s">
        <v>186</v>
      </c>
      <c r="D1410" s="2" t="n">
        <v>3</v>
      </c>
      <c r="E1410" s="14" t="s">
        <v>834</v>
      </c>
      <c r="F1410" s="7" t="n">
        <v>7000</v>
      </c>
    </row>
    <row r="1411" customFormat="false" ht="15" hidden="false" customHeight="false" outlineLevel="0" collapsed="false">
      <c r="A1411" s="2" t="s">
        <v>1421</v>
      </c>
      <c r="B1411" s="13" t="n">
        <v>46283</v>
      </c>
      <c r="C1411" s="2" t="s">
        <v>108</v>
      </c>
      <c r="D1411" s="2" t="n">
        <v>1</v>
      </c>
      <c r="E1411" s="14" t="s">
        <v>1422</v>
      </c>
      <c r="F1411" s="7" t="n">
        <v>20000</v>
      </c>
    </row>
    <row r="1412" customFormat="false" ht="15" hidden="false" customHeight="false" outlineLevel="0" collapsed="false">
      <c r="A1412" s="2" t="s">
        <v>1421</v>
      </c>
      <c r="B1412" s="13" t="n">
        <v>46283</v>
      </c>
      <c r="C1412" s="2" t="s">
        <v>89</v>
      </c>
      <c r="D1412" s="2" t="n">
        <v>1</v>
      </c>
      <c r="E1412" s="14" t="s">
        <v>1422</v>
      </c>
      <c r="F1412" s="7" t="n">
        <v>14000</v>
      </c>
    </row>
    <row r="1413" customFormat="false" ht="15" hidden="false" customHeight="false" outlineLevel="0" collapsed="false">
      <c r="A1413" s="2" t="s">
        <v>1423</v>
      </c>
      <c r="B1413" s="13" t="n">
        <v>46283</v>
      </c>
      <c r="C1413" s="2" t="s">
        <v>92</v>
      </c>
      <c r="D1413" s="2" t="n">
        <v>1</v>
      </c>
      <c r="E1413" s="14" t="s">
        <v>1424</v>
      </c>
      <c r="F1413" s="7" t="n">
        <v>4000</v>
      </c>
    </row>
    <row r="1414" customFormat="false" ht="15" hidden="false" customHeight="false" outlineLevel="0" collapsed="false">
      <c r="A1414" s="2" t="s">
        <v>1423</v>
      </c>
      <c r="B1414" s="13" t="n">
        <v>46283</v>
      </c>
      <c r="C1414" s="2" t="s">
        <v>84</v>
      </c>
      <c r="D1414" s="2" t="n">
        <v>1</v>
      </c>
      <c r="E1414" s="14" t="s">
        <v>1424</v>
      </c>
      <c r="F1414" s="7" t="n">
        <v>5000</v>
      </c>
    </row>
    <row r="1415" customFormat="false" ht="15" hidden="false" customHeight="false" outlineLevel="0" collapsed="false">
      <c r="A1415" s="2" t="s">
        <v>1425</v>
      </c>
      <c r="B1415" s="13" t="n">
        <v>46283</v>
      </c>
      <c r="C1415" s="2" t="s">
        <v>84</v>
      </c>
      <c r="D1415" s="2" t="n">
        <v>1</v>
      </c>
      <c r="E1415" s="14" t="s">
        <v>1426</v>
      </c>
      <c r="F1415" s="7" t="n">
        <v>5000</v>
      </c>
    </row>
    <row r="1416" customFormat="false" ht="15" hidden="false" customHeight="false" outlineLevel="0" collapsed="false">
      <c r="A1416" s="2" t="s">
        <v>1427</v>
      </c>
      <c r="B1416" s="13" t="n">
        <v>46283</v>
      </c>
      <c r="C1416" s="2" t="s">
        <v>132</v>
      </c>
      <c r="D1416" s="2" t="n">
        <v>1</v>
      </c>
      <c r="E1416" s="14" t="s">
        <v>339</v>
      </c>
      <c r="F1416" s="7" t="n">
        <v>15000</v>
      </c>
    </row>
    <row r="1417" customFormat="false" ht="15" hidden="false" customHeight="false" outlineLevel="0" collapsed="false">
      <c r="A1417" s="2" t="s">
        <v>1427</v>
      </c>
      <c r="B1417" s="13" t="n">
        <v>46283</v>
      </c>
      <c r="C1417" s="2" t="s">
        <v>108</v>
      </c>
      <c r="D1417" s="2" t="n">
        <v>1</v>
      </c>
      <c r="E1417" s="14" t="s">
        <v>339</v>
      </c>
      <c r="F1417" s="7" t="n">
        <v>20000</v>
      </c>
    </row>
    <row r="1418" customFormat="false" ht="15" hidden="false" customHeight="false" outlineLevel="0" collapsed="false">
      <c r="A1418" s="2" t="s">
        <v>1427</v>
      </c>
      <c r="B1418" s="13" t="n">
        <v>46283</v>
      </c>
      <c r="C1418" s="2" t="s">
        <v>92</v>
      </c>
      <c r="D1418" s="2" t="n">
        <v>1</v>
      </c>
      <c r="E1418" s="14" t="s">
        <v>339</v>
      </c>
      <c r="F1418" s="7" t="n">
        <v>4000</v>
      </c>
    </row>
    <row r="1419" customFormat="false" ht="15" hidden="false" customHeight="false" outlineLevel="0" collapsed="false">
      <c r="A1419" s="2" t="s">
        <v>1428</v>
      </c>
      <c r="B1419" s="13" t="n">
        <v>46284</v>
      </c>
      <c r="C1419" s="2" t="s">
        <v>186</v>
      </c>
      <c r="D1419" s="2" t="n">
        <v>3</v>
      </c>
      <c r="E1419" s="14" t="s">
        <v>1429</v>
      </c>
      <c r="F1419" s="7" t="n">
        <v>7000</v>
      </c>
    </row>
    <row r="1420" customFormat="false" ht="15" hidden="false" customHeight="false" outlineLevel="0" collapsed="false">
      <c r="A1420" s="2" t="s">
        <v>1428</v>
      </c>
      <c r="B1420" s="13" t="n">
        <v>46284</v>
      </c>
      <c r="C1420" s="2" t="s">
        <v>101</v>
      </c>
      <c r="D1420" s="2" t="n">
        <v>2</v>
      </c>
      <c r="E1420" s="14" t="s">
        <v>1429</v>
      </c>
      <c r="F1420" s="7" t="n">
        <v>18000</v>
      </c>
    </row>
    <row r="1421" customFormat="false" ht="15" hidden="false" customHeight="false" outlineLevel="0" collapsed="false">
      <c r="A1421" s="2" t="s">
        <v>1430</v>
      </c>
      <c r="B1421" s="13" t="n">
        <v>46284</v>
      </c>
      <c r="C1421" s="2" t="s">
        <v>112</v>
      </c>
      <c r="D1421" s="2"/>
      <c r="E1421" s="14" t="s">
        <v>1429</v>
      </c>
      <c r="F1421" s="7" t="n">
        <v>10000</v>
      </c>
    </row>
    <row r="1422" customFormat="false" ht="15" hidden="false" customHeight="false" outlineLevel="0" collapsed="false">
      <c r="A1422" s="2" t="s">
        <v>1431</v>
      </c>
      <c r="B1422" s="13" t="n">
        <v>46284</v>
      </c>
      <c r="C1422" s="2" t="s">
        <v>84</v>
      </c>
      <c r="D1422" s="2" t="n">
        <v>2</v>
      </c>
      <c r="E1422" s="14" t="s">
        <v>1432</v>
      </c>
      <c r="F1422" s="7" t="n">
        <v>5000</v>
      </c>
    </row>
    <row r="1423" customFormat="false" ht="15" hidden="false" customHeight="false" outlineLevel="0" collapsed="false">
      <c r="A1423" s="2" t="s">
        <v>1433</v>
      </c>
      <c r="B1423" s="13" t="n">
        <v>46284</v>
      </c>
      <c r="C1423" s="2" t="s">
        <v>84</v>
      </c>
      <c r="D1423" s="2" t="n">
        <v>1</v>
      </c>
      <c r="E1423" s="14" t="s">
        <v>1434</v>
      </c>
      <c r="F1423" s="7" t="n">
        <v>5000</v>
      </c>
    </row>
    <row r="1424" customFormat="false" ht="15" hidden="false" customHeight="false" outlineLevel="0" collapsed="false">
      <c r="A1424" s="2" t="s">
        <v>1433</v>
      </c>
      <c r="B1424" s="13" t="n">
        <v>46284</v>
      </c>
      <c r="C1424" s="2" t="s">
        <v>112</v>
      </c>
      <c r="D1424" s="2" t="n">
        <v>2</v>
      </c>
      <c r="E1424" s="14" t="s">
        <v>1434</v>
      </c>
      <c r="F1424" s="7" t="n">
        <v>10000</v>
      </c>
    </row>
    <row r="1425" customFormat="false" ht="15" hidden="false" customHeight="false" outlineLevel="0" collapsed="false">
      <c r="A1425" s="2" t="s">
        <v>1435</v>
      </c>
      <c r="B1425" s="13" t="n">
        <v>46284</v>
      </c>
      <c r="C1425" s="2" t="s">
        <v>186</v>
      </c>
      <c r="D1425" s="2" t="n">
        <v>2</v>
      </c>
      <c r="E1425" s="14" t="s">
        <v>1436</v>
      </c>
      <c r="F1425" s="7" t="n">
        <v>7000</v>
      </c>
    </row>
    <row r="1426" customFormat="false" ht="15" hidden="false" customHeight="false" outlineLevel="0" collapsed="false">
      <c r="A1426" s="2" t="s">
        <v>1437</v>
      </c>
      <c r="B1426" s="13" t="n">
        <v>46284</v>
      </c>
      <c r="C1426" s="2" t="s">
        <v>84</v>
      </c>
      <c r="D1426" s="2" t="n">
        <v>1</v>
      </c>
      <c r="E1426" s="14" t="s">
        <v>1438</v>
      </c>
      <c r="F1426" s="7" t="n">
        <v>5000</v>
      </c>
    </row>
    <row r="1427" customFormat="false" ht="15" hidden="false" customHeight="false" outlineLevel="0" collapsed="false">
      <c r="A1427" s="2" t="s">
        <v>1437</v>
      </c>
      <c r="B1427" s="13" t="n">
        <v>46284</v>
      </c>
      <c r="C1427" s="2" t="s">
        <v>132</v>
      </c>
      <c r="D1427" s="2" t="n">
        <v>1</v>
      </c>
      <c r="E1427" s="14" t="s">
        <v>1438</v>
      </c>
      <c r="F1427" s="7" t="n">
        <v>15000</v>
      </c>
    </row>
    <row r="1428" customFormat="false" ht="15" hidden="false" customHeight="false" outlineLevel="0" collapsed="false">
      <c r="A1428" s="2" t="s">
        <v>1439</v>
      </c>
      <c r="B1428" s="13" t="n">
        <v>46284</v>
      </c>
      <c r="C1428" s="2" t="s">
        <v>108</v>
      </c>
      <c r="D1428" s="2" t="n">
        <v>1</v>
      </c>
      <c r="E1428" s="14" t="s">
        <v>1369</v>
      </c>
      <c r="F1428" s="7" t="n">
        <v>20000</v>
      </c>
    </row>
    <row r="1429" customFormat="false" ht="15" hidden="false" customHeight="false" outlineLevel="0" collapsed="false">
      <c r="A1429" s="2" t="s">
        <v>1440</v>
      </c>
      <c r="B1429" s="13" t="n">
        <v>46284</v>
      </c>
      <c r="C1429" s="2" t="s">
        <v>132</v>
      </c>
      <c r="D1429" s="2" t="n">
        <v>1</v>
      </c>
      <c r="E1429" s="14" t="s">
        <v>1441</v>
      </c>
      <c r="F1429" s="7" t="n">
        <v>15000</v>
      </c>
    </row>
    <row r="1430" customFormat="false" ht="15" hidden="false" customHeight="false" outlineLevel="0" collapsed="false">
      <c r="A1430" s="2" t="s">
        <v>1442</v>
      </c>
      <c r="B1430" s="13" t="n">
        <v>46284</v>
      </c>
      <c r="C1430" s="2" t="s">
        <v>84</v>
      </c>
      <c r="D1430" s="2" t="n">
        <v>1</v>
      </c>
      <c r="E1430" s="14" t="s">
        <v>350</v>
      </c>
      <c r="F1430" s="7" t="n">
        <v>5000</v>
      </c>
    </row>
    <row r="1431" customFormat="false" ht="15" hidden="false" customHeight="false" outlineLevel="0" collapsed="false">
      <c r="A1431" s="2" t="s">
        <v>1442</v>
      </c>
      <c r="B1431" s="13" t="n">
        <v>46284</v>
      </c>
      <c r="C1431" s="2" t="s">
        <v>89</v>
      </c>
      <c r="D1431" s="2" t="n">
        <v>1</v>
      </c>
      <c r="E1431" s="14" t="s">
        <v>350</v>
      </c>
      <c r="F1431" s="7" t="n">
        <v>14000</v>
      </c>
    </row>
    <row r="1432" customFormat="false" ht="15" hidden="false" customHeight="false" outlineLevel="0" collapsed="false">
      <c r="A1432" s="2" t="s">
        <v>1443</v>
      </c>
      <c r="B1432" s="13" t="n">
        <v>46284</v>
      </c>
      <c r="C1432" s="2" t="s">
        <v>84</v>
      </c>
      <c r="D1432" s="2" t="n">
        <v>1</v>
      </c>
      <c r="E1432" s="14" t="s">
        <v>1002</v>
      </c>
      <c r="F1432" s="7" t="n">
        <v>5000</v>
      </c>
    </row>
    <row r="1433" customFormat="false" ht="15" hidden="false" customHeight="false" outlineLevel="0" collapsed="false">
      <c r="A1433" s="2" t="s">
        <v>1444</v>
      </c>
      <c r="B1433" s="13" t="n">
        <v>46284</v>
      </c>
      <c r="C1433" s="2" t="s">
        <v>186</v>
      </c>
      <c r="D1433" s="2" t="n">
        <v>2</v>
      </c>
      <c r="E1433" s="14" t="s">
        <v>1445</v>
      </c>
      <c r="F1433" s="7" t="n">
        <v>70000</v>
      </c>
    </row>
    <row r="1434" customFormat="false" ht="15" hidden="false" customHeight="false" outlineLevel="0" collapsed="false">
      <c r="A1434" s="2" t="s">
        <v>1446</v>
      </c>
      <c r="B1434" s="13" t="n">
        <v>46284</v>
      </c>
      <c r="C1434" s="2" t="s">
        <v>126</v>
      </c>
      <c r="D1434" s="2" t="n">
        <v>1</v>
      </c>
      <c r="E1434" s="14" t="s">
        <v>774</v>
      </c>
      <c r="F1434" s="7" t="n">
        <v>3000</v>
      </c>
    </row>
    <row r="1435" customFormat="false" ht="15" hidden="false" customHeight="false" outlineLevel="0" collapsed="false">
      <c r="A1435" s="2" t="s">
        <v>1446</v>
      </c>
      <c r="B1435" s="13" t="n">
        <v>46284</v>
      </c>
      <c r="C1435" s="2" t="s">
        <v>101</v>
      </c>
      <c r="D1435" s="2" t="n">
        <v>1</v>
      </c>
      <c r="E1435" s="14" t="s">
        <v>774</v>
      </c>
      <c r="F1435" s="7" t="n">
        <v>18000</v>
      </c>
    </row>
    <row r="1436" customFormat="false" ht="15" hidden="false" customHeight="false" outlineLevel="0" collapsed="false">
      <c r="A1436" s="2" t="s">
        <v>1447</v>
      </c>
      <c r="B1436" s="13" t="n">
        <v>46284</v>
      </c>
      <c r="C1436" s="2" t="s">
        <v>84</v>
      </c>
      <c r="D1436" s="2"/>
      <c r="E1436" s="14" t="s">
        <v>1448</v>
      </c>
      <c r="F1436" s="7" t="n">
        <v>5000</v>
      </c>
    </row>
    <row r="1437" customFormat="false" ht="15" hidden="false" customHeight="false" outlineLevel="0" collapsed="false">
      <c r="A1437" s="2" t="s">
        <v>1447</v>
      </c>
      <c r="B1437" s="13" t="n">
        <v>46284</v>
      </c>
      <c r="C1437" s="2" t="s">
        <v>186</v>
      </c>
      <c r="D1437" s="2" t="n">
        <v>1</v>
      </c>
      <c r="E1437" s="14" t="s">
        <v>1448</v>
      </c>
      <c r="F1437" s="7" t="n">
        <v>7000</v>
      </c>
    </row>
    <row r="1438" customFormat="false" ht="15" hidden="false" customHeight="false" outlineLevel="0" collapsed="false">
      <c r="A1438" s="2" t="s">
        <v>1447</v>
      </c>
      <c r="B1438" s="13" t="n">
        <v>46284</v>
      </c>
      <c r="C1438" s="2" t="s">
        <v>89</v>
      </c>
      <c r="D1438" s="2" t="n">
        <v>2</v>
      </c>
      <c r="E1438" s="14" t="s">
        <v>1448</v>
      </c>
      <c r="F1438" s="7" t="n">
        <v>14000</v>
      </c>
    </row>
    <row r="1439" customFormat="false" ht="15" hidden="false" customHeight="false" outlineLevel="0" collapsed="false">
      <c r="A1439" s="2" t="s">
        <v>1449</v>
      </c>
      <c r="B1439" s="13" t="n">
        <v>46284</v>
      </c>
      <c r="C1439" s="2" t="s">
        <v>81</v>
      </c>
      <c r="D1439" s="2" t="n">
        <v>1</v>
      </c>
      <c r="E1439" s="14" t="s">
        <v>179</v>
      </c>
      <c r="F1439" s="7" t="n">
        <v>15000</v>
      </c>
    </row>
    <row r="1440" customFormat="false" ht="15" hidden="false" customHeight="false" outlineLevel="0" collapsed="false">
      <c r="A1440" s="2" t="s">
        <v>1450</v>
      </c>
      <c r="B1440" s="13" t="n">
        <v>46284</v>
      </c>
      <c r="C1440" s="2" t="s">
        <v>92</v>
      </c>
      <c r="D1440" s="2" t="n">
        <v>2</v>
      </c>
      <c r="E1440" s="14" t="s">
        <v>356</v>
      </c>
      <c r="F1440" s="7" t="n">
        <v>4000</v>
      </c>
    </row>
    <row r="1441" customFormat="false" ht="15" hidden="false" customHeight="false" outlineLevel="0" collapsed="false">
      <c r="A1441" s="2" t="s">
        <v>1450</v>
      </c>
      <c r="B1441" s="13" t="n">
        <v>46284</v>
      </c>
      <c r="C1441" s="2" t="s">
        <v>84</v>
      </c>
      <c r="D1441" s="2" t="n">
        <v>1</v>
      </c>
      <c r="E1441" s="14" t="s">
        <v>356</v>
      </c>
      <c r="F1441" s="7" t="n">
        <v>5000</v>
      </c>
    </row>
    <row r="1442" customFormat="false" ht="15" hidden="false" customHeight="false" outlineLevel="0" collapsed="false">
      <c r="A1442" s="2" t="s">
        <v>1450</v>
      </c>
      <c r="B1442" s="13" t="n">
        <v>46284</v>
      </c>
      <c r="C1442" s="2" t="s">
        <v>81</v>
      </c>
      <c r="D1442" s="2" t="n">
        <v>1</v>
      </c>
      <c r="E1442" s="14" t="s">
        <v>356</v>
      </c>
      <c r="F1442" s="7" t="n">
        <v>15000</v>
      </c>
    </row>
    <row r="1443" customFormat="false" ht="15" hidden="false" customHeight="false" outlineLevel="0" collapsed="false">
      <c r="A1443" s="2" t="s">
        <v>1451</v>
      </c>
      <c r="B1443" s="13" t="n">
        <v>46284</v>
      </c>
      <c r="C1443" s="2" t="s">
        <v>81</v>
      </c>
      <c r="D1443" s="2" t="n">
        <v>1</v>
      </c>
      <c r="E1443" s="14" t="s">
        <v>279</v>
      </c>
      <c r="F1443" s="7" t="n">
        <v>15000</v>
      </c>
    </row>
    <row r="1444" customFormat="false" ht="15" hidden="false" customHeight="false" outlineLevel="0" collapsed="false">
      <c r="A1444" s="2" t="s">
        <v>1452</v>
      </c>
      <c r="B1444" s="13" t="n">
        <v>46284</v>
      </c>
      <c r="C1444" s="2" t="s">
        <v>108</v>
      </c>
      <c r="D1444" s="2" t="n">
        <v>1</v>
      </c>
      <c r="E1444" s="14" t="s">
        <v>936</v>
      </c>
      <c r="F1444" s="7" t="n">
        <v>20000</v>
      </c>
    </row>
    <row r="1445" customFormat="false" ht="15" hidden="false" customHeight="false" outlineLevel="0" collapsed="false">
      <c r="A1445" s="2" t="s">
        <v>1452</v>
      </c>
      <c r="B1445" s="13" t="n">
        <v>46284</v>
      </c>
      <c r="C1445" s="2" t="s">
        <v>112</v>
      </c>
      <c r="D1445" s="2" t="n">
        <v>3</v>
      </c>
      <c r="E1445" s="14" t="s">
        <v>936</v>
      </c>
      <c r="F1445" s="7" t="n">
        <v>10000</v>
      </c>
    </row>
    <row r="1446" customFormat="false" ht="15" hidden="false" customHeight="false" outlineLevel="0" collapsed="false">
      <c r="A1446" s="2" t="s">
        <v>1453</v>
      </c>
      <c r="B1446" s="13" t="n">
        <v>46284</v>
      </c>
      <c r="C1446" s="2" t="s">
        <v>84</v>
      </c>
      <c r="D1446" s="2" t="n">
        <v>1</v>
      </c>
      <c r="E1446" s="14" t="s">
        <v>545</v>
      </c>
      <c r="F1446" s="7" t="n">
        <v>5000</v>
      </c>
    </row>
    <row r="1447" customFormat="false" ht="15" hidden="false" customHeight="false" outlineLevel="0" collapsed="false">
      <c r="A1447" s="2" t="s">
        <v>1453</v>
      </c>
      <c r="B1447" s="13" t="n">
        <v>46284</v>
      </c>
      <c r="C1447" s="2" t="s">
        <v>101</v>
      </c>
      <c r="D1447" s="2" t="n">
        <v>2</v>
      </c>
      <c r="E1447" s="14" t="s">
        <v>545</v>
      </c>
      <c r="F1447" s="7" t="n">
        <v>18000</v>
      </c>
    </row>
    <row r="1448" customFormat="false" ht="15" hidden="false" customHeight="false" outlineLevel="0" collapsed="false">
      <c r="A1448" s="2" t="s">
        <v>1453</v>
      </c>
      <c r="B1448" s="13" t="n">
        <v>46284</v>
      </c>
      <c r="C1448" s="2" t="s">
        <v>108</v>
      </c>
      <c r="D1448" s="2" t="n">
        <v>1</v>
      </c>
      <c r="E1448" s="14" t="s">
        <v>545</v>
      </c>
      <c r="F1448" s="7" t="n">
        <v>20000</v>
      </c>
    </row>
    <row r="1449" customFormat="false" ht="15" hidden="false" customHeight="false" outlineLevel="0" collapsed="false">
      <c r="A1449" s="2" t="s">
        <v>1454</v>
      </c>
      <c r="B1449" s="13" t="n">
        <v>46284</v>
      </c>
      <c r="C1449" s="2" t="s">
        <v>108</v>
      </c>
      <c r="D1449" s="2" t="n">
        <v>2</v>
      </c>
      <c r="E1449" s="14" t="s">
        <v>1455</v>
      </c>
      <c r="F1449" s="7" t="n">
        <v>20000</v>
      </c>
    </row>
    <row r="1450" customFormat="false" ht="15" hidden="false" customHeight="false" outlineLevel="0" collapsed="false">
      <c r="A1450" s="2" t="s">
        <v>1456</v>
      </c>
      <c r="B1450" s="13" t="n">
        <v>46284</v>
      </c>
      <c r="C1450" s="2" t="s">
        <v>126</v>
      </c>
      <c r="D1450" s="2" t="n">
        <v>1</v>
      </c>
      <c r="E1450" s="14" t="s">
        <v>1455</v>
      </c>
      <c r="F1450" s="7" t="n">
        <v>3000</v>
      </c>
    </row>
    <row r="1451" customFormat="false" ht="15" hidden="false" customHeight="false" outlineLevel="0" collapsed="false">
      <c r="A1451" s="2" t="s">
        <v>1457</v>
      </c>
      <c r="B1451" s="13" t="n">
        <v>46284</v>
      </c>
      <c r="C1451" s="2" t="s">
        <v>81</v>
      </c>
      <c r="D1451" s="2" t="n">
        <v>1</v>
      </c>
      <c r="E1451" s="14" t="s">
        <v>453</v>
      </c>
      <c r="F1451" s="7" t="n">
        <v>15000</v>
      </c>
    </row>
    <row r="1452" customFormat="false" ht="15" hidden="false" customHeight="false" outlineLevel="0" collapsed="false">
      <c r="A1452" s="2" t="s">
        <v>1458</v>
      </c>
      <c r="B1452" s="13" t="n">
        <v>46284</v>
      </c>
      <c r="C1452" s="2" t="s">
        <v>186</v>
      </c>
      <c r="D1452" s="2" t="n">
        <v>1</v>
      </c>
      <c r="E1452" s="14" t="s">
        <v>1459</v>
      </c>
      <c r="F1452" s="7" t="n">
        <v>7000</v>
      </c>
    </row>
    <row r="1453" customFormat="false" ht="15" hidden="false" customHeight="false" outlineLevel="0" collapsed="false">
      <c r="A1453" s="2" t="s">
        <v>1460</v>
      </c>
      <c r="B1453" s="13" t="n">
        <v>46284</v>
      </c>
      <c r="C1453" s="2" t="s">
        <v>89</v>
      </c>
      <c r="D1453" s="2" t="n">
        <v>2</v>
      </c>
      <c r="E1453" s="14" t="s">
        <v>872</v>
      </c>
      <c r="F1453" s="7" t="n">
        <v>14000</v>
      </c>
    </row>
    <row r="1454" customFormat="false" ht="15" hidden="false" customHeight="false" outlineLevel="0" collapsed="false">
      <c r="A1454" s="2" t="s">
        <v>1460</v>
      </c>
      <c r="B1454" s="13" t="n">
        <v>46284</v>
      </c>
      <c r="C1454" s="2" t="s">
        <v>84</v>
      </c>
      <c r="D1454" s="2" t="n">
        <v>1</v>
      </c>
      <c r="E1454" s="14" t="s">
        <v>872</v>
      </c>
      <c r="F1454" s="7" t="n">
        <v>5000</v>
      </c>
    </row>
    <row r="1455" customFormat="false" ht="15" hidden="false" customHeight="false" outlineLevel="0" collapsed="false">
      <c r="A1455" s="2" t="s">
        <v>1461</v>
      </c>
      <c r="B1455" s="13" t="n">
        <v>46284</v>
      </c>
      <c r="C1455" s="2" t="s">
        <v>84</v>
      </c>
      <c r="D1455" s="2" t="n">
        <v>2</v>
      </c>
      <c r="E1455" s="14" t="s">
        <v>872</v>
      </c>
      <c r="F1455" s="7" t="n">
        <v>5000</v>
      </c>
    </row>
    <row r="1456" customFormat="false" ht="15" hidden="false" customHeight="false" outlineLevel="0" collapsed="false">
      <c r="A1456" s="2" t="s">
        <v>1462</v>
      </c>
      <c r="B1456" s="13" t="n">
        <v>46284</v>
      </c>
      <c r="C1456" s="2" t="s">
        <v>132</v>
      </c>
      <c r="D1456" s="2" t="n">
        <v>2</v>
      </c>
      <c r="E1456" s="14" t="s">
        <v>874</v>
      </c>
      <c r="F1456" s="7" t="n">
        <v>15000</v>
      </c>
    </row>
    <row r="1457" customFormat="false" ht="15" hidden="false" customHeight="false" outlineLevel="0" collapsed="false">
      <c r="A1457" s="2" t="s">
        <v>1462</v>
      </c>
      <c r="B1457" s="13" t="n">
        <v>46284</v>
      </c>
      <c r="C1457" s="2" t="s">
        <v>101</v>
      </c>
      <c r="D1457" s="2" t="n">
        <v>2</v>
      </c>
      <c r="E1457" s="14" t="s">
        <v>1463</v>
      </c>
      <c r="F1457" s="7" t="n">
        <v>18000</v>
      </c>
    </row>
    <row r="1458" customFormat="false" ht="15" hidden="false" customHeight="false" outlineLevel="0" collapsed="false">
      <c r="A1458" s="2" t="s">
        <v>1462</v>
      </c>
      <c r="B1458" s="13" t="n">
        <v>46284</v>
      </c>
      <c r="C1458" s="2" t="s">
        <v>84</v>
      </c>
      <c r="D1458" s="2" t="n">
        <v>1</v>
      </c>
      <c r="E1458" s="14" t="s">
        <v>874</v>
      </c>
      <c r="F1458" s="7" t="n">
        <v>5000</v>
      </c>
    </row>
    <row r="1459" customFormat="false" ht="15" hidden="false" customHeight="false" outlineLevel="0" collapsed="false">
      <c r="A1459" s="2" t="s">
        <v>1464</v>
      </c>
      <c r="B1459" s="13" t="n">
        <v>46284</v>
      </c>
      <c r="C1459" s="2" t="s">
        <v>101</v>
      </c>
      <c r="D1459" s="2" t="n">
        <v>1</v>
      </c>
      <c r="E1459" s="14" t="s">
        <v>1465</v>
      </c>
      <c r="F1459" s="7" t="n">
        <v>18000</v>
      </c>
    </row>
    <row r="1460" customFormat="false" ht="15" hidden="false" customHeight="false" outlineLevel="0" collapsed="false">
      <c r="A1460" s="2" t="s">
        <v>1464</v>
      </c>
      <c r="B1460" s="13" t="n">
        <v>46284</v>
      </c>
      <c r="C1460" s="2" t="s">
        <v>186</v>
      </c>
      <c r="D1460" s="2" t="n">
        <v>1</v>
      </c>
      <c r="E1460" s="14" t="s">
        <v>1465</v>
      </c>
      <c r="F1460" s="7" t="n">
        <v>7000</v>
      </c>
    </row>
    <row r="1461" customFormat="false" ht="15" hidden="false" customHeight="false" outlineLevel="0" collapsed="false">
      <c r="A1461" s="2" t="s">
        <v>1466</v>
      </c>
      <c r="B1461" s="13" t="n">
        <v>46284</v>
      </c>
      <c r="C1461" s="2" t="s">
        <v>89</v>
      </c>
      <c r="D1461" s="2" t="n">
        <v>1</v>
      </c>
      <c r="E1461" s="14" t="s">
        <v>379</v>
      </c>
      <c r="F1461" s="7" t="n">
        <v>14000</v>
      </c>
    </row>
    <row r="1462" customFormat="false" ht="15" hidden="false" customHeight="false" outlineLevel="0" collapsed="false">
      <c r="A1462" s="2" t="s">
        <v>1466</v>
      </c>
      <c r="B1462" s="13" t="n">
        <v>46284</v>
      </c>
      <c r="C1462" s="2" t="s">
        <v>89</v>
      </c>
      <c r="D1462" s="2" t="n">
        <v>1</v>
      </c>
      <c r="E1462" s="14" t="s">
        <v>379</v>
      </c>
      <c r="F1462" s="7" t="n">
        <v>14000</v>
      </c>
    </row>
    <row r="1463" customFormat="false" ht="15" hidden="false" customHeight="false" outlineLevel="0" collapsed="false">
      <c r="A1463" s="2" t="s">
        <v>1467</v>
      </c>
      <c r="B1463" s="13" t="n">
        <v>46284</v>
      </c>
      <c r="C1463" s="2" t="s">
        <v>126</v>
      </c>
      <c r="D1463" s="2" t="n">
        <v>2</v>
      </c>
      <c r="E1463" s="14" t="s">
        <v>1468</v>
      </c>
      <c r="F1463" s="7" t="n">
        <v>3000</v>
      </c>
    </row>
    <row r="1464" customFormat="false" ht="15" hidden="false" customHeight="false" outlineLevel="0" collapsed="false">
      <c r="A1464" s="2" t="s">
        <v>1469</v>
      </c>
      <c r="B1464" s="13" t="n">
        <v>46284</v>
      </c>
      <c r="C1464" s="2" t="s">
        <v>79</v>
      </c>
      <c r="D1464" s="2" t="n">
        <v>2</v>
      </c>
      <c r="E1464" s="14" t="s">
        <v>1038</v>
      </c>
      <c r="F1464" s="7" t="n">
        <v>16000</v>
      </c>
    </row>
    <row r="1465" customFormat="false" ht="15" hidden="false" customHeight="false" outlineLevel="0" collapsed="false">
      <c r="A1465" s="2" t="s">
        <v>1469</v>
      </c>
      <c r="B1465" s="13" t="n">
        <v>46284</v>
      </c>
      <c r="C1465" s="2" t="s">
        <v>84</v>
      </c>
      <c r="D1465" s="2" t="n">
        <v>1</v>
      </c>
      <c r="E1465" s="14" t="s">
        <v>1038</v>
      </c>
      <c r="F1465" s="7" t="n">
        <v>5000</v>
      </c>
    </row>
    <row r="1466" customFormat="false" ht="15" hidden="false" customHeight="false" outlineLevel="0" collapsed="false">
      <c r="A1466" s="2" t="s">
        <v>1470</v>
      </c>
      <c r="B1466" s="13" t="n">
        <v>46284</v>
      </c>
      <c r="C1466" s="2" t="s">
        <v>84</v>
      </c>
      <c r="D1466" s="2" t="n">
        <v>1</v>
      </c>
      <c r="E1466" s="14" t="s">
        <v>1038</v>
      </c>
      <c r="F1466" s="7" t="n">
        <v>5000</v>
      </c>
    </row>
    <row r="1467" customFormat="false" ht="15" hidden="false" customHeight="false" outlineLevel="0" collapsed="false">
      <c r="A1467" s="2" t="s">
        <v>1470</v>
      </c>
      <c r="B1467" s="13" t="n">
        <v>46284</v>
      </c>
      <c r="C1467" s="2" t="s">
        <v>108</v>
      </c>
      <c r="D1467" s="2" t="n">
        <v>1</v>
      </c>
      <c r="E1467" s="14" t="s">
        <v>1038</v>
      </c>
      <c r="F1467" s="7" t="n">
        <v>20000</v>
      </c>
    </row>
    <row r="1468" customFormat="false" ht="15" hidden="false" customHeight="false" outlineLevel="0" collapsed="false">
      <c r="A1468" s="2" t="s">
        <v>1471</v>
      </c>
      <c r="B1468" s="13" t="n">
        <v>46284</v>
      </c>
      <c r="C1468" s="2" t="s">
        <v>126</v>
      </c>
      <c r="D1468" s="2" t="n">
        <v>1</v>
      </c>
      <c r="E1468" s="14" t="s">
        <v>1472</v>
      </c>
      <c r="F1468" s="7" t="n">
        <v>3000</v>
      </c>
    </row>
    <row r="1469" customFormat="false" ht="15" hidden="false" customHeight="false" outlineLevel="0" collapsed="false">
      <c r="A1469" s="2" t="s">
        <v>1473</v>
      </c>
      <c r="B1469" s="13" t="n">
        <v>46284</v>
      </c>
      <c r="C1469" s="2" t="s">
        <v>84</v>
      </c>
      <c r="D1469" s="2" t="n">
        <v>2</v>
      </c>
      <c r="E1469" s="14" t="s">
        <v>1474</v>
      </c>
      <c r="F1469" s="7" t="n">
        <v>5000</v>
      </c>
    </row>
    <row r="1470" customFormat="false" ht="15" hidden="false" customHeight="false" outlineLevel="0" collapsed="false">
      <c r="A1470" s="2" t="s">
        <v>1473</v>
      </c>
      <c r="B1470" s="13" t="n">
        <v>46284</v>
      </c>
      <c r="C1470" s="2" t="s">
        <v>132</v>
      </c>
      <c r="D1470" s="2" t="n">
        <v>1</v>
      </c>
      <c r="E1470" s="14" t="s">
        <v>1474</v>
      </c>
      <c r="F1470" s="7" t="n">
        <v>15000</v>
      </c>
    </row>
    <row r="1471" customFormat="false" ht="15" hidden="false" customHeight="false" outlineLevel="0" collapsed="false">
      <c r="A1471" s="2" t="s">
        <v>1473</v>
      </c>
      <c r="B1471" s="13" t="n">
        <v>46284</v>
      </c>
      <c r="C1471" s="2" t="s">
        <v>81</v>
      </c>
      <c r="D1471" s="2" t="n">
        <v>1</v>
      </c>
      <c r="E1471" s="14" t="s">
        <v>1474</v>
      </c>
      <c r="F1471" s="7" t="n">
        <v>15000</v>
      </c>
    </row>
    <row r="1472" customFormat="false" ht="15" hidden="false" customHeight="false" outlineLevel="0" collapsed="false">
      <c r="A1472" s="2" t="s">
        <v>1475</v>
      </c>
      <c r="B1472" s="13" t="n">
        <v>46284</v>
      </c>
      <c r="C1472" s="2" t="s">
        <v>89</v>
      </c>
      <c r="D1472" s="2" t="n">
        <v>1</v>
      </c>
      <c r="E1472" s="14" t="s">
        <v>1476</v>
      </c>
      <c r="F1472" s="7" t="n">
        <v>14000</v>
      </c>
    </row>
    <row r="1473" customFormat="false" ht="15" hidden="false" customHeight="false" outlineLevel="0" collapsed="false">
      <c r="A1473" s="2" t="s">
        <v>1475</v>
      </c>
      <c r="B1473" s="13" t="n">
        <v>46284</v>
      </c>
      <c r="C1473" s="2" t="s">
        <v>82</v>
      </c>
      <c r="D1473" s="2" t="n">
        <v>2</v>
      </c>
      <c r="E1473" s="14" t="s">
        <v>1476</v>
      </c>
      <c r="F1473" s="7" t="n">
        <v>13000</v>
      </c>
    </row>
    <row r="1474" customFormat="false" ht="15" hidden="false" customHeight="false" outlineLevel="0" collapsed="false">
      <c r="A1474" s="2" t="s">
        <v>1475</v>
      </c>
      <c r="B1474" s="13" t="n">
        <v>46284</v>
      </c>
      <c r="C1474" s="2" t="s">
        <v>81</v>
      </c>
      <c r="D1474" s="2" t="n">
        <v>2</v>
      </c>
      <c r="E1474" s="14" t="s">
        <v>1476</v>
      </c>
      <c r="F1474" s="7" t="n">
        <v>15000</v>
      </c>
    </row>
    <row r="1475" customFormat="false" ht="15" hidden="false" customHeight="false" outlineLevel="0" collapsed="false">
      <c r="A1475" s="2" t="s">
        <v>1477</v>
      </c>
      <c r="B1475" s="13" t="n">
        <v>46284</v>
      </c>
      <c r="C1475" s="2" t="s">
        <v>112</v>
      </c>
      <c r="D1475" s="2" t="n">
        <v>1</v>
      </c>
      <c r="E1475" s="14" t="s">
        <v>487</v>
      </c>
      <c r="F1475" s="7" t="n">
        <v>10000</v>
      </c>
    </row>
    <row r="1476" customFormat="false" ht="15" hidden="false" customHeight="false" outlineLevel="0" collapsed="false">
      <c r="A1476" s="2" t="s">
        <v>1478</v>
      </c>
      <c r="B1476" s="13" t="n">
        <v>46284</v>
      </c>
      <c r="C1476" s="2" t="s">
        <v>84</v>
      </c>
      <c r="D1476" s="2" t="n">
        <v>1</v>
      </c>
      <c r="E1476" s="14" t="s">
        <v>1479</v>
      </c>
      <c r="F1476" s="7" t="n">
        <v>5000</v>
      </c>
    </row>
    <row r="1477" customFormat="false" ht="15" hidden="false" customHeight="false" outlineLevel="0" collapsed="false">
      <c r="A1477" s="2" t="s">
        <v>1478</v>
      </c>
      <c r="B1477" s="13" t="n">
        <v>46284</v>
      </c>
      <c r="C1477" s="2" t="s">
        <v>92</v>
      </c>
      <c r="D1477" s="2" t="n">
        <v>1</v>
      </c>
      <c r="E1477" s="14" t="s">
        <v>1479</v>
      </c>
      <c r="F1477" s="7" t="n">
        <v>4000</v>
      </c>
    </row>
    <row r="1478" customFormat="false" ht="15" hidden="false" customHeight="false" outlineLevel="0" collapsed="false">
      <c r="A1478" s="2" t="s">
        <v>1480</v>
      </c>
      <c r="B1478" s="13" t="n">
        <v>46284</v>
      </c>
      <c r="C1478" s="2" t="s">
        <v>112</v>
      </c>
      <c r="D1478" s="2" t="n">
        <v>1</v>
      </c>
      <c r="E1478" s="14" t="s">
        <v>664</v>
      </c>
      <c r="F1478" s="7" t="n">
        <v>10000</v>
      </c>
    </row>
    <row r="1479" customFormat="false" ht="15" hidden="false" customHeight="false" outlineLevel="0" collapsed="false">
      <c r="A1479" s="2" t="s">
        <v>1481</v>
      </c>
      <c r="B1479" s="13" t="n">
        <v>46284</v>
      </c>
      <c r="C1479" s="2" t="s">
        <v>89</v>
      </c>
      <c r="D1479" s="2" t="n">
        <v>2</v>
      </c>
      <c r="E1479" s="14" t="s">
        <v>1123</v>
      </c>
      <c r="F1479" s="7" t="n">
        <v>14000</v>
      </c>
    </row>
    <row r="1480" customFormat="false" ht="15" hidden="false" customHeight="false" outlineLevel="0" collapsed="false">
      <c r="A1480" s="2" t="s">
        <v>1481</v>
      </c>
      <c r="B1480" s="13" t="n">
        <v>46284</v>
      </c>
      <c r="C1480" s="2" t="s">
        <v>84</v>
      </c>
      <c r="D1480" s="2" t="n">
        <v>1</v>
      </c>
      <c r="E1480" s="14" t="s">
        <v>1123</v>
      </c>
      <c r="F1480" s="7" t="n">
        <v>5000</v>
      </c>
    </row>
    <row r="1481" customFormat="false" ht="15" hidden="false" customHeight="false" outlineLevel="0" collapsed="false">
      <c r="A1481" s="2" t="s">
        <v>1481</v>
      </c>
      <c r="B1481" s="13" t="n">
        <v>46284</v>
      </c>
      <c r="C1481" s="2" t="s">
        <v>82</v>
      </c>
      <c r="D1481" s="2" t="n">
        <v>1</v>
      </c>
      <c r="E1481" s="14" t="s">
        <v>1123</v>
      </c>
      <c r="F1481" s="7" t="n">
        <v>13000</v>
      </c>
    </row>
    <row r="1482" customFormat="false" ht="15" hidden="false" customHeight="false" outlineLevel="0" collapsed="false">
      <c r="A1482" s="2" t="s">
        <v>1482</v>
      </c>
      <c r="B1482" s="13" t="n">
        <v>46284</v>
      </c>
      <c r="C1482" s="2" t="s">
        <v>108</v>
      </c>
      <c r="D1482" s="2" t="n">
        <v>2</v>
      </c>
      <c r="E1482" s="14" t="s">
        <v>818</v>
      </c>
      <c r="F1482" s="7" t="n">
        <v>20000</v>
      </c>
    </row>
    <row r="1483" customFormat="false" ht="15" hidden="false" customHeight="false" outlineLevel="0" collapsed="false">
      <c r="A1483" s="2" t="s">
        <v>1482</v>
      </c>
      <c r="B1483" s="13" t="n">
        <v>46284</v>
      </c>
      <c r="C1483" s="2" t="s">
        <v>101</v>
      </c>
      <c r="D1483" s="2" t="n">
        <v>1</v>
      </c>
      <c r="E1483" s="14" t="s">
        <v>818</v>
      </c>
      <c r="F1483" s="7" t="n">
        <v>18000</v>
      </c>
    </row>
    <row r="1484" customFormat="false" ht="15" hidden="false" customHeight="false" outlineLevel="0" collapsed="false">
      <c r="A1484" s="2" t="s">
        <v>1482</v>
      </c>
      <c r="B1484" s="13" t="n">
        <v>46284</v>
      </c>
      <c r="C1484" s="2" t="s">
        <v>84</v>
      </c>
      <c r="D1484" s="2" t="n">
        <v>2</v>
      </c>
      <c r="E1484" s="14" t="s">
        <v>818</v>
      </c>
      <c r="F1484" s="7" t="n">
        <v>5000</v>
      </c>
    </row>
    <row r="1485" customFormat="false" ht="15" hidden="false" customHeight="false" outlineLevel="0" collapsed="false">
      <c r="A1485" s="2" t="s">
        <v>1483</v>
      </c>
      <c r="B1485" s="13" t="n">
        <v>46284</v>
      </c>
      <c r="C1485" s="2" t="s">
        <v>112</v>
      </c>
      <c r="D1485" s="2" t="n">
        <v>2</v>
      </c>
      <c r="E1485" s="14" t="s">
        <v>1484</v>
      </c>
      <c r="F1485" s="7" t="n">
        <v>10000</v>
      </c>
    </row>
    <row r="1486" customFormat="false" ht="15" hidden="false" customHeight="false" outlineLevel="0" collapsed="false">
      <c r="A1486" s="2" t="s">
        <v>1483</v>
      </c>
      <c r="B1486" s="13" t="n">
        <v>46284</v>
      </c>
      <c r="C1486" s="2" t="s">
        <v>89</v>
      </c>
      <c r="D1486" s="2" t="n">
        <v>2</v>
      </c>
      <c r="E1486" s="14" t="s">
        <v>1484</v>
      </c>
      <c r="F1486" s="7" t="n">
        <v>14000</v>
      </c>
    </row>
    <row r="1487" customFormat="false" ht="15" hidden="false" customHeight="false" outlineLevel="0" collapsed="false">
      <c r="A1487" s="2" t="s">
        <v>1485</v>
      </c>
      <c r="B1487" s="13" t="n">
        <v>46284</v>
      </c>
      <c r="C1487" s="2" t="s">
        <v>186</v>
      </c>
      <c r="D1487" s="2" t="n">
        <v>1</v>
      </c>
      <c r="E1487" s="14" t="s">
        <v>150</v>
      </c>
      <c r="F1487" s="7" t="n">
        <v>7000</v>
      </c>
    </row>
    <row r="1488" customFormat="false" ht="15" hidden="false" customHeight="false" outlineLevel="0" collapsed="false">
      <c r="A1488" s="2" t="s">
        <v>1485</v>
      </c>
      <c r="B1488" s="13" t="n">
        <v>46284</v>
      </c>
      <c r="C1488" s="2" t="s">
        <v>101</v>
      </c>
      <c r="D1488" s="2" t="n">
        <v>2</v>
      </c>
      <c r="E1488" s="14" t="s">
        <v>150</v>
      </c>
      <c r="F1488" s="7" t="n">
        <v>18000</v>
      </c>
    </row>
    <row r="1489" customFormat="false" ht="15" hidden="false" customHeight="false" outlineLevel="0" collapsed="false">
      <c r="A1489" s="2" t="s">
        <v>1485</v>
      </c>
      <c r="B1489" s="13" t="n">
        <v>46284</v>
      </c>
      <c r="C1489" s="2" t="s">
        <v>132</v>
      </c>
      <c r="D1489" s="2" t="n">
        <v>1</v>
      </c>
      <c r="E1489" s="14" t="s">
        <v>150</v>
      </c>
      <c r="F1489" s="7" t="n">
        <v>15000</v>
      </c>
    </row>
    <row r="1490" customFormat="false" ht="15" hidden="false" customHeight="false" outlineLevel="0" collapsed="false">
      <c r="A1490" s="2" t="s">
        <v>1486</v>
      </c>
      <c r="B1490" s="13" t="n">
        <v>46284</v>
      </c>
      <c r="C1490" s="2" t="s">
        <v>101</v>
      </c>
      <c r="D1490" s="2" t="n">
        <v>1</v>
      </c>
      <c r="E1490" s="14" t="s">
        <v>1487</v>
      </c>
      <c r="F1490" s="7" t="n">
        <v>18000</v>
      </c>
    </row>
    <row r="1491" customFormat="false" ht="15" hidden="false" customHeight="false" outlineLevel="0" collapsed="false">
      <c r="A1491" s="2" t="s">
        <v>1486</v>
      </c>
      <c r="B1491" s="13" t="n">
        <v>46284</v>
      </c>
      <c r="C1491" s="2" t="s">
        <v>89</v>
      </c>
      <c r="D1491" s="2" t="n">
        <v>1</v>
      </c>
      <c r="E1491" s="14" t="s">
        <v>1487</v>
      </c>
      <c r="F1491" s="7" t="n">
        <v>14000</v>
      </c>
    </row>
    <row r="1492" customFormat="false" ht="15" hidden="false" customHeight="false" outlineLevel="0" collapsed="false">
      <c r="A1492" s="2" t="s">
        <v>1488</v>
      </c>
      <c r="B1492" s="13" t="n">
        <v>46284</v>
      </c>
      <c r="C1492" s="2" t="s">
        <v>89</v>
      </c>
      <c r="D1492" s="2" t="n">
        <v>1</v>
      </c>
      <c r="E1492" s="14" t="s">
        <v>1489</v>
      </c>
      <c r="F1492" s="7" t="n">
        <v>14000</v>
      </c>
    </row>
    <row r="1493" customFormat="false" ht="15" hidden="false" customHeight="false" outlineLevel="0" collapsed="false">
      <c r="A1493" s="2" t="s">
        <v>1490</v>
      </c>
      <c r="B1493" s="13" t="n">
        <v>46284</v>
      </c>
      <c r="C1493" s="2" t="s">
        <v>81</v>
      </c>
      <c r="D1493" s="2" t="n">
        <v>2</v>
      </c>
      <c r="E1493" s="14" t="s">
        <v>1491</v>
      </c>
      <c r="F1493" s="7" t="n">
        <v>15000</v>
      </c>
    </row>
    <row r="1494" customFormat="false" ht="15" hidden="false" customHeight="false" outlineLevel="0" collapsed="false">
      <c r="A1494" s="2" t="s">
        <v>1490</v>
      </c>
      <c r="B1494" s="13" t="n">
        <v>46284</v>
      </c>
      <c r="C1494" s="2" t="s">
        <v>79</v>
      </c>
      <c r="D1494" s="2" t="n">
        <v>2</v>
      </c>
      <c r="E1494" s="14" t="s">
        <v>1491</v>
      </c>
      <c r="F1494" s="7" t="n">
        <v>16000</v>
      </c>
    </row>
    <row r="1495" customFormat="false" ht="15" hidden="false" customHeight="false" outlineLevel="0" collapsed="false">
      <c r="A1495" s="2" t="s">
        <v>1492</v>
      </c>
      <c r="B1495" s="13" t="n">
        <v>46284</v>
      </c>
      <c r="C1495" s="2" t="s">
        <v>108</v>
      </c>
      <c r="D1495" s="2" t="n">
        <v>1</v>
      </c>
      <c r="E1495" s="14" t="s">
        <v>750</v>
      </c>
      <c r="F1495" s="7" t="n">
        <v>20000</v>
      </c>
    </row>
    <row r="1496" customFormat="false" ht="15" hidden="false" customHeight="false" outlineLevel="0" collapsed="false">
      <c r="A1496" s="2" t="s">
        <v>1493</v>
      </c>
      <c r="B1496" s="13" t="n">
        <v>46284</v>
      </c>
      <c r="C1496" s="2" t="s">
        <v>101</v>
      </c>
      <c r="D1496" s="2" t="n">
        <v>1</v>
      </c>
      <c r="E1496" s="14" t="s">
        <v>323</v>
      </c>
      <c r="F1496" s="7" t="n">
        <v>18000</v>
      </c>
    </row>
    <row r="1497" customFormat="false" ht="15" hidden="false" customHeight="false" outlineLevel="0" collapsed="false">
      <c r="A1497" s="2" t="s">
        <v>1493</v>
      </c>
      <c r="B1497" s="13" t="n">
        <v>46284</v>
      </c>
      <c r="C1497" s="2" t="s">
        <v>81</v>
      </c>
      <c r="D1497" s="2" t="n">
        <v>1</v>
      </c>
      <c r="E1497" s="14" t="s">
        <v>323</v>
      </c>
      <c r="F1497" s="7" t="n">
        <v>15000</v>
      </c>
    </row>
    <row r="1498" customFormat="false" ht="15" hidden="false" customHeight="false" outlineLevel="0" collapsed="false">
      <c r="A1498" s="2" t="s">
        <v>1494</v>
      </c>
      <c r="B1498" s="13" t="n">
        <v>46284</v>
      </c>
      <c r="C1498" s="2" t="s">
        <v>81</v>
      </c>
      <c r="D1498" s="2" t="n">
        <v>1</v>
      </c>
      <c r="E1498" s="14" t="s">
        <v>917</v>
      </c>
      <c r="F1498" s="7" t="n">
        <v>15000</v>
      </c>
    </row>
    <row r="1499" customFormat="false" ht="15" hidden="false" customHeight="false" outlineLevel="0" collapsed="false">
      <c r="A1499" s="2" t="s">
        <v>1494</v>
      </c>
      <c r="B1499" s="13" t="n">
        <v>46284</v>
      </c>
      <c r="C1499" s="2" t="s">
        <v>84</v>
      </c>
      <c r="D1499" s="2" t="n">
        <v>3</v>
      </c>
      <c r="E1499" s="14" t="s">
        <v>1495</v>
      </c>
      <c r="F1499" s="7" t="n">
        <v>5000</v>
      </c>
    </row>
    <row r="1500" customFormat="false" ht="15" hidden="false" customHeight="false" outlineLevel="0" collapsed="false">
      <c r="A1500" s="2" t="s">
        <v>1496</v>
      </c>
      <c r="B1500" s="13" t="n">
        <v>46284</v>
      </c>
      <c r="C1500" s="2" t="s">
        <v>132</v>
      </c>
      <c r="D1500" s="2" t="n">
        <v>1</v>
      </c>
      <c r="E1500" s="14" t="s">
        <v>758</v>
      </c>
      <c r="F1500" s="7" t="n">
        <v>15000</v>
      </c>
    </row>
    <row r="1501" customFormat="false" ht="15" hidden="false" customHeight="false" outlineLevel="0" collapsed="false">
      <c r="A1501" s="2" t="s">
        <v>1497</v>
      </c>
      <c r="B1501" s="13" t="n">
        <v>46284</v>
      </c>
      <c r="C1501" s="2" t="s">
        <v>101</v>
      </c>
      <c r="D1501" s="2" t="n">
        <v>3</v>
      </c>
      <c r="E1501" s="14" t="s">
        <v>162</v>
      </c>
      <c r="F1501" s="7" t="n">
        <v>18000</v>
      </c>
    </row>
    <row r="1502" customFormat="false" ht="15" hidden="false" customHeight="false" outlineLevel="0" collapsed="false">
      <c r="A1502" s="2" t="s">
        <v>1497</v>
      </c>
      <c r="B1502" s="13" t="n">
        <v>46284</v>
      </c>
      <c r="C1502" s="2" t="s">
        <v>81</v>
      </c>
      <c r="D1502" s="2" t="n">
        <v>1</v>
      </c>
      <c r="E1502" s="14" t="s">
        <v>162</v>
      </c>
      <c r="F1502" s="7" t="n">
        <v>15000</v>
      </c>
    </row>
    <row r="1503" customFormat="false" ht="15" hidden="false" customHeight="false" outlineLevel="0" collapsed="false">
      <c r="A1503" s="2" t="s">
        <v>1497</v>
      </c>
      <c r="B1503" s="13" t="n">
        <v>46284</v>
      </c>
      <c r="C1503" s="2" t="s">
        <v>84</v>
      </c>
      <c r="D1503" s="2" t="n">
        <v>1</v>
      </c>
      <c r="E1503" s="14" t="s">
        <v>162</v>
      </c>
      <c r="F1503" s="7" t="n">
        <v>5000</v>
      </c>
    </row>
    <row r="1504" customFormat="false" ht="15" hidden="false" customHeight="false" outlineLevel="0" collapsed="false">
      <c r="A1504" s="2" t="s">
        <v>1498</v>
      </c>
      <c r="B1504" s="13" t="n">
        <v>46284</v>
      </c>
      <c r="C1504" s="2" t="s">
        <v>108</v>
      </c>
      <c r="D1504" s="2" t="n">
        <v>1</v>
      </c>
      <c r="E1504" s="14" t="s">
        <v>1499</v>
      </c>
      <c r="F1504" s="7" t="n">
        <v>20000</v>
      </c>
    </row>
    <row r="1505" customFormat="false" ht="15" hidden="false" customHeight="false" outlineLevel="0" collapsed="false">
      <c r="A1505" s="2" t="s">
        <v>1500</v>
      </c>
      <c r="B1505" s="13" t="n">
        <v>46284</v>
      </c>
      <c r="C1505" s="2" t="s">
        <v>84</v>
      </c>
      <c r="D1505" s="2" t="n">
        <v>1</v>
      </c>
      <c r="E1505" s="14" t="s">
        <v>1501</v>
      </c>
      <c r="F1505" s="7" t="n">
        <v>5000</v>
      </c>
    </row>
    <row r="1506" customFormat="false" ht="15" hidden="false" customHeight="false" outlineLevel="0" collapsed="false">
      <c r="A1506" s="2" t="s">
        <v>1502</v>
      </c>
      <c r="B1506" s="13" t="n">
        <v>46284</v>
      </c>
      <c r="C1506" s="2" t="s">
        <v>79</v>
      </c>
      <c r="D1506" s="2" t="n">
        <v>1</v>
      </c>
      <c r="E1506" s="14" t="s">
        <v>1503</v>
      </c>
      <c r="F1506" s="7" t="n">
        <v>16000</v>
      </c>
    </row>
    <row r="1507" customFormat="false" ht="15" hidden="false" customHeight="false" outlineLevel="0" collapsed="false">
      <c r="A1507" s="2" t="s">
        <v>1502</v>
      </c>
      <c r="B1507" s="13" t="n">
        <v>46284</v>
      </c>
      <c r="C1507" s="2" t="s">
        <v>81</v>
      </c>
      <c r="D1507" s="2" t="n">
        <v>1</v>
      </c>
      <c r="E1507" s="14" t="s">
        <v>1503</v>
      </c>
      <c r="F1507" s="7" t="n">
        <v>15000</v>
      </c>
    </row>
    <row r="1508" customFormat="false" ht="15" hidden="false" customHeight="false" outlineLevel="0" collapsed="false">
      <c r="A1508" s="2" t="s">
        <v>1504</v>
      </c>
      <c r="B1508" s="13" t="n">
        <v>46285</v>
      </c>
      <c r="C1508" s="2" t="s">
        <v>81</v>
      </c>
      <c r="D1508" s="2" t="n">
        <v>1</v>
      </c>
      <c r="E1508" s="14" t="s">
        <v>1210</v>
      </c>
      <c r="F1508" s="7" t="n">
        <v>15000</v>
      </c>
    </row>
    <row r="1509" customFormat="false" ht="15" hidden="false" customHeight="false" outlineLevel="0" collapsed="false">
      <c r="A1509" s="2" t="s">
        <v>1505</v>
      </c>
      <c r="B1509" s="13" t="n">
        <v>46285</v>
      </c>
      <c r="C1509" s="2" t="s">
        <v>132</v>
      </c>
      <c r="D1509" s="2" t="n">
        <v>2</v>
      </c>
      <c r="E1509" s="14" t="s">
        <v>346</v>
      </c>
      <c r="F1509" s="7" t="n">
        <v>15000</v>
      </c>
    </row>
    <row r="1510" customFormat="false" ht="15" hidden="false" customHeight="false" outlineLevel="0" collapsed="false">
      <c r="A1510" s="2" t="s">
        <v>1505</v>
      </c>
      <c r="B1510" s="13" t="n">
        <v>46285</v>
      </c>
      <c r="C1510" s="2" t="s">
        <v>79</v>
      </c>
      <c r="D1510" s="2" t="n">
        <v>1</v>
      </c>
      <c r="E1510" s="14" t="s">
        <v>346</v>
      </c>
      <c r="F1510" s="7" t="n">
        <v>16000</v>
      </c>
    </row>
    <row r="1511" customFormat="false" ht="15" hidden="false" customHeight="false" outlineLevel="0" collapsed="false">
      <c r="A1511" s="2" t="s">
        <v>1505</v>
      </c>
      <c r="B1511" s="13" t="n">
        <v>46285</v>
      </c>
      <c r="C1511" s="2" t="s">
        <v>101</v>
      </c>
      <c r="D1511" s="2" t="n">
        <v>1</v>
      </c>
      <c r="E1511" s="14" t="s">
        <v>346</v>
      </c>
      <c r="F1511" s="7" t="n">
        <v>18000</v>
      </c>
    </row>
    <row r="1512" customFormat="false" ht="15" hidden="false" customHeight="false" outlineLevel="0" collapsed="false">
      <c r="A1512" s="2" t="s">
        <v>1506</v>
      </c>
      <c r="B1512" s="13" t="n">
        <v>46285</v>
      </c>
      <c r="C1512" s="2" t="s">
        <v>186</v>
      </c>
      <c r="D1512" s="2" t="n">
        <v>1</v>
      </c>
      <c r="E1512" s="14" t="s">
        <v>1507</v>
      </c>
      <c r="F1512" s="7" t="n">
        <v>7000</v>
      </c>
    </row>
    <row r="1513" customFormat="false" ht="15" hidden="false" customHeight="false" outlineLevel="0" collapsed="false">
      <c r="A1513" s="2" t="s">
        <v>1508</v>
      </c>
      <c r="B1513" s="13" t="n">
        <v>46285</v>
      </c>
      <c r="C1513" s="2" t="s">
        <v>112</v>
      </c>
      <c r="D1513" s="2" t="n">
        <v>1</v>
      </c>
      <c r="E1513" s="14" t="s">
        <v>1509</v>
      </c>
      <c r="F1513" s="7" t="n">
        <v>10000</v>
      </c>
    </row>
    <row r="1514" customFormat="false" ht="15" hidden="false" customHeight="false" outlineLevel="0" collapsed="false">
      <c r="A1514" s="2" t="s">
        <v>1508</v>
      </c>
      <c r="B1514" s="13" t="n">
        <v>46285</v>
      </c>
      <c r="C1514" s="2" t="s">
        <v>92</v>
      </c>
      <c r="D1514" s="2" t="n">
        <v>1</v>
      </c>
      <c r="E1514" s="14" t="s">
        <v>1509</v>
      </c>
      <c r="F1514" s="7" t="n">
        <v>4000</v>
      </c>
    </row>
    <row r="1515" customFormat="false" ht="15" hidden="false" customHeight="false" outlineLevel="0" collapsed="false">
      <c r="A1515" s="2" t="s">
        <v>1510</v>
      </c>
      <c r="B1515" s="13" t="n">
        <v>46285</v>
      </c>
      <c r="C1515" s="2" t="s">
        <v>92</v>
      </c>
      <c r="D1515" s="2" t="n">
        <v>1</v>
      </c>
      <c r="E1515" s="14" t="s">
        <v>440</v>
      </c>
      <c r="F1515" s="7" t="n">
        <v>4000</v>
      </c>
    </row>
    <row r="1516" customFormat="false" ht="15" hidden="false" customHeight="false" outlineLevel="0" collapsed="false">
      <c r="A1516" s="2" t="s">
        <v>1510</v>
      </c>
      <c r="B1516" s="13" t="n">
        <v>46285</v>
      </c>
      <c r="C1516" s="2" t="s">
        <v>84</v>
      </c>
      <c r="D1516" s="2" t="n">
        <v>3</v>
      </c>
      <c r="E1516" s="14" t="s">
        <v>440</v>
      </c>
      <c r="F1516" s="7" t="n">
        <v>5000</v>
      </c>
    </row>
    <row r="1517" customFormat="false" ht="15" hidden="false" customHeight="false" outlineLevel="0" collapsed="false">
      <c r="A1517" s="2" t="s">
        <v>1511</v>
      </c>
      <c r="B1517" s="13" t="n">
        <v>46285</v>
      </c>
      <c r="C1517" s="2" t="s">
        <v>79</v>
      </c>
      <c r="D1517" s="2" t="n">
        <v>2</v>
      </c>
      <c r="E1517" s="14" t="s">
        <v>774</v>
      </c>
      <c r="F1517" s="7" t="n">
        <v>16000</v>
      </c>
    </row>
    <row r="1518" customFormat="false" ht="15" hidden="false" customHeight="false" outlineLevel="0" collapsed="false">
      <c r="A1518" s="2" t="s">
        <v>1512</v>
      </c>
      <c r="B1518" s="13" t="n">
        <v>46285</v>
      </c>
      <c r="C1518" s="2" t="s">
        <v>89</v>
      </c>
      <c r="D1518" s="2" t="n">
        <v>1</v>
      </c>
      <c r="E1518" s="14" t="s">
        <v>1513</v>
      </c>
      <c r="F1518" s="7" t="n">
        <v>14000</v>
      </c>
    </row>
    <row r="1519" customFormat="false" ht="15" hidden="false" customHeight="false" outlineLevel="0" collapsed="false">
      <c r="A1519" s="2" t="s">
        <v>1512</v>
      </c>
      <c r="B1519" s="13" t="n">
        <v>46285</v>
      </c>
      <c r="C1519" s="2" t="s">
        <v>84</v>
      </c>
      <c r="D1519" s="2" t="n">
        <v>1</v>
      </c>
      <c r="E1519" s="14" t="s">
        <v>1513</v>
      </c>
      <c r="F1519" s="7" t="n">
        <v>5000</v>
      </c>
    </row>
    <row r="1520" customFormat="false" ht="15" hidden="false" customHeight="false" outlineLevel="0" collapsed="false">
      <c r="A1520" s="2" t="s">
        <v>1514</v>
      </c>
      <c r="B1520" s="13" t="n">
        <v>46285</v>
      </c>
      <c r="C1520" s="2" t="s">
        <v>101</v>
      </c>
      <c r="D1520" s="2" t="n">
        <v>1</v>
      </c>
      <c r="E1520" s="14" t="s">
        <v>277</v>
      </c>
      <c r="F1520" s="7" t="n">
        <v>18000</v>
      </c>
    </row>
    <row r="1521" customFormat="false" ht="15" hidden="false" customHeight="false" outlineLevel="0" collapsed="false">
      <c r="A1521" s="2" t="s">
        <v>1514</v>
      </c>
      <c r="B1521" s="13" t="n">
        <v>46285</v>
      </c>
      <c r="C1521" s="2" t="s">
        <v>81</v>
      </c>
      <c r="D1521" s="2" t="n">
        <v>1</v>
      </c>
      <c r="E1521" s="14" t="s">
        <v>277</v>
      </c>
      <c r="F1521" s="7" t="n">
        <v>15000</v>
      </c>
    </row>
    <row r="1522" customFormat="false" ht="15" hidden="false" customHeight="false" outlineLevel="0" collapsed="false">
      <c r="A1522" s="2" t="s">
        <v>1514</v>
      </c>
      <c r="B1522" s="13" t="n">
        <v>46285</v>
      </c>
      <c r="C1522" s="2" t="s">
        <v>186</v>
      </c>
      <c r="D1522" s="2" t="n">
        <v>1</v>
      </c>
      <c r="E1522" s="14" t="s">
        <v>277</v>
      </c>
      <c r="F1522" s="7" t="n">
        <v>70000</v>
      </c>
    </row>
    <row r="1523" customFormat="false" ht="15" hidden="false" customHeight="false" outlineLevel="0" collapsed="false">
      <c r="A1523" s="2" t="s">
        <v>1515</v>
      </c>
      <c r="B1523" s="13" t="n">
        <v>46285</v>
      </c>
      <c r="C1523" s="2" t="s">
        <v>132</v>
      </c>
      <c r="D1523" s="2" t="n">
        <v>1</v>
      </c>
      <c r="E1523" s="14" t="s">
        <v>1089</v>
      </c>
      <c r="F1523" s="7" t="n">
        <v>15000</v>
      </c>
    </row>
    <row r="1524" customFormat="false" ht="15" hidden="false" customHeight="false" outlineLevel="0" collapsed="false">
      <c r="A1524" s="2" t="s">
        <v>1516</v>
      </c>
      <c r="B1524" s="13" t="n">
        <v>46285</v>
      </c>
      <c r="C1524" s="2" t="s">
        <v>82</v>
      </c>
      <c r="D1524" s="2" t="n">
        <v>1</v>
      </c>
      <c r="E1524" s="14" t="s">
        <v>1089</v>
      </c>
      <c r="F1524" s="7" t="n">
        <v>13000</v>
      </c>
    </row>
    <row r="1525" customFormat="false" ht="15" hidden="false" customHeight="false" outlineLevel="0" collapsed="false">
      <c r="A1525" s="2" t="s">
        <v>1517</v>
      </c>
      <c r="B1525" s="13" t="n">
        <v>46285</v>
      </c>
      <c r="C1525" s="2" t="s">
        <v>101</v>
      </c>
      <c r="D1525" s="2" t="n">
        <v>2</v>
      </c>
      <c r="E1525" s="14" t="s">
        <v>1518</v>
      </c>
      <c r="F1525" s="7" t="n">
        <v>18000</v>
      </c>
    </row>
    <row r="1526" customFormat="false" ht="15" hidden="false" customHeight="false" outlineLevel="0" collapsed="false">
      <c r="A1526" s="2" t="s">
        <v>1517</v>
      </c>
      <c r="B1526" s="13" t="n">
        <v>46285</v>
      </c>
      <c r="C1526" s="2" t="s">
        <v>84</v>
      </c>
      <c r="D1526" s="2" t="n">
        <v>2</v>
      </c>
      <c r="E1526" s="14" t="s">
        <v>1518</v>
      </c>
      <c r="F1526" s="7" t="n">
        <v>5000</v>
      </c>
    </row>
    <row r="1527" customFormat="false" ht="15" hidden="false" customHeight="false" outlineLevel="0" collapsed="false">
      <c r="A1527" s="2" t="s">
        <v>1517</v>
      </c>
      <c r="B1527" s="13" t="n">
        <v>46285</v>
      </c>
      <c r="C1527" s="2" t="s">
        <v>79</v>
      </c>
      <c r="D1527" s="2" t="n">
        <v>1</v>
      </c>
      <c r="E1527" s="14" t="s">
        <v>1518</v>
      </c>
      <c r="F1527" s="7" t="n">
        <v>16000</v>
      </c>
    </row>
    <row r="1528" customFormat="false" ht="15" hidden="false" customHeight="false" outlineLevel="0" collapsed="false">
      <c r="A1528" s="2" t="s">
        <v>1519</v>
      </c>
      <c r="B1528" s="13" t="n">
        <v>46285</v>
      </c>
      <c r="C1528" s="2" t="s">
        <v>89</v>
      </c>
      <c r="D1528" s="2" t="n">
        <v>1</v>
      </c>
      <c r="E1528" s="14" t="s">
        <v>705</v>
      </c>
      <c r="F1528" s="7" t="n">
        <v>14000</v>
      </c>
    </row>
    <row r="1529" customFormat="false" ht="15" hidden="false" customHeight="false" outlineLevel="0" collapsed="false">
      <c r="A1529" s="2" t="s">
        <v>1520</v>
      </c>
      <c r="B1529" s="13" t="n">
        <v>46285</v>
      </c>
      <c r="C1529" s="2" t="s">
        <v>101</v>
      </c>
      <c r="D1529" s="2" t="n">
        <v>1</v>
      </c>
      <c r="E1529" s="14" t="s">
        <v>191</v>
      </c>
      <c r="F1529" s="7" t="n">
        <v>18000</v>
      </c>
    </row>
    <row r="1530" customFormat="false" ht="15" hidden="false" customHeight="false" outlineLevel="0" collapsed="false">
      <c r="A1530" s="2" t="s">
        <v>1521</v>
      </c>
      <c r="B1530" s="13" t="n">
        <v>46285</v>
      </c>
      <c r="C1530" s="2" t="s">
        <v>82</v>
      </c>
      <c r="D1530" s="2" t="n">
        <v>1</v>
      </c>
      <c r="E1530" s="14" t="s">
        <v>191</v>
      </c>
      <c r="F1530" s="7" t="n">
        <v>13000</v>
      </c>
    </row>
    <row r="1531" customFormat="false" ht="15" hidden="false" customHeight="false" outlineLevel="0" collapsed="false">
      <c r="A1531" s="2" t="s">
        <v>1521</v>
      </c>
      <c r="B1531" s="13" t="n">
        <v>46285</v>
      </c>
      <c r="C1531" s="2" t="s">
        <v>186</v>
      </c>
      <c r="D1531" s="2" t="n">
        <v>1</v>
      </c>
      <c r="E1531" s="14" t="s">
        <v>191</v>
      </c>
      <c r="F1531" s="7" t="n">
        <v>7000</v>
      </c>
    </row>
    <row r="1532" customFormat="false" ht="15" hidden="false" customHeight="false" outlineLevel="0" collapsed="false">
      <c r="A1532" s="2" t="s">
        <v>1522</v>
      </c>
      <c r="B1532" s="13" t="n">
        <v>46285</v>
      </c>
      <c r="C1532" s="2" t="s">
        <v>101</v>
      </c>
      <c r="D1532" s="2" t="n">
        <v>1</v>
      </c>
      <c r="E1532" s="14" t="s">
        <v>786</v>
      </c>
      <c r="F1532" s="7" t="n">
        <v>18000</v>
      </c>
    </row>
    <row r="1533" customFormat="false" ht="15" hidden="false" customHeight="false" outlineLevel="0" collapsed="false">
      <c r="A1533" s="2" t="s">
        <v>1522</v>
      </c>
      <c r="B1533" s="13" t="n">
        <v>46285</v>
      </c>
      <c r="C1533" s="2" t="s">
        <v>81</v>
      </c>
      <c r="D1533" s="2" t="n">
        <v>2</v>
      </c>
      <c r="E1533" s="14" t="s">
        <v>786</v>
      </c>
      <c r="F1533" s="7" t="n">
        <v>15000</v>
      </c>
    </row>
    <row r="1534" customFormat="false" ht="15" hidden="false" customHeight="false" outlineLevel="0" collapsed="false">
      <c r="A1534" s="2" t="s">
        <v>1522</v>
      </c>
      <c r="B1534" s="13" t="n">
        <v>46285</v>
      </c>
      <c r="C1534" s="2" t="s">
        <v>126</v>
      </c>
      <c r="D1534" s="2" t="n">
        <v>2</v>
      </c>
      <c r="E1534" s="14" t="s">
        <v>786</v>
      </c>
      <c r="F1534" s="7" t="n">
        <v>3000</v>
      </c>
    </row>
    <row r="1535" customFormat="false" ht="15" hidden="false" customHeight="false" outlineLevel="0" collapsed="false">
      <c r="A1535" s="2" t="s">
        <v>1523</v>
      </c>
      <c r="B1535" s="13" t="n">
        <v>46285</v>
      </c>
      <c r="C1535" s="2" t="s">
        <v>84</v>
      </c>
      <c r="D1535" s="2" t="n">
        <v>1</v>
      </c>
      <c r="E1535" s="14" t="s">
        <v>1383</v>
      </c>
      <c r="F1535" s="7" t="n">
        <v>5000</v>
      </c>
    </row>
    <row r="1536" customFormat="false" ht="15" hidden="false" customHeight="false" outlineLevel="0" collapsed="false">
      <c r="A1536" s="2" t="s">
        <v>1524</v>
      </c>
      <c r="B1536" s="13" t="n">
        <v>46285</v>
      </c>
      <c r="C1536" s="2" t="s">
        <v>112</v>
      </c>
      <c r="D1536" s="2" t="n">
        <v>1</v>
      </c>
      <c r="E1536" s="14" t="s">
        <v>1525</v>
      </c>
      <c r="F1536" s="7" t="n">
        <v>10000</v>
      </c>
    </row>
    <row r="1537" customFormat="false" ht="15" hidden="false" customHeight="false" outlineLevel="0" collapsed="false">
      <c r="A1537" s="2" t="s">
        <v>1524</v>
      </c>
      <c r="B1537" s="13" t="n">
        <v>46285</v>
      </c>
      <c r="C1537" s="2" t="s">
        <v>84</v>
      </c>
      <c r="D1537" s="2" t="n">
        <v>1</v>
      </c>
      <c r="E1537" s="14" t="s">
        <v>1525</v>
      </c>
      <c r="F1537" s="7" t="n">
        <v>5000</v>
      </c>
    </row>
    <row r="1538" customFormat="false" ht="15" hidden="false" customHeight="false" outlineLevel="0" collapsed="false">
      <c r="A1538" s="2" t="s">
        <v>1526</v>
      </c>
      <c r="B1538" s="13" t="n">
        <v>46285</v>
      </c>
      <c r="C1538" s="2" t="s">
        <v>89</v>
      </c>
      <c r="D1538" s="2" t="n">
        <v>1</v>
      </c>
      <c r="E1538" s="14" t="s">
        <v>1527</v>
      </c>
      <c r="F1538" s="7" t="n">
        <v>14000</v>
      </c>
    </row>
    <row r="1539" customFormat="false" ht="15" hidden="false" customHeight="false" outlineLevel="0" collapsed="false">
      <c r="A1539" s="2" t="s">
        <v>1528</v>
      </c>
      <c r="B1539" s="13" t="n">
        <v>46285</v>
      </c>
      <c r="C1539" s="2" t="s">
        <v>108</v>
      </c>
      <c r="D1539" s="2" t="n">
        <v>1</v>
      </c>
      <c r="E1539" s="14" t="s">
        <v>106</v>
      </c>
      <c r="F1539" s="7" t="n">
        <v>20000</v>
      </c>
    </row>
    <row r="1540" customFormat="false" ht="15" hidden="false" customHeight="false" outlineLevel="0" collapsed="false">
      <c r="A1540" s="2" t="s">
        <v>1529</v>
      </c>
      <c r="B1540" s="13" t="n">
        <v>46285</v>
      </c>
      <c r="C1540" s="2" t="s">
        <v>89</v>
      </c>
      <c r="D1540" s="2" t="n">
        <v>1</v>
      </c>
      <c r="E1540" s="14" t="s">
        <v>106</v>
      </c>
      <c r="F1540" s="7" t="n">
        <v>14000</v>
      </c>
    </row>
    <row r="1541" customFormat="false" ht="15" hidden="false" customHeight="false" outlineLevel="0" collapsed="false">
      <c r="A1541" s="2" t="s">
        <v>1529</v>
      </c>
      <c r="B1541" s="13" t="n">
        <v>46285</v>
      </c>
      <c r="C1541" s="2" t="s">
        <v>132</v>
      </c>
      <c r="D1541" s="2" t="n">
        <v>0</v>
      </c>
      <c r="E1541" s="14" t="s">
        <v>106</v>
      </c>
      <c r="F1541" s="7" t="n">
        <v>15000</v>
      </c>
    </row>
    <row r="1542" customFormat="false" ht="15" hidden="false" customHeight="false" outlineLevel="0" collapsed="false">
      <c r="A1542" s="2" t="s">
        <v>1529</v>
      </c>
      <c r="B1542" s="13" t="n">
        <v>46285</v>
      </c>
      <c r="C1542" s="2" t="s">
        <v>84</v>
      </c>
      <c r="D1542" s="2" t="n">
        <v>1</v>
      </c>
      <c r="E1542" s="14" t="s">
        <v>106</v>
      </c>
      <c r="F1542" s="7" t="n">
        <v>5000</v>
      </c>
    </row>
    <row r="1543" customFormat="false" ht="15" hidden="false" customHeight="false" outlineLevel="0" collapsed="false">
      <c r="A1543" s="2" t="s">
        <v>1530</v>
      </c>
      <c r="B1543" s="13" t="n">
        <v>46285</v>
      </c>
      <c r="C1543" s="2" t="s">
        <v>132</v>
      </c>
      <c r="D1543" s="2" t="n">
        <v>2</v>
      </c>
      <c r="E1543" s="14" t="s">
        <v>1531</v>
      </c>
      <c r="F1543" s="7" t="n">
        <v>15000</v>
      </c>
    </row>
    <row r="1544" customFormat="false" ht="15" hidden="false" customHeight="false" outlineLevel="0" collapsed="false">
      <c r="A1544" s="2" t="s">
        <v>1530</v>
      </c>
      <c r="B1544" s="13" t="n">
        <v>46285</v>
      </c>
      <c r="C1544" s="2" t="s">
        <v>108</v>
      </c>
      <c r="D1544" s="2" t="n">
        <v>1</v>
      </c>
      <c r="E1544" s="14" t="s">
        <v>1531</v>
      </c>
      <c r="F1544" s="7" t="n">
        <v>20000</v>
      </c>
    </row>
    <row r="1545" customFormat="false" ht="15" hidden="false" customHeight="false" outlineLevel="0" collapsed="false">
      <c r="A1545" s="2" t="s">
        <v>1532</v>
      </c>
      <c r="B1545" s="13" t="n">
        <v>46285</v>
      </c>
      <c r="C1545" s="2" t="s">
        <v>101</v>
      </c>
      <c r="D1545" s="2" t="n">
        <v>1</v>
      </c>
      <c r="E1545" s="14" t="s">
        <v>565</v>
      </c>
      <c r="F1545" s="7" t="n">
        <v>18000</v>
      </c>
    </row>
    <row r="1546" customFormat="false" ht="15" hidden="false" customHeight="false" outlineLevel="0" collapsed="false">
      <c r="A1546" s="2" t="s">
        <v>1533</v>
      </c>
      <c r="B1546" s="13" t="n">
        <v>46285</v>
      </c>
      <c r="C1546" s="2" t="s">
        <v>82</v>
      </c>
      <c r="D1546" s="2" t="n">
        <v>1</v>
      </c>
      <c r="E1546" s="14" t="s">
        <v>1534</v>
      </c>
      <c r="F1546" s="7" t="n">
        <v>13000</v>
      </c>
    </row>
    <row r="1547" customFormat="false" ht="15" hidden="false" customHeight="false" outlineLevel="0" collapsed="false">
      <c r="A1547" s="2" t="s">
        <v>1533</v>
      </c>
      <c r="B1547" s="13" t="n">
        <v>46285</v>
      </c>
      <c r="C1547" s="2" t="s">
        <v>84</v>
      </c>
      <c r="D1547" s="2" t="n">
        <v>1</v>
      </c>
      <c r="E1547" s="14" t="s">
        <v>1534</v>
      </c>
      <c r="F1547" s="7" t="n">
        <v>5000</v>
      </c>
    </row>
    <row r="1548" customFormat="false" ht="15" hidden="false" customHeight="false" outlineLevel="0" collapsed="false">
      <c r="A1548" s="2" t="s">
        <v>1535</v>
      </c>
      <c r="B1548" s="13" t="n">
        <v>46285</v>
      </c>
      <c r="C1548" s="2" t="s">
        <v>112</v>
      </c>
      <c r="D1548" s="2" t="n">
        <v>1</v>
      </c>
      <c r="E1548" s="14" t="s">
        <v>294</v>
      </c>
      <c r="F1548" s="7" t="n">
        <v>10000</v>
      </c>
    </row>
    <row r="1549" customFormat="false" ht="15" hidden="false" customHeight="false" outlineLevel="0" collapsed="false">
      <c r="A1549" s="2" t="s">
        <v>1536</v>
      </c>
      <c r="B1549" s="13" t="n">
        <v>46285</v>
      </c>
      <c r="C1549" s="2" t="s">
        <v>79</v>
      </c>
      <c r="D1549" s="2" t="n">
        <v>2</v>
      </c>
      <c r="E1549" s="14" t="s">
        <v>1537</v>
      </c>
      <c r="F1549" s="7" t="n">
        <v>16000</v>
      </c>
    </row>
    <row r="1550" customFormat="false" ht="15" hidden="false" customHeight="false" outlineLevel="0" collapsed="false">
      <c r="A1550" s="2" t="s">
        <v>1538</v>
      </c>
      <c r="B1550" s="13" t="n">
        <v>46285</v>
      </c>
      <c r="C1550" s="2" t="s">
        <v>84</v>
      </c>
      <c r="D1550" s="2" t="n">
        <v>1</v>
      </c>
      <c r="E1550" s="14" t="s">
        <v>658</v>
      </c>
      <c r="F1550" s="7" t="n">
        <v>5000</v>
      </c>
    </row>
    <row r="1551" customFormat="false" ht="15" hidden="false" customHeight="false" outlineLevel="0" collapsed="false">
      <c r="A1551" s="2" t="s">
        <v>1538</v>
      </c>
      <c r="B1551" s="13" t="n">
        <v>46285</v>
      </c>
      <c r="C1551" s="2" t="s">
        <v>81</v>
      </c>
      <c r="D1551" s="2" t="n">
        <v>1</v>
      </c>
      <c r="E1551" s="14" t="s">
        <v>658</v>
      </c>
      <c r="F1551" s="7" t="n">
        <v>15000</v>
      </c>
    </row>
    <row r="1552" customFormat="false" ht="15" hidden="false" customHeight="false" outlineLevel="0" collapsed="false">
      <c r="A1552" s="2" t="s">
        <v>1539</v>
      </c>
      <c r="B1552" s="13" t="n">
        <v>46285</v>
      </c>
      <c r="C1552" s="2" t="s">
        <v>126</v>
      </c>
      <c r="D1552" s="2" t="n">
        <v>1</v>
      </c>
      <c r="E1552" s="14" t="s">
        <v>660</v>
      </c>
      <c r="F1552" s="7" t="n">
        <v>3000</v>
      </c>
    </row>
    <row r="1553" customFormat="false" ht="15" hidden="false" customHeight="false" outlineLevel="0" collapsed="false">
      <c r="A1553" s="2" t="s">
        <v>1540</v>
      </c>
      <c r="B1553" s="13" t="n">
        <v>46285</v>
      </c>
      <c r="C1553" s="2" t="s">
        <v>89</v>
      </c>
      <c r="D1553" s="2" t="n">
        <v>-1</v>
      </c>
      <c r="E1553" s="14" t="s">
        <v>1541</v>
      </c>
      <c r="F1553" s="7" t="n">
        <v>14000</v>
      </c>
    </row>
    <row r="1554" customFormat="false" ht="15" hidden="false" customHeight="false" outlineLevel="0" collapsed="false">
      <c r="A1554" s="2" t="s">
        <v>1542</v>
      </c>
      <c r="B1554" s="13" t="n">
        <v>46285</v>
      </c>
      <c r="C1554" s="2" t="s">
        <v>79</v>
      </c>
      <c r="D1554" s="2" t="n">
        <v>2</v>
      </c>
      <c r="E1554" s="14" t="s">
        <v>1541</v>
      </c>
      <c r="F1554" s="7" t="n">
        <v>16000</v>
      </c>
    </row>
    <row r="1555" customFormat="false" ht="15" hidden="false" customHeight="false" outlineLevel="0" collapsed="false">
      <c r="A1555" s="2" t="s">
        <v>1542</v>
      </c>
      <c r="B1555" s="13" t="n">
        <v>46285</v>
      </c>
      <c r="C1555" s="2" t="s">
        <v>112</v>
      </c>
      <c r="D1555" s="2" t="n">
        <v>1</v>
      </c>
      <c r="E1555" s="14" t="s">
        <v>1541</v>
      </c>
      <c r="F1555" s="7" t="n">
        <v>10000</v>
      </c>
    </row>
    <row r="1556" customFormat="false" ht="15" hidden="false" customHeight="false" outlineLevel="0" collapsed="false">
      <c r="A1556" s="2" t="s">
        <v>1543</v>
      </c>
      <c r="B1556" s="13" t="n">
        <v>46285</v>
      </c>
      <c r="C1556" s="2" t="s">
        <v>79</v>
      </c>
      <c r="D1556" s="2" t="n">
        <v>1</v>
      </c>
      <c r="E1556" s="14" t="s">
        <v>575</v>
      </c>
      <c r="F1556" s="7" t="n">
        <v>16000</v>
      </c>
    </row>
    <row r="1557" customFormat="false" ht="15" hidden="false" customHeight="false" outlineLevel="0" collapsed="false">
      <c r="A1557" s="2" t="s">
        <v>1543</v>
      </c>
      <c r="B1557" s="13" t="n">
        <v>46285</v>
      </c>
      <c r="C1557" s="2" t="s">
        <v>89</v>
      </c>
      <c r="D1557" s="2" t="n">
        <v>1</v>
      </c>
      <c r="E1557" s="14" t="s">
        <v>575</v>
      </c>
      <c r="F1557" s="7" t="n">
        <v>14000</v>
      </c>
    </row>
    <row r="1558" customFormat="false" ht="15" hidden="false" customHeight="false" outlineLevel="0" collapsed="false">
      <c r="A1558" s="2" t="s">
        <v>1544</v>
      </c>
      <c r="B1558" s="13" t="n">
        <v>46285</v>
      </c>
      <c r="C1558" s="2" t="s">
        <v>89</v>
      </c>
      <c r="D1558" s="2" t="n">
        <v>1</v>
      </c>
      <c r="E1558" s="14" t="s">
        <v>308</v>
      </c>
      <c r="F1558" s="7" t="n">
        <v>14000</v>
      </c>
    </row>
    <row r="1559" customFormat="false" ht="15" hidden="false" customHeight="false" outlineLevel="0" collapsed="false">
      <c r="A1559" s="2" t="s">
        <v>1544</v>
      </c>
      <c r="B1559" s="13" t="n">
        <v>46285</v>
      </c>
      <c r="C1559" s="2" t="s">
        <v>186</v>
      </c>
      <c r="D1559" s="2" t="n">
        <v>1</v>
      </c>
      <c r="E1559" s="14" t="s">
        <v>308</v>
      </c>
      <c r="F1559" s="7" t="n">
        <v>7000</v>
      </c>
    </row>
    <row r="1560" customFormat="false" ht="15" hidden="false" customHeight="false" outlineLevel="0" collapsed="false">
      <c r="A1560" s="2" t="s">
        <v>1544</v>
      </c>
      <c r="B1560" s="13" t="n">
        <v>46285</v>
      </c>
      <c r="C1560" s="2" t="s">
        <v>92</v>
      </c>
      <c r="D1560" s="2" t="n">
        <v>1</v>
      </c>
      <c r="E1560" s="14" t="s">
        <v>308</v>
      </c>
      <c r="F1560" s="7" t="n">
        <v>4000</v>
      </c>
    </row>
    <row r="1561" customFormat="false" ht="15" hidden="false" customHeight="false" outlineLevel="0" collapsed="false">
      <c r="A1561" s="2" t="s">
        <v>1545</v>
      </c>
      <c r="B1561" s="13" t="n">
        <v>46285</v>
      </c>
      <c r="C1561" s="2" t="s">
        <v>81</v>
      </c>
      <c r="D1561" s="2" t="n">
        <v>1</v>
      </c>
      <c r="E1561" s="14" t="s">
        <v>588</v>
      </c>
      <c r="F1561" s="7" t="n">
        <v>15000</v>
      </c>
    </row>
    <row r="1562" customFormat="false" ht="15" hidden="false" customHeight="false" outlineLevel="0" collapsed="false">
      <c r="A1562" s="2" t="s">
        <v>1545</v>
      </c>
      <c r="B1562" s="13" t="n">
        <v>46285</v>
      </c>
      <c r="C1562" s="2" t="s">
        <v>89</v>
      </c>
      <c r="D1562" s="2" t="n">
        <v>1</v>
      </c>
      <c r="E1562" s="14" t="s">
        <v>588</v>
      </c>
      <c r="F1562" s="7" t="n">
        <v>14000</v>
      </c>
    </row>
    <row r="1563" customFormat="false" ht="15" hidden="false" customHeight="false" outlineLevel="0" collapsed="false">
      <c r="A1563" s="2" t="s">
        <v>1545</v>
      </c>
      <c r="B1563" s="13" t="n">
        <v>46285</v>
      </c>
      <c r="C1563" s="2" t="s">
        <v>101</v>
      </c>
      <c r="D1563" s="2" t="n">
        <v>1</v>
      </c>
      <c r="E1563" s="14" t="s">
        <v>588</v>
      </c>
      <c r="F1563" s="7" t="n">
        <v>18000</v>
      </c>
    </row>
    <row r="1564" customFormat="false" ht="15" hidden="false" customHeight="false" outlineLevel="0" collapsed="false">
      <c r="A1564" s="2" t="s">
        <v>1546</v>
      </c>
      <c r="B1564" s="13" t="n">
        <v>46285</v>
      </c>
      <c r="C1564" s="2" t="s">
        <v>81</v>
      </c>
      <c r="D1564" s="2" t="n">
        <v>1</v>
      </c>
      <c r="E1564" s="14" t="s">
        <v>673</v>
      </c>
      <c r="F1564" s="7" t="n">
        <v>15000</v>
      </c>
    </row>
    <row r="1565" customFormat="false" ht="15" hidden="false" customHeight="false" outlineLevel="0" collapsed="false">
      <c r="A1565" s="2" t="s">
        <v>1546</v>
      </c>
      <c r="B1565" s="13" t="n">
        <v>46285</v>
      </c>
      <c r="C1565" s="2" t="s">
        <v>132</v>
      </c>
      <c r="D1565" s="2" t="n">
        <v>2</v>
      </c>
      <c r="E1565" s="14" t="s">
        <v>673</v>
      </c>
      <c r="F1565" s="7" t="n">
        <v>15000</v>
      </c>
    </row>
    <row r="1566" customFormat="false" ht="15" hidden="false" customHeight="false" outlineLevel="0" collapsed="false">
      <c r="A1566" s="2" t="s">
        <v>1547</v>
      </c>
      <c r="B1566" s="13" t="n">
        <v>46285</v>
      </c>
      <c r="C1566" s="2" t="s">
        <v>186</v>
      </c>
      <c r="D1566" s="2" t="n">
        <v>1</v>
      </c>
      <c r="E1566" s="14" t="s">
        <v>908</v>
      </c>
      <c r="F1566" s="7" t="n">
        <v>7000</v>
      </c>
    </row>
    <row r="1567" customFormat="false" ht="15" hidden="false" customHeight="false" outlineLevel="0" collapsed="false">
      <c r="A1567" s="2" t="s">
        <v>1547</v>
      </c>
      <c r="B1567" s="13" t="n">
        <v>46285</v>
      </c>
      <c r="C1567" s="2" t="s">
        <v>84</v>
      </c>
      <c r="D1567" s="2" t="n">
        <v>2</v>
      </c>
      <c r="E1567" s="14" t="s">
        <v>908</v>
      </c>
      <c r="F1567" s="7" t="n">
        <v>5000</v>
      </c>
    </row>
    <row r="1568" customFormat="false" ht="15" hidden="false" customHeight="false" outlineLevel="0" collapsed="false">
      <c r="A1568" s="2" t="s">
        <v>1548</v>
      </c>
      <c r="B1568" s="13" t="n">
        <v>46285</v>
      </c>
      <c r="C1568" s="2" t="s">
        <v>186</v>
      </c>
      <c r="D1568" s="2" t="n">
        <v>1</v>
      </c>
      <c r="E1568" s="14" t="s">
        <v>150</v>
      </c>
      <c r="F1568" s="7" t="n">
        <v>7000</v>
      </c>
    </row>
    <row r="1569" customFormat="false" ht="15" hidden="false" customHeight="false" outlineLevel="0" collapsed="false">
      <c r="A1569" s="2" t="s">
        <v>1549</v>
      </c>
      <c r="B1569" s="13" t="n">
        <v>46285</v>
      </c>
      <c r="C1569" s="2" t="s">
        <v>946</v>
      </c>
      <c r="D1569" s="2" t="n">
        <v>1</v>
      </c>
      <c r="E1569" s="14" t="s">
        <v>677</v>
      </c>
      <c r="F1569" s="7" t="n">
        <v>18000</v>
      </c>
    </row>
    <row r="1570" customFormat="false" ht="15" hidden="false" customHeight="false" outlineLevel="0" collapsed="false">
      <c r="A1570" s="2" t="s">
        <v>1549</v>
      </c>
      <c r="B1570" s="13" t="n">
        <v>46285</v>
      </c>
      <c r="C1570" s="2" t="s">
        <v>414</v>
      </c>
      <c r="D1570" s="2" t="n">
        <v>1</v>
      </c>
      <c r="E1570" s="14" t="s">
        <v>677</v>
      </c>
      <c r="F1570" s="7" t="n">
        <v>15000</v>
      </c>
    </row>
    <row r="1571" customFormat="false" ht="15" hidden="false" customHeight="false" outlineLevel="0" collapsed="false">
      <c r="A1571" s="2" t="s">
        <v>1550</v>
      </c>
      <c r="B1571" s="13" t="n">
        <v>46285</v>
      </c>
      <c r="C1571" s="2" t="s">
        <v>84</v>
      </c>
      <c r="D1571" s="2" t="n">
        <v>1</v>
      </c>
      <c r="E1571" s="14" t="s">
        <v>405</v>
      </c>
      <c r="F1571" s="7" t="n">
        <v>5000</v>
      </c>
    </row>
    <row r="1572" customFormat="false" ht="15" hidden="false" customHeight="false" outlineLevel="0" collapsed="false">
      <c r="A1572" s="2" t="s">
        <v>1551</v>
      </c>
      <c r="B1572" s="13" t="n">
        <v>46285</v>
      </c>
      <c r="C1572" s="2" t="s">
        <v>101</v>
      </c>
      <c r="D1572" s="2" t="n">
        <v>1</v>
      </c>
      <c r="E1572" s="14" t="s">
        <v>518</v>
      </c>
      <c r="F1572" s="7" t="n">
        <v>18000</v>
      </c>
    </row>
    <row r="1573" customFormat="false" ht="15" hidden="false" customHeight="false" outlineLevel="0" collapsed="false">
      <c r="A1573" s="2" t="s">
        <v>1551</v>
      </c>
      <c r="B1573" s="13" t="n">
        <v>46285</v>
      </c>
      <c r="C1573" s="2" t="s">
        <v>186</v>
      </c>
      <c r="D1573" s="2" t="n">
        <v>1</v>
      </c>
      <c r="E1573" s="14" t="s">
        <v>518</v>
      </c>
      <c r="F1573" s="7" t="n">
        <v>7000</v>
      </c>
    </row>
    <row r="1574" customFormat="false" ht="15" hidden="false" customHeight="false" outlineLevel="0" collapsed="false">
      <c r="A1574" s="2" t="s">
        <v>1552</v>
      </c>
      <c r="B1574" s="13" t="n">
        <v>46285</v>
      </c>
      <c r="C1574" s="2" t="s">
        <v>81</v>
      </c>
      <c r="D1574" s="2" t="n">
        <v>1</v>
      </c>
      <c r="E1574" s="14" t="s">
        <v>245</v>
      </c>
      <c r="F1574" s="7" t="n">
        <v>15000</v>
      </c>
    </row>
    <row r="1575" customFormat="false" ht="15" hidden="false" customHeight="false" outlineLevel="0" collapsed="false">
      <c r="A1575" s="2" t="s">
        <v>1553</v>
      </c>
      <c r="B1575" s="13" t="n">
        <v>46285</v>
      </c>
      <c r="C1575" s="2" t="s">
        <v>84</v>
      </c>
      <c r="D1575" s="2" t="n">
        <v>1</v>
      </c>
      <c r="E1575" s="14" t="s">
        <v>602</v>
      </c>
      <c r="F1575" s="7" t="n">
        <v>5000</v>
      </c>
    </row>
    <row r="1576" customFormat="false" ht="15" hidden="false" customHeight="false" outlineLevel="0" collapsed="false">
      <c r="A1576" s="2" t="s">
        <v>1553</v>
      </c>
      <c r="B1576" s="13" t="n">
        <v>46285</v>
      </c>
      <c r="C1576" s="2" t="s">
        <v>101</v>
      </c>
      <c r="D1576" s="2" t="n">
        <v>2</v>
      </c>
      <c r="E1576" s="14" t="s">
        <v>602</v>
      </c>
      <c r="F1576" s="7" t="n">
        <v>18000</v>
      </c>
    </row>
    <row r="1577" customFormat="false" ht="15" hidden="false" customHeight="false" outlineLevel="0" collapsed="false">
      <c r="A1577" s="2" t="s">
        <v>1554</v>
      </c>
      <c r="B1577" s="13" t="n">
        <v>46285</v>
      </c>
      <c r="C1577" s="2" t="s">
        <v>101</v>
      </c>
      <c r="D1577" s="2" t="n">
        <v>1</v>
      </c>
      <c r="E1577" s="14" t="s">
        <v>152</v>
      </c>
      <c r="F1577" s="7" t="n">
        <v>18000</v>
      </c>
    </row>
    <row r="1578" customFormat="false" ht="15" hidden="false" customHeight="false" outlineLevel="0" collapsed="false">
      <c r="A1578" s="2" t="s">
        <v>1555</v>
      </c>
      <c r="B1578" s="13" t="n">
        <v>46285</v>
      </c>
      <c r="C1578" s="2" t="s">
        <v>79</v>
      </c>
      <c r="D1578" s="2" t="n">
        <v>1</v>
      </c>
      <c r="E1578" s="14" t="s">
        <v>683</v>
      </c>
      <c r="F1578" s="7"/>
    </row>
    <row r="1579" customFormat="false" ht="15" hidden="false" customHeight="false" outlineLevel="0" collapsed="false">
      <c r="A1579" s="2" t="s">
        <v>1555</v>
      </c>
      <c r="B1579" s="13" t="n">
        <v>46285</v>
      </c>
      <c r="C1579" s="2" t="s">
        <v>81</v>
      </c>
      <c r="D1579" s="2" t="n">
        <v>1</v>
      </c>
      <c r="E1579" s="14" t="s">
        <v>683</v>
      </c>
      <c r="F1579" s="7" t="n">
        <v>15000</v>
      </c>
    </row>
    <row r="1580" customFormat="false" ht="15" hidden="false" customHeight="false" outlineLevel="0" collapsed="false">
      <c r="A1580" s="2" t="s">
        <v>1556</v>
      </c>
      <c r="B1580" s="13" t="n">
        <v>46285</v>
      </c>
      <c r="C1580" s="2" t="s">
        <v>101</v>
      </c>
      <c r="D1580" s="2" t="n">
        <v>1</v>
      </c>
      <c r="E1580" s="14" t="s">
        <v>158</v>
      </c>
      <c r="F1580" s="7" t="n">
        <v>18000</v>
      </c>
    </row>
    <row r="1581" customFormat="false" ht="15" hidden="false" customHeight="false" outlineLevel="0" collapsed="false">
      <c r="A1581" s="2" t="s">
        <v>1557</v>
      </c>
      <c r="B1581" s="13" t="n">
        <v>46285</v>
      </c>
      <c r="C1581" s="2" t="s">
        <v>81</v>
      </c>
      <c r="D1581" s="2" t="n">
        <v>1</v>
      </c>
      <c r="E1581" s="14" t="s">
        <v>605</v>
      </c>
      <c r="F1581" s="7" t="n">
        <v>15000</v>
      </c>
    </row>
    <row r="1582" customFormat="false" ht="15" hidden="false" customHeight="false" outlineLevel="0" collapsed="false">
      <c r="A1582" s="2" t="s">
        <v>1558</v>
      </c>
      <c r="B1582" s="13" t="n">
        <v>46285</v>
      </c>
      <c r="C1582" s="2" t="s">
        <v>101</v>
      </c>
      <c r="D1582" s="2" t="n">
        <v>1</v>
      </c>
      <c r="E1582" s="14" t="s">
        <v>1418</v>
      </c>
      <c r="F1582" s="7" t="n">
        <v>18000</v>
      </c>
    </row>
    <row r="1583" customFormat="false" ht="15" hidden="false" customHeight="false" outlineLevel="0" collapsed="false">
      <c r="A1583" s="2" t="s">
        <v>1559</v>
      </c>
      <c r="B1583" s="13" t="n">
        <v>46285</v>
      </c>
      <c r="C1583" s="2" t="s">
        <v>186</v>
      </c>
      <c r="D1583" s="2" t="n">
        <v>2</v>
      </c>
      <c r="E1583" s="14" t="s">
        <v>685</v>
      </c>
      <c r="F1583" s="7" t="n">
        <v>7000</v>
      </c>
    </row>
    <row r="1584" customFormat="false" ht="15" hidden="false" customHeight="false" outlineLevel="0" collapsed="false">
      <c r="A1584" s="2" t="s">
        <v>1559</v>
      </c>
      <c r="B1584" s="13" t="n">
        <v>46285</v>
      </c>
      <c r="C1584" s="2" t="s">
        <v>89</v>
      </c>
      <c r="D1584" s="2" t="n">
        <v>1</v>
      </c>
      <c r="E1584" s="14" t="s">
        <v>685</v>
      </c>
      <c r="F1584" s="7" t="n">
        <v>14000</v>
      </c>
    </row>
    <row r="1585" customFormat="false" ht="15" hidden="false" customHeight="false" outlineLevel="0" collapsed="false">
      <c r="A1585" s="2" t="s">
        <v>1560</v>
      </c>
      <c r="B1585" s="13" t="n">
        <v>46285</v>
      </c>
      <c r="C1585" s="2" t="s">
        <v>84</v>
      </c>
      <c r="D1585" s="2" t="n">
        <v>2</v>
      </c>
      <c r="E1585" s="14" t="s">
        <v>525</v>
      </c>
      <c r="F1585" s="7" t="n">
        <v>5000</v>
      </c>
    </row>
    <row r="1586" customFormat="false" ht="15" hidden="false" customHeight="false" outlineLevel="0" collapsed="false">
      <c r="A1586" s="2" t="s">
        <v>1560</v>
      </c>
      <c r="B1586" s="13" t="n">
        <v>46285</v>
      </c>
      <c r="C1586" s="2" t="s">
        <v>112</v>
      </c>
      <c r="D1586" s="2" t="n">
        <v>1</v>
      </c>
      <c r="E1586" s="14" t="s">
        <v>525</v>
      </c>
      <c r="F1586" s="7" t="n">
        <v>10000</v>
      </c>
    </row>
    <row r="1587" customFormat="false" ht="15" hidden="false" customHeight="false" outlineLevel="0" collapsed="false">
      <c r="A1587" s="2" t="s">
        <v>1561</v>
      </c>
      <c r="B1587" s="13" t="n">
        <v>46285</v>
      </c>
      <c r="C1587" s="2" t="s">
        <v>84</v>
      </c>
      <c r="D1587" s="2" t="n">
        <v>1</v>
      </c>
      <c r="E1587" s="14" t="s">
        <v>1257</v>
      </c>
      <c r="F1587" s="7" t="n">
        <v>5000</v>
      </c>
    </row>
    <row r="1588" customFormat="false" ht="15" hidden="false" customHeight="false" outlineLevel="0" collapsed="false">
      <c r="A1588" s="2" t="s">
        <v>1561</v>
      </c>
      <c r="B1588" s="13" t="n">
        <v>46285</v>
      </c>
      <c r="C1588" s="2" t="s">
        <v>81</v>
      </c>
      <c r="D1588" s="2" t="n">
        <v>1</v>
      </c>
      <c r="E1588" s="14" t="s">
        <v>1257</v>
      </c>
      <c r="F1588" s="7" t="n">
        <v>15000</v>
      </c>
    </row>
    <row r="1589" customFormat="false" ht="15" hidden="false" customHeight="false" outlineLevel="0" collapsed="false">
      <c r="A1589" s="2" t="s">
        <v>1561</v>
      </c>
      <c r="B1589" s="13" t="n">
        <v>46285</v>
      </c>
      <c r="C1589" s="2" t="s">
        <v>79</v>
      </c>
      <c r="D1589" s="2" t="n">
        <v>1</v>
      </c>
      <c r="E1589" s="14" t="s">
        <v>1257</v>
      </c>
      <c r="F1589" s="7" t="n">
        <v>16000</v>
      </c>
    </row>
    <row r="1590" customFormat="false" ht="15" hidden="false" customHeight="false" outlineLevel="0" collapsed="false">
      <c r="A1590" s="2" t="s">
        <v>1562</v>
      </c>
      <c r="B1590" s="13" t="n">
        <v>46285</v>
      </c>
      <c r="C1590" s="2" t="s">
        <v>101</v>
      </c>
      <c r="D1590" s="2" t="n">
        <v>1</v>
      </c>
      <c r="E1590" s="14" t="s">
        <v>1315</v>
      </c>
      <c r="F1590" s="7" t="n">
        <v>18000</v>
      </c>
    </row>
    <row r="1591" customFormat="false" ht="15" hidden="false" customHeight="false" outlineLevel="0" collapsed="false">
      <c r="A1591" s="2" t="s">
        <v>1563</v>
      </c>
      <c r="B1591" s="13" t="n">
        <v>46285</v>
      </c>
      <c r="C1591" s="2" t="s">
        <v>126</v>
      </c>
      <c r="D1591" s="2" t="n">
        <v>1</v>
      </c>
      <c r="E1591" s="14" t="s">
        <v>1564</v>
      </c>
      <c r="F1591" s="7" t="n">
        <v>3000</v>
      </c>
    </row>
    <row r="1592" customFormat="false" ht="15" hidden="false" customHeight="false" outlineLevel="0" collapsed="false">
      <c r="A1592" s="2" t="s">
        <v>1565</v>
      </c>
      <c r="B1592" s="13" t="n">
        <v>46286</v>
      </c>
      <c r="C1592" s="2" t="s">
        <v>132</v>
      </c>
      <c r="D1592" s="2" t="n">
        <v>1</v>
      </c>
      <c r="E1592" s="14" t="s">
        <v>1566</v>
      </c>
      <c r="F1592" s="7" t="n">
        <v>15000</v>
      </c>
    </row>
    <row r="1593" customFormat="false" ht="15" hidden="false" customHeight="false" outlineLevel="0" collapsed="false">
      <c r="A1593" s="2" t="s">
        <v>1565</v>
      </c>
      <c r="B1593" s="13" t="n">
        <v>46286</v>
      </c>
      <c r="C1593" s="2" t="s">
        <v>89</v>
      </c>
      <c r="D1593" s="2" t="n">
        <v>1</v>
      </c>
      <c r="E1593" s="14" t="s">
        <v>1566</v>
      </c>
      <c r="F1593" s="7" t="n">
        <v>14000</v>
      </c>
    </row>
    <row r="1594" customFormat="false" ht="15" hidden="false" customHeight="false" outlineLevel="0" collapsed="false">
      <c r="A1594" s="2" t="s">
        <v>1567</v>
      </c>
      <c r="B1594" s="13" t="n">
        <v>46286</v>
      </c>
      <c r="C1594" s="2" t="s">
        <v>81</v>
      </c>
      <c r="D1594" s="2" t="n">
        <v>2</v>
      </c>
      <c r="E1594" s="14" t="s">
        <v>1568</v>
      </c>
      <c r="F1594" s="7" t="n">
        <v>15000</v>
      </c>
    </row>
    <row r="1595" customFormat="false" ht="15" hidden="false" customHeight="false" outlineLevel="0" collapsed="false">
      <c r="A1595" s="2" t="s">
        <v>1567</v>
      </c>
      <c r="B1595" s="13" t="n">
        <v>46286</v>
      </c>
      <c r="C1595" s="2" t="s">
        <v>132</v>
      </c>
      <c r="D1595" s="2" t="n">
        <v>1</v>
      </c>
      <c r="E1595" s="14" t="s">
        <v>1568</v>
      </c>
      <c r="F1595" s="7" t="n">
        <v>15000</v>
      </c>
    </row>
    <row r="1596" customFormat="false" ht="15" hidden="false" customHeight="false" outlineLevel="0" collapsed="false">
      <c r="A1596" s="2" t="s">
        <v>1569</v>
      </c>
      <c r="B1596" s="13" t="n">
        <v>46286</v>
      </c>
      <c r="C1596" s="2" t="s">
        <v>126</v>
      </c>
      <c r="D1596" s="2" t="n">
        <v>2</v>
      </c>
      <c r="E1596" s="14" t="s">
        <v>1570</v>
      </c>
      <c r="F1596" s="7" t="n">
        <v>3000</v>
      </c>
    </row>
    <row r="1597" customFormat="false" ht="15" hidden="false" customHeight="false" outlineLevel="0" collapsed="false">
      <c r="A1597" s="2" t="s">
        <v>1571</v>
      </c>
      <c r="B1597" s="13" t="n">
        <v>46286</v>
      </c>
      <c r="C1597" s="2" t="s">
        <v>84</v>
      </c>
      <c r="D1597" s="2" t="n">
        <v>2</v>
      </c>
      <c r="E1597" s="14" t="s">
        <v>1572</v>
      </c>
      <c r="F1597" s="7" t="n">
        <v>5000</v>
      </c>
    </row>
    <row r="1598" customFormat="false" ht="15" hidden="false" customHeight="false" outlineLevel="0" collapsed="false">
      <c r="A1598" s="2" t="s">
        <v>1573</v>
      </c>
      <c r="B1598" s="13" t="n">
        <v>46286</v>
      </c>
      <c r="C1598" s="2" t="s">
        <v>101</v>
      </c>
      <c r="D1598" s="2" t="n">
        <v>1</v>
      </c>
      <c r="E1598" s="14" t="s">
        <v>1574</v>
      </c>
      <c r="F1598" s="7" t="n">
        <v>18000</v>
      </c>
    </row>
    <row r="1599" customFormat="false" ht="15" hidden="false" customHeight="false" outlineLevel="0" collapsed="false">
      <c r="A1599" s="2" t="s">
        <v>1573</v>
      </c>
      <c r="B1599" s="13" t="n">
        <v>46286</v>
      </c>
      <c r="C1599" s="2" t="s">
        <v>89</v>
      </c>
      <c r="D1599" s="2" t="n">
        <v>3</v>
      </c>
      <c r="E1599" s="14" t="s">
        <v>1575</v>
      </c>
      <c r="F1599" s="7" t="n">
        <v>14000</v>
      </c>
    </row>
    <row r="1600" customFormat="false" ht="15" hidden="false" customHeight="false" outlineLevel="0" collapsed="false">
      <c r="A1600" s="2" t="s">
        <v>1576</v>
      </c>
      <c r="B1600" s="13" t="n">
        <v>46286</v>
      </c>
      <c r="C1600" s="2" t="s">
        <v>84</v>
      </c>
      <c r="D1600" s="2" t="n">
        <v>1</v>
      </c>
      <c r="E1600" s="14" t="s">
        <v>1436</v>
      </c>
      <c r="F1600" s="7" t="n">
        <v>5000</v>
      </c>
    </row>
    <row r="1601" customFormat="false" ht="15" hidden="false" customHeight="false" outlineLevel="0" collapsed="false">
      <c r="A1601" s="2" t="s">
        <v>1577</v>
      </c>
      <c r="B1601" s="13" t="n">
        <v>46286</v>
      </c>
      <c r="C1601" s="2" t="s">
        <v>81</v>
      </c>
      <c r="D1601" s="2" t="n">
        <v>1</v>
      </c>
      <c r="E1601" s="14" t="s">
        <v>1578</v>
      </c>
      <c r="F1601" s="7" t="n">
        <v>15000</v>
      </c>
    </row>
    <row r="1602" customFormat="false" ht="15" hidden="false" customHeight="false" outlineLevel="0" collapsed="false">
      <c r="A1602" s="2" t="s">
        <v>1577</v>
      </c>
      <c r="B1602" s="13" t="n">
        <v>46286</v>
      </c>
      <c r="C1602" s="2" t="s">
        <v>132</v>
      </c>
      <c r="D1602" s="2" t="n">
        <v>1</v>
      </c>
      <c r="E1602" s="14" t="s">
        <v>1578</v>
      </c>
      <c r="F1602" s="7" t="n">
        <v>15000</v>
      </c>
    </row>
    <row r="1603" customFormat="false" ht="15" hidden="false" customHeight="false" outlineLevel="0" collapsed="false">
      <c r="A1603" s="2" t="s">
        <v>1579</v>
      </c>
      <c r="B1603" s="13" t="n">
        <v>46286</v>
      </c>
      <c r="C1603" s="2" t="s">
        <v>89</v>
      </c>
      <c r="D1603" s="2" t="n">
        <v>1</v>
      </c>
      <c r="E1603" s="14" t="s">
        <v>1580</v>
      </c>
      <c r="F1603" s="7" t="n">
        <v>14000</v>
      </c>
    </row>
    <row r="1604" customFormat="false" ht="15" hidden="false" customHeight="false" outlineLevel="0" collapsed="false">
      <c r="A1604" s="2" t="s">
        <v>1581</v>
      </c>
      <c r="B1604" s="13" t="n">
        <v>46286</v>
      </c>
      <c r="C1604" s="2" t="s">
        <v>79</v>
      </c>
      <c r="D1604" s="2" t="n">
        <v>1</v>
      </c>
      <c r="E1604" s="14" t="s">
        <v>440</v>
      </c>
      <c r="F1604" s="7" t="n">
        <v>16000</v>
      </c>
    </row>
    <row r="1605" customFormat="false" ht="15" hidden="false" customHeight="false" outlineLevel="0" collapsed="false">
      <c r="A1605" s="2" t="s">
        <v>1581</v>
      </c>
      <c r="B1605" s="13" t="n">
        <v>46286</v>
      </c>
      <c r="C1605" s="2" t="s">
        <v>132</v>
      </c>
      <c r="D1605" s="2" t="n">
        <v>3</v>
      </c>
      <c r="E1605" s="14" t="s">
        <v>440</v>
      </c>
      <c r="F1605" s="7" t="n">
        <v>15000</v>
      </c>
    </row>
    <row r="1606" customFormat="false" ht="15" hidden="false" customHeight="false" outlineLevel="0" collapsed="false">
      <c r="A1606" s="2" t="s">
        <v>1581</v>
      </c>
      <c r="B1606" s="13" t="n">
        <v>46286</v>
      </c>
      <c r="C1606" s="2" t="s">
        <v>81</v>
      </c>
      <c r="D1606" s="2" t="n">
        <v>2</v>
      </c>
      <c r="E1606" s="14" t="s">
        <v>440</v>
      </c>
      <c r="F1606" s="7" t="n">
        <v>15000</v>
      </c>
    </row>
    <row r="1607" customFormat="false" ht="15" hidden="false" customHeight="false" outlineLevel="0" collapsed="false">
      <c r="A1607" s="2" t="s">
        <v>1582</v>
      </c>
      <c r="B1607" s="13" t="n">
        <v>46286</v>
      </c>
      <c r="C1607" s="2" t="s">
        <v>132</v>
      </c>
      <c r="D1607" s="2" t="n">
        <v>1</v>
      </c>
      <c r="E1607" s="14" t="s">
        <v>852</v>
      </c>
      <c r="F1607" s="7" t="n">
        <v>15000</v>
      </c>
    </row>
    <row r="1608" customFormat="false" ht="15" hidden="false" customHeight="false" outlineLevel="0" collapsed="false">
      <c r="A1608" s="2" t="s">
        <v>1582</v>
      </c>
      <c r="B1608" s="13" t="n">
        <v>46286</v>
      </c>
      <c r="C1608" s="2" t="s">
        <v>79</v>
      </c>
      <c r="D1608" s="2" t="n">
        <v>1</v>
      </c>
      <c r="E1608" s="14" t="s">
        <v>852</v>
      </c>
      <c r="F1608" s="7" t="n">
        <v>16000</v>
      </c>
    </row>
    <row r="1609" customFormat="false" ht="15" hidden="false" customHeight="false" outlineLevel="0" collapsed="false">
      <c r="A1609" s="2" t="s">
        <v>1583</v>
      </c>
      <c r="B1609" s="13" t="n">
        <v>46286</v>
      </c>
      <c r="C1609" s="2" t="s">
        <v>101</v>
      </c>
      <c r="D1609" s="2" t="n">
        <v>2</v>
      </c>
      <c r="E1609" s="14" t="s">
        <v>1008</v>
      </c>
      <c r="F1609" s="7" t="n">
        <v>18000</v>
      </c>
    </row>
    <row r="1610" customFormat="false" ht="15" hidden="false" customHeight="false" outlineLevel="0" collapsed="false">
      <c r="A1610" s="2" t="s">
        <v>1584</v>
      </c>
      <c r="B1610" s="13" t="n">
        <v>46286</v>
      </c>
      <c r="C1610" s="2" t="s">
        <v>186</v>
      </c>
      <c r="D1610" s="2" t="n">
        <v>1</v>
      </c>
      <c r="E1610" s="14" t="s">
        <v>181</v>
      </c>
      <c r="F1610" s="7" t="n">
        <v>7000</v>
      </c>
    </row>
    <row r="1611" customFormat="false" ht="15" hidden="false" customHeight="false" outlineLevel="0" collapsed="false">
      <c r="A1611" s="2" t="s">
        <v>1585</v>
      </c>
      <c r="B1611" s="13" t="n">
        <v>46286</v>
      </c>
      <c r="C1611" s="2" t="s">
        <v>81</v>
      </c>
      <c r="D1611" s="2" t="n">
        <v>2</v>
      </c>
      <c r="E1611" s="14" t="s">
        <v>1586</v>
      </c>
      <c r="F1611" s="7" t="n">
        <v>15000</v>
      </c>
    </row>
    <row r="1612" customFormat="false" ht="15" hidden="false" customHeight="false" outlineLevel="0" collapsed="false">
      <c r="A1612" s="2" t="s">
        <v>1585</v>
      </c>
      <c r="B1612" s="13" t="n">
        <v>46286</v>
      </c>
      <c r="C1612" s="2" t="s">
        <v>79</v>
      </c>
      <c r="D1612" s="2" t="n">
        <v>2</v>
      </c>
      <c r="E1612" s="14" t="s">
        <v>1586</v>
      </c>
      <c r="F1612" s="7" t="n">
        <v>16000</v>
      </c>
    </row>
    <row r="1613" customFormat="false" ht="15" hidden="false" customHeight="false" outlineLevel="0" collapsed="false">
      <c r="A1613" s="2" t="s">
        <v>1587</v>
      </c>
      <c r="B1613" s="13" t="n">
        <v>46286</v>
      </c>
      <c r="C1613" s="2" t="s">
        <v>84</v>
      </c>
      <c r="D1613" s="2" t="n">
        <v>3</v>
      </c>
      <c r="E1613" s="14" t="s">
        <v>189</v>
      </c>
      <c r="F1613" s="7" t="n">
        <v>5000</v>
      </c>
    </row>
    <row r="1614" customFormat="false" ht="15" hidden="false" customHeight="false" outlineLevel="0" collapsed="false">
      <c r="A1614" s="2" t="s">
        <v>1588</v>
      </c>
      <c r="B1614" s="13" t="n">
        <v>46286</v>
      </c>
      <c r="C1614" s="2" t="s">
        <v>84</v>
      </c>
      <c r="D1614" s="2" t="n">
        <v>2</v>
      </c>
      <c r="E1614" s="14" t="s">
        <v>1024</v>
      </c>
      <c r="F1614" s="7" t="n">
        <v>5000</v>
      </c>
    </row>
    <row r="1615" customFormat="false" ht="15" hidden="false" customHeight="false" outlineLevel="0" collapsed="false">
      <c r="A1615" s="2" t="s">
        <v>1588</v>
      </c>
      <c r="B1615" s="13" t="n">
        <v>46286</v>
      </c>
      <c r="C1615" s="2" t="s">
        <v>101</v>
      </c>
      <c r="D1615" s="2" t="n">
        <v>1</v>
      </c>
      <c r="E1615" s="14" t="s">
        <v>1024</v>
      </c>
      <c r="F1615" s="7" t="n">
        <v>18000</v>
      </c>
    </row>
    <row r="1616" customFormat="false" ht="15" hidden="false" customHeight="false" outlineLevel="0" collapsed="false">
      <c r="A1616" s="2" t="s">
        <v>1588</v>
      </c>
      <c r="B1616" s="13" t="n">
        <v>46286</v>
      </c>
      <c r="C1616" s="2" t="s">
        <v>92</v>
      </c>
      <c r="D1616" s="2" t="n">
        <v>1</v>
      </c>
      <c r="E1616" s="14" t="s">
        <v>1024</v>
      </c>
      <c r="F1616" s="7" t="n">
        <v>4000</v>
      </c>
    </row>
    <row r="1617" customFormat="false" ht="15" hidden="false" customHeight="false" outlineLevel="0" collapsed="false">
      <c r="A1617" s="2" t="s">
        <v>1589</v>
      </c>
      <c r="B1617" s="13" t="n">
        <v>46286</v>
      </c>
      <c r="C1617" s="2" t="s">
        <v>84</v>
      </c>
      <c r="D1617" s="2" t="n">
        <v>1</v>
      </c>
      <c r="E1617" s="14" t="s">
        <v>1590</v>
      </c>
      <c r="F1617" s="7" t="n">
        <v>5000</v>
      </c>
    </row>
    <row r="1618" customFormat="false" ht="15" hidden="false" customHeight="false" outlineLevel="0" collapsed="false">
      <c r="A1618" s="2" t="s">
        <v>1589</v>
      </c>
      <c r="B1618" s="13" t="n">
        <v>46286</v>
      </c>
      <c r="C1618" s="2" t="s">
        <v>101</v>
      </c>
      <c r="D1618" s="2" t="n">
        <v>1</v>
      </c>
      <c r="E1618" s="14" t="s">
        <v>1590</v>
      </c>
      <c r="F1618" s="7" t="n">
        <v>18000</v>
      </c>
    </row>
    <row r="1619" customFormat="false" ht="15" hidden="false" customHeight="false" outlineLevel="0" collapsed="false">
      <c r="A1619" s="2" t="s">
        <v>1591</v>
      </c>
      <c r="B1619" s="13" t="n">
        <v>46286</v>
      </c>
      <c r="C1619" s="2" t="s">
        <v>101</v>
      </c>
      <c r="D1619" s="2" t="n">
        <v>2</v>
      </c>
      <c r="E1619" s="14" t="s">
        <v>474</v>
      </c>
      <c r="F1619" s="7" t="n">
        <v>18000</v>
      </c>
    </row>
    <row r="1620" customFormat="false" ht="15" hidden="false" customHeight="false" outlineLevel="0" collapsed="false">
      <c r="A1620" s="2" t="s">
        <v>1592</v>
      </c>
      <c r="B1620" s="13" t="n">
        <v>46286</v>
      </c>
      <c r="C1620" s="2" t="s">
        <v>132</v>
      </c>
      <c r="D1620" s="2" t="n">
        <v>1</v>
      </c>
      <c r="E1620" s="14" t="s">
        <v>953</v>
      </c>
      <c r="F1620" s="7" t="n">
        <v>15000</v>
      </c>
    </row>
    <row r="1621" customFormat="false" ht="15" hidden="false" customHeight="false" outlineLevel="0" collapsed="false">
      <c r="A1621" s="2" t="s">
        <v>1593</v>
      </c>
      <c r="B1621" s="13" t="n">
        <v>46286</v>
      </c>
      <c r="C1621" s="2" t="s">
        <v>84</v>
      </c>
      <c r="D1621" s="2"/>
      <c r="E1621" s="14" t="s">
        <v>1594</v>
      </c>
      <c r="F1621" s="7" t="n">
        <v>5000</v>
      </c>
    </row>
    <row r="1622" customFormat="false" ht="15" hidden="false" customHeight="false" outlineLevel="0" collapsed="false">
      <c r="A1622" s="2" t="s">
        <v>1595</v>
      </c>
      <c r="B1622" s="13" t="n">
        <v>46286</v>
      </c>
      <c r="C1622" s="2" t="s">
        <v>81</v>
      </c>
      <c r="D1622" s="2" t="n">
        <v>1</v>
      </c>
      <c r="E1622" s="14" t="s">
        <v>1038</v>
      </c>
      <c r="F1622" s="7" t="n">
        <v>15000</v>
      </c>
    </row>
    <row r="1623" customFormat="false" ht="15" hidden="false" customHeight="false" outlineLevel="0" collapsed="false">
      <c r="A1623" s="2" t="s">
        <v>1595</v>
      </c>
      <c r="B1623" s="13" t="n">
        <v>46286</v>
      </c>
      <c r="C1623" s="2" t="s">
        <v>81</v>
      </c>
      <c r="D1623" s="2" t="n">
        <v>1</v>
      </c>
      <c r="E1623" s="14" t="s">
        <v>1038</v>
      </c>
      <c r="F1623" s="7" t="n">
        <v>15000</v>
      </c>
    </row>
    <row r="1624" customFormat="false" ht="15" hidden="false" customHeight="false" outlineLevel="0" collapsed="false">
      <c r="A1624" s="2" t="s">
        <v>1596</v>
      </c>
      <c r="B1624" s="13" t="n">
        <v>46286</v>
      </c>
      <c r="C1624" s="2" t="s">
        <v>101</v>
      </c>
      <c r="D1624" s="2" t="n">
        <v>1</v>
      </c>
      <c r="E1624" s="14" t="s">
        <v>1597</v>
      </c>
      <c r="F1624" s="7" t="n">
        <v>18000</v>
      </c>
    </row>
    <row r="1625" customFormat="false" ht="15" hidden="false" customHeight="false" outlineLevel="0" collapsed="false">
      <c r="A1625" s="2" t="s">
        <v>1598</v>
      </c>
      <c r="B1625" s="13" t="n">
        <v>46286</v>
      </c>
      <c r="C1625" s="2" t="s">
        <v>108</v>
      </c>
      <c r="D1625" s="2" t="n">
        <v>2</v>
      </c>
      <c r="E1625" s="14" t="s">
        <v>1599</v>
      </c>
      <c r="F1625" s="7" t="n">
        <v>20000</v>
      </c>
    </row>
    <row r="1626" customFormat="false" ht="15" hidden="false" customHeight="false" outlineLevel="0" collapsed="false">
      <c r="A1626" s="2" t="s">
        <v>1598</v>
      </c>
      <c r="B1626" s="13" t="n">
        <v>46286</v>
      </c>
      <c r="C1626" s="2" t="s">
        <v>84</v>
      </c>
      <c r="D1626" s="2" t="n">
        <v>1</v>
      </c>
      <c r="E1626" s="14" t="s">
        <v>1599</v>
      </c>
      <c r="F1626" s="7" t="n">
        <v>5000</v>
      </c>
    </row>
    <row r="1627" customFormat="false" ht="15" hidden="false" customHeight="false" outlineLevel="0" collapsed="false">
      <c r="A1627" s="2" t="s">
        <v>1600</v>
      </c>
      <c r="B1627" s="13" t="n">
        <v>46286</v>
      </c>
      <c r="C1627" s="2" t="s">
        <v>84</v>
      </c>
      <c r="D1627" s="2" t="n">
        <v>1</v>
      </c>
      <c r="E1627" s="14" t="s">
        <v>1601</v>
      </c>
      <c r="F1627" s="7" t="n">
        <v>5000</v>
      </c>
    </row>
    <row r="1628" customFormat="false" ht="15" hidden="false" customHeight="false" outlineLevel="0" collapsed="false">
      <c r="A1628" s="2" t="s">
        <v>1602</v>
      </c>
      <c r="B1628" s="13" t="n">
        <v>46286</v>
      </c>
      <c r="C1628" s="2" t="s">
        <v>186</v>
      </c>
      <c r="D1628" s="2" t="n">
        <v>1</v>
      </c>
      <c r="E1628" s="14" t="s">
        <v>569</v>
      </c>
      <c r="F1628" s="7" t="n">
        <v>7000</v>
      </c>
    </row>
    <row r="1629" customFormat="false" ht="15" hidden="false" customHeight="false" outlineLevel="0" collapsed="false">
      <c r="A1629" s="2" t="s">
        <v>1603</v>
      </c>
      <c r="B1629" s="13" t="n">
        <v>46286</v>
      </c>
      <c r="C1629" s="2" t="s">
        <v>132</v>
      </c>
      <c r="D1629" s="2" t="n">
        <v>2</v>
      </c>
      <c r="E1629" s="14" t="s">
        <v>1604</v>
      </c>
      <c r="F1629" s="7" t="n">
        <v>15000</v>
      </c>
    </row>
    <row r="1630" customFormat="false" ht="15" hidden="false" customHeight="false" outlineLevel="0" collapsed="false">
      <c r="A1630" s="2" t="s">
        <v>1603</v>
      </c>
      <c r="B1630" s="13" t="n">
        <v>46286</v>
      </c>
      <c r="C1630" s="2" t="s">
        <v>81</v>
      </c>
      <c r="D1630" s="2" t="n">
        <v>2</v>
      </c>
      <c r="E1630" s="14" t="s">
        <v>1604</v>
      </c>
      <c r="F1630" s="7" t="n">
        <v>15000</v>
      </c>
    </row>
    <row r="1631" customFormat="false" ht="15" hidden="false" customHeight="false" outlineLevel="0" collapsed="false">
      <c r="A1631" s="2" t="s">
        <v>1605</v>
      </c>
      <c r="B1631" s="13" t="n">
        <v>46286</v>
      </c>
      <c r="C1631" s="2" t="s">
        <v>79</v>
      </c>
      <c r="D1631" s="2" t="n">
        <v>1</v>
      </c>
      <c r="E1631" s="14" t="s">
        <v>131</v>
      </c>
      <c r="F1631" s="7" t="n">
        <v>16000</v>
      </c>
    </row>
    <row r="1632" customFormat="false" ht="15" hidden="false" customHeight="false" outlineLevel="0" collapsed="false">
      <c r="A1632" s="2" t="s">
        <v>1606</v>
      </c>
      <c r="B1632" s="13" t="n">
        <v>46286</v>
      </c>
      <c r="C1632" s="2" t="s">
        <v>101</v>
      </c>
      <c r="D1632" s="2" t="n">
        <v>2</v>
      </c>
      <c r="E1632" s="14" t="s">
        <v>1607</v>
      </c>
      <c r="F1632" s="7" t="n">
        <v>18000</v>
      </c>
    </row>
    <row r="1633" customFormat="false" ht="15" hidden="false" customHeight="false" outlineLevel="0" collapsed="false">
      <c r="A1633" s="2" t="s">
        <v>1606</v>
      </c>
      <c r="B1633" s="13" t="n">
        <v>46286</v>
      </c>
      <c r="C1633" s="2" t="s">
        <v>112</v>
      </c>
      <c r="D1633" s="2" t="n">
        <v>1</v>
      </c>
      <c r="E1633" s="14" t="s">
        <v>1607</v>
      </c>
      <c r="F1633" s="7" t="n">
        <v>10000</v>
      </c>
    </row>
    <row r="1634" customFormat="false" ht="15" hidden="false" customHeight="false" outlineLevel="0" collapsed="false">
      <c r="A1634" s="2" t="s">
        <v>1608</v>
      </c>
      <c r="B1634" s="13" t="n">
        <v>46286</v>
      </c>
      <c r="C1634" s="2" t="s">
        <v>89</v>
      </c>
      <c r="D1634" s="2" t="n">
        <v>1</v>
      </c>
      <c r="E1634" s="14" t="s">
        <v>493</v>
      </c>
      <c r="F1634" s="7" t="n">
        <v>14000</v>
      </c>
    </row>
    <row r="1635" customFormat="false" ht="15" hidden="false" customHeight="false" outlineLevel="0" collapsed="false">
      <c r="A1635" s="2" t="s">
        <v>1608</v>
      </c>
      <c r="B1635" s="13" t="n">
        <v>46286</v>
      </c>
      <c r="C1635" s="2" t="s">
        <v>132</v>
      </c>
      <c r="D1635" s="2" t="n">
        <v>3</v>
      </c>
      <c r="E1635" s="14" t="s">
        <v>493</v>
      </c>
      <c r="F1635" s="7" t="n">
        <v>15000</v>
      </c>
    </row>
    <row r="1636" customFormat="false" ht="15" hidden="false" customHeight="false" outlineLevel="0" collapsed="false">
      <c r="A1636" s="2" t="s">
        <v>1609</v>
      </c>
      <c r="B1636" s="13" t="n">
        <v>46286</v>
      </c>
      <c r="C1636" s="2" t="s">
        <v>84</v>
      </c>
      <c r="D1636" s="2" t="n">
        <v>1</v>
      </c>
      <c r="E1636" s="14" t="s">
        <v>308</v>
      </c>
      <c r="F1636" s="7" t="n">
        <v>5000</v>
      </c>
    </row>
    <row r="1637" customFormat="false" ht="15" hidden="false" customHeight="false" outlineLevel="0" collapsed="false">
      <c r="A1637" s="2" t="s">
        <v>1610</v>
      </c>
      <c r="B1637" s="13" t="n">
        <v>46286</v>
      </c>
      <c r="C1637" s="2" t="s">
        <v>101</v>
      </c>
      <c r="D1637" s="2" t="n">
        <v>1</v>
      </c>
      <c r="E1637" s="14" t="s">
        <v>1055</v>
      </c>
      <c r="F1637" s="7" t="n">
        <v>18000</v>
      </c>
    </row>
    <row r="1638" customFormat="false" ht="15" hidden="false" customHeight="false" outlineLevel="0" collapsed="false">
      <c r="A1638" s="2" t="s">
        <v>1611</v>
      </c>
      <c r="B1638" s="13" t="n">
        <v>46286</v>
      </c>
      <c r="C1638" s="2" t="s">
        <v>89</v>
      </c>
      <c r="D1638" s="2" t="n">
        <v>2</v>
      </c>
      <c r="E1638" s="14" t="s">
        <v>586</v>
      </c>
      <c r="F1638" s="7" t="n">
        <v>14000</v>
      </c>
    </row>
    <row r="1639" customFormat="false" ht="15" hidden="false" customHeight="false" outlineLevel="0" collapsed="false">
      <c r="A1639" s="2" t="s">
        <v>1611</v>
      </c>
      <c r="B1639" s="13" t="n">
        <v>46286</v>
      </c>
      <c r="C1639" s="2" t="s">
        <v>112</v>
      </c>
      <c r="D1639" s="2" t="n">
        <v>2</v>
      </c>
      <c r="E1639" s="14" t="s">
        <v>586</v>
      </c>
      <c r="F1639" s="7" t="n">
        <v>10000</v>
      </c>
    </row>
    <row r="1640" customFormat="false" ht="15" hidden="false" customHeight="false" outlineLevel="0" collapsed="false">
      <c r="A1640" s="2" t="s">
        <v>1612</v>
      </c>
      <c r="B1640" s="13" t="n">
        <v>46286</v>
      </c>
      <c r="C1640" s="2" t="s">
        <v>126</v>
      </c>
      <c r="D1640" s="2" t="n">
        <v>1</v>
      </c>
      <c r="E1640" s="14" t="s">
        <v>812</v>
      </c>
      <c r="F1640" s="7" t="n">
        <v>3000</v>
      </c>
    </row>
    <row r="1641" customFormat="false" ht="15" hidden="false" customHeight="false" outlineLevel="0" collapsed="false">
      <c r="A1641" s="2" t="s">
        <v>1612</v>
      </c>
      <c r="B1641" s="13" t="n">
        <v>46286</v>
      </c>
      <c r="C1641" s="2" t="s">
        <v>92</v>
      </c>
      <c r="D1641" s="2" t="n">
        <v>1</v>
      </c>
      <c r="E1641" s="14" t="s">
        <v>812</v>
      </c>
      <c r="F1641" s="7" t="n">
        <v>4000</v>
      </c>
    </row>
    <row r="1642" customFormat="false" ht="15" hidden="false" customHeight="false" outlineLevel="0" collapsed="false">
      <c r="A1642" s="2" t="s">
        <v>1613</v>
      </c>
      <c r="B1642" s="13" t="n">
        <v>46286</v>
      </c>
      <c r="C1642" s="2" t="s">
        <v>132</v>
      </c>
      <c r="D1642" s="2" t="n">
        <v>1</v>
      </c>
      <c r="E1642" s="14" t="s">
        <v>592</v>
      </c>
      <c r="F1642" s="7" t="n">
        <v>15000</v>
      </c>
    </row>
    <row r="1643" customFormat="false" ht="15" hidden="false" customHeight="false" outlineLevel="0" collapsed="false">
      <c r="A1643" s="2" t="s">
        <v>1613</v>
      </c>
      <c r="B1643" s="13" t="n">
        <v>46286</v>
      </c>
      <c r="C1643" s="2" t="s">
        <v>81</v>
      </c>
      <c r="D1643" s="2" t="n">
        <v>2</v>
      </c>
      <c r="E1643" s="14" t="s">
        <v>592</v>
      </c>
      <c r="F1643" s="7" t="n">
        <v>15000</v>
      </c>
    </row>
    <row r="1644" customFormat="false" ht="15" hidden="false" customHeight="false" outlineLevel="0" collapsed="false">
      <c r="A1644" s="2" t="s">
        <v>1613</v>
      </c>
      <c r="B1644" s="13" t="n">
        <v>46286</v>
      </c>
      <c r="C1644" s="2" t="s">
        <v>186</v>
      </c>
      <c r="D1644" s="2" t="n">
        <v>1</v>
      </c>
      <c r="E1644" s="14" t="s">
        <v>592</v>
      </c>
      <c r="F1644" s="7" t="n">
        <v>7000</v>
      </c>
    </row>
    <row r="1645" customFormat="false" ht="15" hidden="false" customHeight="false" outlineLevel="0" collapsed="false">
      <c r="A1645" s="2" t="s">
        <v>1614</v>
      </c>
      <c r="B1645" s="13" t="n">
        <v>46286</v>
      </c>
      <c r="C1645" s="2" t="s">
        <v>89</v>
      </c>
      <c r="D1645" s="2" t="n">
        <v>3</v>
      </c>
      <c r="E1645" s="14" t="s">
        <v>821</v>
      </c>
      <c r="F1645" s="7" t="n">
        <v>14000</v>
      </c>
    </row>
    <row r="1646" customFormat="false" ht="15" hidden="false" customHeight="false" outlineLevel="0" collapsed="false">
      <c r="A1646" s="2" t="s">
        <v>1614</v>
      </c>
      <c r="B1646" s="13" t="n">
        <v>46286</v>
      </c>
      <c r="C1646" s="2" t="s">
        <v>112</v>
      </c>
      <c r="D1646" s="2" t="n">
        <v>1</v>
      </c>
      <c r="E1646" s="14" t="s">
        <v>821</v>
      </c>
      <c r="F1646" s="7" t="n">
        <v>10000</v>
      </c>
    </row>
    <row r="1647" customFormat="false" ht="15" hidden="false" customHeight="false" outlineLevel="0" collapsed="false">
      <c r="A1647" s="2" t="s">
        <v>1615</v>
      </c>
      <c r="B1647" s="13" t="n">
        <v>46286</v>
      </c>
      <c r="C1647" s="2" t="s">
        <v>186</v>
      </c>
      <c r="D1647" s="2" t="n">
        <v>2</v>
      </c>
      <c r="E1647" s="14" t="s">
        <v>908</v>
      </c>
      <c r="F1647" s="7" t="n">
        <v>7000</v>
      </c>
    </row>
    <row r="1648" customFormat="false" ht="15" hidden="false" customHeight="false" outlineLevel="0" collapsed="false">
      <c r="A1648" s="2" t="s">
        <v>1616</v>
      </c>
      <c r="B1648" s="13" t="n">
        <v>46286</v>
      </c>
      <c r="C1648" s="2" t="s">
        <v>81</v>
      </c>
      <c r="D1648" s="2" t="n">
        <v>2</v>
      </c>
      <c r="E1648" s="14" t="s">
        <v>403</v>
      </c>
      <c r="F1648" s="7" t="n">
        <v>15000</v>
      </c>
    </row>
    <row r="1649" customFormat="false" ht="15" hidden="false" customHeight="false" outlineLevel="0" collapsed="false">
      <c r="A1649" s="2" t="s">
        <v>1616</v>
      </c>
      <c r="B1649" s="13" t="n">
        <v>46286</v>
      </c>
      <c r="C1649" s="2" t="s">
        <v>108</v>
      </c>
      <c r="D1649" s="2" t="n">
        <v>1</v>
      </c>
      <c r="E1649" s="14" t="s">
        <v>403</v>
      </c>
      <c r="F1649" s="7" t="n">
        <v>20000</v>
      </c>
    </row>
    <row r="1650" customFormat="false" ht="15" hidden="false" customHeight="false" outlineLevel="0" collapsed="false">
      <c r="A1650" s="2" t="s">
        <v>1616</v>
      </c>
      <c r="B1650" s="13" t="n">
        <v>46286</v>
      </c>
      <c r="C1650" s="2" t="s">
        <v>84</v>
      </c>
      <c r="D1650" s="2" t="n">
        <v>2</v>
      </c>
      <c r="E1650" s="14" t="s">
        <v>403</v>
      </c>
      <c r="F1650" s="7" t="n">
        <v>5000</v>
      </c>
    </row>
    <row r="1651" customFormat="false" ht="15" hidden="false" customHeight="false" outlineLevel="0" collapsed="false">
      <c r="A1651" s="2" t="s">
        <v>1617</v>
      </c>
      <c r="B1651" s="13" t="n">
        <v>46286</v>
      </c>
      <c r="C1651" s="2" t="s">
        <v>92</v>
      </c>
      <c r="D1651" s="2" t="n">
        <v>1</v>
      </c>
      <c r="E1651" s="14" t="s">
        <v>976</v>
      </c>
      <c r="F1651" s="7" t="n">
        <v>4000</v>
      </c>
    </row>
    <row r="1652" customFormat="false" ht="15" hidden="false" customHeight="false" outlineLevel="0" collapsed="false">
      <c r="A1652" s="2" t="s">
        <v>1617</v>
      </c>
      <c r="B1652" s="13" t="n">
        <v>46286</v>
      </c>
      <c r="C1652" s="2" t="s">
        <v>84</v>
      </c>
      <c r="D1652" s="2" t="n">
        <v>1</v>
      </c>
      <c r="E1652" s="14" t="s">
        <v>976</v>
      </c>
      <c r="F1652" s="7" t="n">
        <v>5000</v>
      </c>
    </row>
    <row r="1653" customFormat="false" ht="15" hidden="false" customHeight="false" outlineLevel="0" collapsed="false">
      <c r="A1653" s="2" t="s">
        <v>1618</v>
      </c>
      <c r="B1653" s="13" t="n">
        <v>46286</v>
      </c>
      <c r="C1653" s="2" t="s">
        <v>84</v>
      </c>
      <c r="D1653" s="2" t="n">
        <v>2</v>
      </c>
      <c r="E1653" s="14" t="s">
        <v>677</v>
      </c>
      <c r="F1653" s="7" t="n">
        <v>5000</v>
      </c>
    </row>
    <row r="1654" customFormat="false" ht="15" hidden="false" customHeight="false" outlineLevel="0" collapsed="false">
      <c r="A1654" s="2" t="s">
        <v>1619</v>
      </c>
      <c r="B1654" s="13" t="n">
        <v>46286</v>
      </c>
      <c r="C1654" s="2" t="s">
        <v>82</v>
      </c>
      <c r="D1654" s="2" t="n">
        <v>1</v>
      </c>
      <c r="E1654" s="14" t="s">
        <v>1620</v>
      </c>
      <c r="F1654" s="7" t="n">
        <v>13000</v>
      </c>
    </row>
    <row r="1655" customFormat="false" ht="15" hidden="false" customHeight="false" outlineLevel="0" collapsed="false">
      <c r="A1655" s="2" t="s">
        <v>1619</v>
      </c>
      <c r="B1655" s="13" t="n">
        <v>46286</v>
      </c>
      <c r="C1655" s="2" t="s">
        <v>81</v>
      </c>
      <c r="D1655" s="2" t="n">
        <v>1</v>
      </c>
      <c r="E1655" s="14" t="s">
        <v>1620</v>
      </c>
      <c r="F1655" s="7" t="n">
        <v>15000</v>
      </c>
    </row>
    <row r="1656" customFormat="false" ht="15" hidden="false" customHeight="false" outlineLevel="0" collapsed="false">
      <c r="A1656" s="2" t="s">
        <v>1621</v>
      </c>
      <c r="B1656" s="13" t="n">
        <v>46286</v>
      </c>
      <c r="C1656" s="2" t="s">
        <v>89</v>
      </c>
      <c r="D1656" s="2" t="n">
        <v>1</v>
      </c>
      <c r="E1656" s="14" t="s">
        <v>323</v>
      </c>
      <c r="F1656" s="7" t="n">
        <v>14000</v>
      </c>
    </row>
    <row r="1657" customFormat="false" ht="15" hidden="false" customHeight="false" outlineLevel="0" collapsed="false">
      <c r="A1657" s="2" t="s">
        <v>1622</v>
      </c>
      <c r="B1657" s="13" t="n">
        <v>46286</v>
      </c>
      <c r="C1657" s="2" t="s">
        <v>132</v>
      </c>
      <c r="D1657" s="2" t="n">
        <v>1</v>
      </c>
      <c r="E1657" s="14" t="s">
        <v>1413</v>
      </c>
      <c r="F1657" s="7" t="n">
        <v>15000</v>
      </c>
    </row>
    <row r="1658" customFormat="false" ht="15" hidden="false" customHeight="false" outlineLevel="0" collapsed="false">
      <c r="A1658" s="2" t="s">
        <v>1622</v>
      </c>
      <c r="B1658" s="13" t="n">
        <v>46286</v>
      </c>
      <c r="C1658" s="2" t="s">
        <v>79</v>
      </c>
      <c r="D1658" s="2" t="n">
        <v>1</v>
      </c>
      <c r="E1658" s="14" t="s">
        <v>1413</v>
      </c>
      <c r="F1658" s="7" t="n">
        <v>16000</v>
      </c>
    </row>
    <row r="1659" customFormat="false" ht="15" hidden="false" customHeight="false" outlineLevel="0" collapsed="false">
      <c r="A1659" s="2" t="s">
        <v>1622</v>
      </c>
      <c r="B1659" s="13" t="n">
        <v>46286</v>
      </c>
      <c r="C1659" s="2" t="s">
        <v>84</v>
      </c>
      <c r="D1659" s="2" t="n">
        <v>2</v>
      </c>
      <c r="E1659" s="14" t="s">
        <v>1413</v>
      </c>
      <c r="F1659" s="7" t="n">
        <v>5000</v>
      </c>
    </row>
    <row r="1660" customFormat="false" ht="15" hidden="false" customHeight="false" outlineLevel="0" collapsed="false">
      <c r="A1660" s="2" t="s">
        <v>1623</v>
      </c>
      <c r="B1660" s="13" t="n">
        <v>46286</v>
      </c>
      <c r="C1660" s="2" t="s">
        <v>112</v>
      </c>
      <c r="D1660" s="2" t="n">
        <v>2</v>
      </c>
      <c r="E1660" s="14" t="s">
        <v>754</v>
      </c>
      <c r="F1660" s="7" t="n">
        <v>10000</v>
      </c>
    </row>
    <row r="1661" customFormat="false" ht="15" hidden="false" customHeight="false" outlineLevel="0" collapsed="false">
      <c r="A1661" s="2" t="s">
        <v>1623</v>
      </c>
      <c r="B1661" s="13" t="n">
        <v>46286</v>
      </c>
      <c r="C1661" s="2" t="s">
        <v>92</v>
      </c>
      <c r="D1661" s="2" t="n">
        <v>1</v>
      </c>
      <c r="E1661" s="14" t="s">
        <v>754</v>
      </c>
      <c r="F1661" s="7" t="n">
        <v>4000</v>
      </c>
    </row>
    <row r="1662" customFormat="false" ht="15" hidden="false" customHeight="false" outlineLevel="0" collapsed="false">
      <c r="A1662" s="2" t="s">
        <v>1624</v>
      </c>
      <c r="B1662" s="13" t="n">
        <v>46286</v>
      </c>
      <c r="C1662" s="2" t="s">
        <v>79</v>
      </c>
      <c r="D1662" s="2" t="n">
        <v>1</v>
      </c>
      <c r="E1662" s="14" t="s">
        <v>1625</v>
      </c>
      <c r="F1662" s="7" t="n">
        <v>16000</v>
      </c>
    </row>
    <row r="1663" customFormat="false" ht="15" hidden="false" customHeight="false" outlineLevel="0" collapsed="false">
      <c r="A1663" s="2" t="s">
        <v>1624</v>
      </c>
      <c r="B1663" s="13" t="n">
        <v>46286</v>
      </c>
      <c r="C1663" s="2" t="s">
        <v>108</v>
      </c>
      <c r="D1663" s="2" t="n">
        <v>3</v>
      </c>
      <c r="E1663" s="14" t="s">
        <v>1625</v>
      </c>
      <c r="F1663" s="7" t="n">
        <v>20000</v>
      </c>
    </row>
    <row r="1664" customFormat="false" ht="15" hidden="false" customHeight="false" outlineLevel="0" collapsed="false">
      <c r="A1664" s="2" t="s">
        <v>1624</v>
      </c>
      <c r="B1664" s="13" t="n">
        <v>46286</v>
      </c>
      <c r="C1664" s="2" t="s">
        <v>108</v>
      </c>
      <c r="D1664" s="2" t="n">
        <v>3</v>
      </c>
      <c r="E1664" s="14" t="s">
        <v>1625</v>
      </c>
      <c r="F1664" s="7" t="n">
        <v>20000</v>
      </c>
    </row>
    <row r="1665" customFormat="false" ht="15" hidden="false" customHeight="false" outlineLevel="0" collapsed="false">
      <c r="A1665" s="2" t="s">
        <v>1624</v>
      </c>
      <c r="B1665" s="13" t="n">
        <v>46286</v>
      </c>
      <c r="C1665" s="2" t="s">
        <v>84</v>
      </c>
      <c r="D1665" s="2" t="n">
        <v>1</v>
      </c>
      <c r="E1665" s="14" t="s">
        <v>1625</v>
      </c>
      <c r="F1665" s="7" t="n">
        <v>5000</v>
      </c>
    </row>
    <row r="1666" customFormat="false" ht="15" hidden="false" customHeight="false" outlineLevel="0" collapsed="false">
      <c r="A1666" s="2" t="s">
        <v>1626</v>
      </c>
      <c r="B1666" s="13" t="n">
        <v>46286</v>
      </c>
      <c r="C1666" s="2" t="s">
        <v>108</v>
      </c>
      <c r="D1666" s="2" t="n">
        <v>1</v>
      </c>
      <c r="E1666" s="14" t="s">
        <v>521</v>
      </c>
      <c r="F1666" s="7" t="n">
        <v>20000</v>
      </c>
    </row>
    <row r="1667" customFormat="false" ht="15" hidden="false" customHeight="false" outlineLevel="0" collapsed="false">
      <c r="A1667" s="2" t="s">
        <v>1627</v>
      </c>
      <c r="B1667" s="13" t="n">
        <v>46286</v>
      </c>
      <c r="C1667" s="2" t="s">
        <v>101</v>
      </c>
      <c r="D1667" s="2" t="n">
        <v>1</v>
      </c>
      <c r="E1667" s="14" t="s">
        <v>1312</v>
      </c>
      <c r="F1667" s="7" t="n">
        <v>18000</v>
      </c>
    </row>
    <row r="1668" customFormat="false" ht="15" hidden="false" customHeight="false" outlineLevel="0" collapsed="false">
      <c r="A1668" s="2" t="s">
        <v>1627</v>
      </c>
      <c r="B1668" s="13" t="n">
        <v>46286</v>
      </c>
      <c r="C1668" s="2" t="s">
        <v>81</v>
      </c>
      <c r="D1668" s="2" t="n">
        <v>1</v>
      </c>
      <c r="E1668" s="14" t="s">
        <v>1312</v>
      </c>
      <c r="F1668" s="7" t="n">
        <v>15000</v>
      </c>
    </row>
    <row r="1669" customFormat="false" ht="15" hidden="false" customHeight="false" outlineLevel="0" collapsed="false">
      <c r="A1669" s="2" t="s">
        <v>1628</v>
      </c>
      <c r="B1669" s="13" t="n">
        <v>46286</v>
      </c>
      <c r="C1669" s="2" t="s">
        <v>101</v>
      </c>
      <c r="D1669" s="2" t="n">
        <v>1</v>
      </c>
      <c r="E1669" s="14" t="s">
        <v>1629</v>
      </c>
      <c r="F1669" s="7" t="n">
        <v>18000</v>
      </c>
    </row>
    <row r="1670" customFormat="false" ht="15" hidden="false" customHeight="false" outlineLevel="0" collapsed="false">
      <c r="A1670" s="2" t="s">
        <v>1630</v>
      </c>
      <c r="B1670" s="13" t="n">
        <v>46286</v>
      </c>
      <c r="C1670" s="2" t="s">
        <v>84</v>
      </c>
      <c r="D1670" s="2" t="n">
        <v>1</v>
      </c>
      <c r="E1670" s="14" t="s">
        <v>1631</v>
      </c>
      <c r="F1670" s="7" t="n">
        <v>5000</v>
      </c>
    </row>
    <row r="1671" customFormat="false" ht="15" hidden="false" customHeight="false" outlineLevel="0" collapsed="false">
      <c r="A1671" s="2" t="s">
        <v>1630</v>
      </c>
      <c r="B1671" s="13" t="n">
        <v>46286</v>
      </c>
      <c r="C1671" s="2" t="s">
        <v>92</v>
      </c>
      <c r="D1671" s="2" t="n">
        <v>1</v>
      </c>
      <c r="E1671" s="14" t="s">
        <v>1631</v>
      </c>
      <c r="F1671" s="7" t="n">
        <v>4000</v>
      </c>
    </row>
    <row r="1672" customFormat="false" ht="15" hidden="false" customHeight="false" outlineLevel="0" collapsed="false">
      <c r="A1672" s="2" t="s">
        <v>1632</v>
      </c>
      <c r="B1672" s="13" t="n">
        <v>46286</v>
      </c>
      <c r="C1672" s="2" t="s">
        <v>84</v>
      </c>
      <c r="D1672" s="2" t="n">
        <v>1</v>
      </c>
      <c r="E1672" s="14" t="s">
        <v>1501</v>
      </c>
      <c r="F1672" s="7" t="n">
        <v>5000</v>
      </c>
    </row>
    <row r="1673" customFormat="false" ht="15" hidden="false" customHeight="false" outlineLevel="0" collapsed="false">
      <c r="A1673" s="2" t="s">
        <v>1633</v>
      </c>
      <c r="B1673" s="13" t="n">
        <v>46286</v>
      </c>
      <c r="C1673" s="2" t="s">
        <v>92</v>
      </c>
      <c r="D1673" s="2" t="n">
        <v>2</v>
      </c>
      <c r="E1673" s="14" t="s">
        <v>1501</v>
      </c>
      <c r="F1673" s="7" t="n">
        <v>4000</v>
      </c>
    </row>
    <row r="1674" customFormat="false" ht="15" hidden="false" customHeight="false" outlineLevel="0" collapsed="false">
      <c r="A1674" s="2" t="s">
        <v>1633</v>
      </c>
      <c r="B1674" s="13" t="n">
        <v>46286</v>
      </c>
      <c r="C1674" s="2" t="s">
        <v>108</v>
      </c>
      <c r="D1674" s="2" t="n">
        <v>2</v>
      </c>
      <c r="E1674" s="14" t="s">
        <v>1501</v>
      </c>
      <c r="F1674" s="7" t="n">
        <v>20000</v>
      </c>
    </row>
    <row r="1675" customFormat="false" ht="15" hidden="false" customHeight="false" outlineLevel="0" collapsed="false">
      <c r="A1675" s="2" t="s">
        <v>1634</v>
      </c>
      <c r="B1675" s="13" t="n">
        <v>46286</v>
      </c>
      <c r="C1675" s="2" t="s">
        <v>82</v>
      </c>
      <c r="D1675" s="2" t="n">
        <v>3</v>
      </c>
      <c r="E1675" s="14" t="s">
        <v>1635</v>
      </c>
      <c r="F1675" s="7" t="n">
        <v>13000</v>
      </c>
    </row>
    <row r="1676" customFormat="false" ht="15" hidden="false" customHeight="false" outlineLevel="0" collapsed="false">
      <c r="A1676" s="2" t="s">
        <v>1634</v>
      </c>
      <c r="B1676" s="13" t="n">
        <v>46286</v>
      </c>
      <c r="C1676" s="2" t="s">
        <v>79</v>
      </c>
      <c r="D1676" s="2" t="n">
        <v>1</v>
      </c>
      <c r="E1676" s="14" t="s">
        <v>260</v>
      </c>
      <c r="F1676" s="7" t="n">
        <v>16000</v>
      </c>
    </row>
    <row r="1677" customFormat="false" ht="15" hidden="false" customHeight="false" outlineLevel="0" collapsed="false">
      <c r="A1677" s="2" t="s">
        <v>1634</v>
      </c>
      <c r="B1677" s="13" t="n">
        <v>46286</v>
      </c>
      <c r="C1677" s="2" t="s">
        <v>92</v>
      </c>
      <c r="D1677" s="2" t="n">
        <v>1</v>
      </c>
      <c r="E1677" s="14" t="s">
        <v>260</v>
      </c>
      <c r="F1677" s="7" t="n">
        <v>4000</v>
      </c>
    </row>
    <row r="1678" customFormat="false" ht="15" hidden="false" customHeight="false" outlineLevel="0" collapsed="false">
      <c r="A1678" s="2" t="s">
        <v>1636</v>
      </c>
      <c r="B1678" s="13" t="n">
        <v>46286</v>
      </c>
      <c r="C1678" s="2" t="s">
        <v>81</v>
      </c>
      <c r="D1678" s="2" t="n">
        <v>2</v>
      </c>
      <c r="E1678" s="14" t="s">
        <v>837</v>
      </c>
      <c r="F1678" s="7" t="n">
        <v>15000</v>
      </c>
    </row>
    <row r="1679" customFormat="false" ht="15" hidden="false" customHeight="false" outlineLevel="0" collapsed="false">
      <c r="A1679" s="2" t="s">
        <v>1636</v>
      </c>
      <c r="B1679" s="13" t="n">
        <v>46286</v>
      </c>
      <c r="C1679" s="2" t="s">
        <v>84</v>
      </c>
      <c r="D1679" s="2" t="n">
        <v>1</v>
      </c>
      <c r="E1679" s="14" t="s">
        <v>837</v>
      </c>
      <c r="F1679" s="7" t="n">
        <v>5000</v>
      </c>
    </row>
    <row r="1680" customFormat="false" ht="15" hidden="false" customHeight="false" outlineLevel="0" collapsed="false">
      <c r="A1680" s="2" t="s">
        <v>1636</v>
      </c>
      <c r="B1680" s="13" t="n">
        <v>46286</v>
      </c>
      <c r="C1680" s="2" t="s">
        <v>101</v>
      </c>
      <c r="D1680" s="2" t="n">
        <v>1</v>
      </c>
      <c r="E1680" s="14" t="s">
        <v>837</v>
      </c>
      <c r="F1680" s="7" t="n">
        <v>18000</v>
      </c>
    </row>
    <row r="1681" customFormat="false" ht="15" hidden="false" customHeight="false" outlineLevel="0" collapsed="false">
      <c r="A1681" s="2" t="s">
        <v>1637</v>
      </c>
      <c r="B1681" s="13" t="n">
        <v>46287</v>
      </c>
      <c r="C1681" s="2" t="s">
        <v>112</v>
      </c>
      <c r="D1681" s="2" t="n">
        <v>1</v>
      </c>
      <c r="E1681" s="14" t="s">
        <v>1074</v>
      </c>
      <c r="F1681" s="7" t="n">
        <v>10000</v>
      </c>
    </row>
    <row r="1682" customFormat="false" ht="15" hidden="false" customHeight="false" outlineLevel="0" collapsed="false">
      <c r="A1682" s="2" t="s">
        <v>1637</v>
      </c>
      <c r="B1682" s="13" t="n">
        <v>46287</v>
      </c>
      <c r="C1682" s="2" t="s">
        <v>81</v>
      </c>
      <c r="D1682" s="2" t="n">
        <v>1</v>
      </c>
      <c r="E1682" s="14" t="s">
        <v>1074</v>
      </c>
      <c r="F1682" s="7" t="n">
        <v>15000</v>
      </c>
    </row>
    <row r="1683" customFormat="false" ht="15" hidden="false" customHeight="false" outlineLevel="0" collapsed="false">
      <c r="A1683" s="2" t="s">
        <v>1637</v>
      </c>
      <c r="B1683" s="13" t="n">
        <v>46287</v>
      </c>
      <c r="C1683" s="2" t="s">
        <v>186</v>
      </c>
      <c r="D1683" s="2" t="n">
        <v>1</v>
      </c>
      <c r="E1683" s="14" t="s">
        <v>1074</v>
      </c>
      <c r="F1683" s="7" t="n">
        <v>7000</v>
      </c>
    </row>
    <row r="1684" customFormat="false" ht="15" hidden="false" customHeight="false" outlineLevel="0" collapsed="false">
      <c r="A1684" s="2" t="s">
        <v>1638</v>
      </c>
      <c r="B1684" s="13" t="n">
        <v>46287</v>
      </c>
      <c r="C1684" s="2" t="s">
        <v>84</v>
      </c>
      <c r="D1684" s="2" t="n">
        <v>1</v>
      </c>
      <c r="E1684" s="14" t="s">
        <v>1639</v>
      </c>
      <c r="F1684" s="7" t="n">
        <v>5000</v>
      </c>
    </row>
    <row r="1685" customFormat="false" ht="15" hidden="false" customHeight="false" outlineLevel="0" collapsed="false">
      <c r="A1685" s="2" t="s">
        <v>1638</v>
      </c>
      <c r="B1685" s="13" t="n">
        <v>46287</v>
      </c>
      <c r="C1685" s="2" t="s">
        <v>112</v>
      </c>
      <c r="D1685" s="2" t="n">
        <v>1</v>
      </c>
      <c r="E1685" s="14" t="s">
        <v>1639</v>
      </c>
      <c r="F1685" s="7" t="n">
        <v>10000</v>
      </c>
    </row>
    <row r="1686" customFormat="false" ht="15" hidden="false" customHeight="false" outlineLevel="0" collapsed="false">
      <c r="A1686" s="2" t="s">
        <v>1640</v>
      </c>
      <c r="B1686" s="13" t="n">
        <v>46287</v>
      </c>
      <c r="C1686" s="2" t="s">
        <v>84</v>
      </c>
      <c r="D1686" s="2" t="n">
        <v>2</v>
      </c>
      <c r="E1686" s="14" t="s">
        <v>1438</v>
      </c>
      <c r="F1686" s="7" t="n">
        <v>5000</v>
      </c>
    </row>
    <row r="1687" customFormat="false" ht="15" hidden="false" customHeight="false" outlineLevel="0" collapsed="false">
      <c r="A1687" s="2" t="s">
        <v>1641</v>
      </c>
      <c r="B1687" s="13" t="n">
        <v>46287</v>
      </c>
      <c r="C1687" s="2" t="s">
        <v>186</v>
      </c>
      <c r="D1687" s="2" t="n">
        <v>1</v>
      </c>
      <c r="E1687" s="14" t="s">
        <v>1642</v>
      </c>
      <c r="F1687" s="7" t="n">
        <v>7000</v>
      </c>
    </row>
    <row r="1688" customFormat="false" ht="15" hidden="false" customHeight="false" outlineLevel="0" collapsed="false">
      <c r="A1688" s="2" t="s">
        <v>1643</v>
      </c>
      <c r="B1688" s="13" t="n">
        <v>46287</v>
      </c>
      <c r="C1688" s="2" t="s">
        <v>112</v>
      </c>
      <c r="D1688" s="2" t="n">
        <v>2</v>
      </c>
      <c r="E1688" s="14" t="s">
        <v>271</v>
      </c>
      <c r="F1688" s="7" t="n">
        <v>10000</v>
      </c>
    </row>
    <row r="1689" customFormat="false" ht="15" hidden="false" customHeight="false" outlineLevel="0" collapsed="false">
      <c r="A1689" s="2" t="s">
        <v>1643</v>
      </c>
      <c r="B1689" s="13" t="n">
        <v>46287</v>
      </c>
      <c r="C1689" s="2" t="s">
        <v>101</v>
      </c>
      <c r="D1689" s="2" t="n">
        <v>1</v>
      </c>
      <c r="E1689" s="14" t="s">
        <v>271</v>
      </c>
      <c r="F1689" s="7" t="n">
        <v>18000</v>
      </c>
    </row>
    <row r="1690" customFormat="false" ht="15" hidden="false" customHeight="false" outlineLevel="0" collapsed="false">
      <c r="A1690" s="2" t="s">
        <v>1644</v>
      </c>
      <c r="B1690" s="13" t="n">
        <v>46287</v>
      </c>
      <c r="C1690" s="2" t="s">
        <v>92</v>
      </c>
      <c r="D1690" s="2" t="n">
        <v>1</v>
      </c>
      <c r="E1690" s="14" t="s">
        <v>275</v>
      </c>
      <c r="F1690" s="7" t="n">
        <v>4000</v>
      </c>
    </row>
    <row r="1691" customFormat="false" ht="15" hidden="false" customHeight="false" outlineLevel="0" collapsed="false">
      <c r="A1691" s="2" t="s">
        <v>1645</v>
      </c>
      <c r="B1691" s="13" t="n">
        <v>46287</v>
      </c>
      <c r="C1691" s="2" t="s">
        <v>92</v>
      </c>
      <c r="D1691" s="2" t="n">
        <v>1</v>
      </c>
      <c r="E1691" s="14" t="s">
        <v>1646</v>
      </c>
      <c r="F1691" s="7" t="n">
        <v>4000</v>
      </c>
    </row>
    <row r="1692" customFormat="false" ht="15" hidden="false" customHeight="false" outlineLevel="0" collapsed="false">
      <c r="A1692" s="2" t="s">
        <v>1645</v>
      </c>
      <c r="B1692" s="13" t="n">
        <v>46287</v>
      </c>
      <c r="C1692" s="2" t="s">
        <v>101</v>
      </c>
      <c r="D1692" s="2" t="n">
        <v>1</v>
      </c>
      <c r="E1692" s="14" t="s">
        <v>1646</v>
      </c>
      <c r="F1692" s="7" t="n">
        <v>18000</v>
      </c>
    </row>
    <row r="1693" customFormat="false" ht="15" hidden="false" customHeight="false" outlineLevel="0" collapsed="false">
      <c r="A1693" s="2" t="s">
        <v>1647</v>
      </c>
      <c r="B1693" s="13" t="n">
        <v>46287</v>
      </c>
      <c r="C1693" s="2" t="s">
        <v>84</v>
      </c>
      <c r="D1693" s="2" t="n">
        <v>2</v>
      </c>
      <c r="E1693" s="14" t="s">
        <v>617</v>
      </c>
      <c r="F1693" s="7" t="n">
        <v>5000</v>
      </c>
    </row>
    <row r="1694" customFormat="false" ht="15" hidden="false" customHeight="false" outlineLevel="0" collapsed="false">
      <c r="A1694" s="2" t="s">
        <v>1647</v>
      </c>
      <c r="B1694" s="13" t="n">
        <v>46287</v>
      </c>
      <c r="C1694" s="2" t="s">
        <v>186</v>
      </c>
      <c r="D1694" s="2" t="n">
        <v>1</v>
      </c>
      <c r="E1694" s="14" t="s">
        <v>617</v>
      </c>
      <c r="F1694" s="7" t="n">
        <v>7000</v>
      </c>
    </row>
    <row r="1695" customFormat="false" ht="15" hidden="false" customHeight="false" outlineLevel="0" collapsed="false">
      <c r="A1695" s="2" t="s">
        <v>1648</v>
      </c>
      <c r="B1695" s="13" t="n">
        <v>46287</v>
      </c>
      <c r="C1695" s="2" t="s">
        <v>108</v>
      </c>
      <c r="D1695" s="2" t="n">
        <v>1</v>
      </c>
      <c r="E1695" s="14" t="s">
        <v>1158</v>
      </c>
      <c r="F1695" s="7" t="n">
        <v>20000</v>
      </c>
    </row>
    <row r="1696" customFormat="false" ht="15" hidden="false" customHeight="false" outlineLevel="0" collapsed="false">
      <c r="A1696" s="2" t="s">
        <v>1648</v>
      </c>
      <c r="B1696" s="13" t="n">
        <v>46287</v>
      </c>
      <c r="C1696" s="2" t="s">
        <v>132</v>
      </c>
      <c r="D1696" s="2" t="n">
        <v>1</v>
      </c>
      <c r="E1696" s="14" t="s">
        <v>1158</v>
      </c>
      <c r="F1696" s="7" t="n">
        <v>15000</v>
      </c>
    </row>
    <row r="1697" customFormat="false" ht="15" hidden="false" customHeight="false" outlineLevel="0" collapsed="false">
      <c r="A1697" s="2" t="s">
        <v>1649</v>
      </c>
      <c r="B1697" s="13" t="n">
        <v>46287</v>
      </c>
      <c r="C1697" s="2" t="s">
        <v>126</v>
      </c>
      <c r="D1697" s="2" t="n">
        <v>1</v>
      </c>
      <c r="E1697" s="14" t="s">
        <v>445</v>
      </c>
      <c r="F1697" s="7" t="n">
        <v>3000</v>
      </c>
    </row>
    <row r="1698" customFormat="false" ht="15" hidden="false" customHeight="false" outlineLevel="0" collapsed="false">
      <c r="A1698" s="2" t="s">
        <v>1649</v>
      </c>
      <c r="B1698" s="13" t="n">
        <v>46287</v>
      </c>
      <c r="C1698" s="2" t="s">
        <v>82</v>
      </c>
      <c r="D1698" s="2" t="n">
        <v>1</v>
      </c>
      <c r="E1698" s="14" t="s">
        <v>445</v>
      </c>
      <c r="F1698" s="7" t="n">
        <v>13000</v>
      </c>
    </row>
    <row r="1699" customFormat="false" ht="15" hidden="false" customHeight="false" outlineLevel="0" collapsed="false">
      <c r="A1699" s="2" t="s">
        <v>1649</v>
      </c>
      <c r="B1699" s="13" t="n">
        <v>46287</v>
      </c>
      <c r="C1699" s="2" t="s">
        <v>112</v>
      </c>
      <c r="D1699" s="2" t="n">
        <v>1</v>
      </c>
      <c r="E1699" s="14" t="s">
        <v>445</v>
      </c>
      <c r="F1699" s="7" t="n">
        <v>10000</v>
      </c>
    </row>
    <row r="1700" customFormat="false" ht="15" hidden="false" customHeight="false" outlineLevel="0" collapsed="false">
      <c r="A1700" s="2" t="s">
        <v>1650</v>
      </c>
      <c r="B1700" s="13" t="n">
        <v>46287</v>
      </c>
      <c r="C1700" s="2" t="s">
        <v>126</v>
      </c>
      <c r="D1700" s="2" t="n">
        <v>1</v>
      </c>
      <c r="E1700" s="14" t="s">
        <v>1651</v>
      </c>
      <c r="F1700" s="7" t="n">
        <v>3000</v>
      </c>
    </row>
    <row r="1701" customFormat="false" ht="15" hidden="false" customHeight="false" outlineLevel="0" collapsed="false">
      <c r="A1701" s="2" t="s">
        <v>1650</v>
      </c>
      <c r="B1701" s="13" t="n">
        <v>46287</v>
      </c>
      <c r="C1701" s="2" t="s">
        <v>89</v>
      </c>
      <c r="D1701" s="2" t="n">
        <v>2</v>
      </c>
      <c r="E1701" s="14" t="s">
        <v>1651</v>
      </c>
      <c r="F1701" s="7" t="n">
        <v>14000</v>
      </c>
    </row>
    <row r="1702" customFormat="false" ht="15" hidden="false" customHeight="false" outlineLevel="0" collapsed="false">
      <c r="A1702" s="2" t="s">
        <v>1650</v>
      </c>
      <c r="B1702" s="13" t="n">
        <v>46287</v>
      </c>
      <c r="C1702" s="2" t="s">
        <v>81</v>
      </c>
      <c r="D1702" s="2" t="n">
        <v>1</v>
      </c>
      <c r="E1702" s="14" t="s">
        <v>1651</v>
      </c>
      <c r="F1702" s="7" t="n">
        <v>15000</v>
      </c>
    </row>
    <row r="1703" customFormat="false" ht="15" hidden="false" customHeight="false" outlineLevel="0" collapsed="false">
      <c r="A1703" s="2" t="s">
        <v>1652</v>
      </c>
      <c r="B1703" s="13" t="n">
        <v>46287</v>
      </c>
      <c r="C1703" s="2" t="s">
        <v>84</v>
      </c>
      <c r="D1703" s="2" t="n">
        <v>2</v>
      </c>
      <c r="E1703" s="14" t="s">
        <v>860</v>
      </c>
      <c r="F1703" s="7" t="n">
        <v>5000</v>
      </c>
    </row>
    <row r="1704" customFormat="false" ht="15" hidden="false" customHeight="false" outlineLevel="0" collapsed="false">
      <c r="A1704" s="2" t="s">
        <v>1652</v>
      </c>
      <c r="B1704" s="13" t="n">
        <v>46287</v>
      </c>
      <c r="C1704" s="2" t="s">
        <v>81</v>
      </c>
      <c r="D1704" s="2" t="n">
        <v>3</v>
      </c>
      <c r="E1704" s="14" t="s">
        <v>860</v>
      </c>
      <c r="F1704" s="7" t="n">
        <v>15000</v>
      </c>
    </row>
    <row r="1705" customFormat="false" ht="15" hidden="false" customHeight="false" outlineLevel="0" collapsed="false">
      <c r="A1705" s="2" t="s">
        <v>1652</v>
      </c>
      <c r="B1705" s="13" t="n">
        <v>46287</v>
      </c>
      <c r="C1705" s="2" t="s">
        <v>82</v>
      </c>
      <c r="D1705" s="2" t="n">
        <v>1</v>
      </c>
      <c r="E1705" s="14" t="s">
        <v>860</v>
      </c>
      <c r="F1705" s="7" t="n">
        <v>13000</v>
      </c>
    </row>
    <row r="1706" customFormat="false" ht="15" hidden="false" customHeight="false" outlineLevel="0" collapsed="false">
      <c r="A1706" s="2" t="s">
        <v>1653</v>
      </c>
      <c r="B1706" s="13" t="n">
        <v>46287</v>
      </c>
      <c r="C1706" s="2" t="s">
        <v>81</v>
      </c>
      <c r="D1706" s="2" t="n">
        <v>3</v>
      </c>
      <c r="E1706" s="14" t="s">
        <v>87</v>
      </c>
      <c r="F1706" s="7" t="n">
        <v>15000</v>
      </c>
    </row>
    <row r="1707" customFormat="false" ht="15" hidden="false" customHeight="false" outlineLevel="0" collapsed="false">
      <c r="A1707" s="2" t="s">
        <v>1653</v>
      </c>
      <c r="B1707" s="13" t="n">
        <v>46287</v>
      </c>
      <c r="C1707" s="2" t="s">
        <v>186</v>
      </c>
      <c r="D1707" s="2" t="n">
        <v>1</v>
      </c>
      <c r="E1707" s="14" t="s">
        <v>87</v>
      </c>
      <c r="F1707" s="7" t="n">
        <v>7000</v>
      </c>
    </row>
    <row r="1708" customFormat="false" ht="15" hidden="false" customHeight="false" outlineLevel="0" collapsed="false">
      <c r="A1708" s="2" t="s">
        <v>1654</v>
      </c>
      <c r="B1708" s="13" t="n">
        <v>46287</v>
      </c>
      <c r="C1708" s="2" t="s">
        <v>82</v>
      </c>
      <c r="D1708" s="2" t="n">
        <v>1</v>
      </c>
      <c r="E1708" s="14" t="s">
        <v>451</v>
      </c>
      <c r="F1708" s="7" t="n">
        <v>13000</v>
      </c>
    </row>
    <row r="1709" customFormat="false" ht="15" hidden="false" customHeight="false" outlineLevel="0" collapsed="false">
      <c r="A1709" s="2" t="s">
        <v>1655</v>
      </c>
      <c r="B1709" s="13" t="n">
        <v>46287</v>
      </c>
      <c r="C1709" s="2" t="s">
        <v>186</v>
      </c>
      <c r="D1709" s="2" t="n">
        <v>1</v>
      </c>
      <c r="E1709" s="14" t="s">
        <v>453</v>
      </c>
      <c r="F1709" s="7" t="n">
        <v>7000</v>
      </c>
    </row>
    <row r="1710" customFormat="false" ht="15" hidden="false" customHeight="false" outlineLevel="0" collapsed="false">
      <c r="A1710" s="2" t="s">
        <v>1655</v>
      </c>
      <c r="B1710" s="13" t="n">
        <v>46287</v>
      </c>
      <c r="C1710" s="2" t="s">
        <v>101</v>
      </c>
      <c r="D1710" s="2" t="n">
        <v>1</v>
      </c>
      <c r="E1710" s="14" t="s">
        <v>453</v>
      </c>
      <c r="F1710" s="7" t="n">
        <v>18000</v>
      </c>
    </row>
    <row r="1711" customFormat="false" ht="15" hidden="false" customHeight="false" outlineLevel="0" collapsed="false">
      <c r="A1711" s="2" t="s">
        <v>1655</v>
      </c>
      <c r="B1711" s="13" t="n">
        <v>46287</v>
      </c>
      <c r="C1711" s="2" t="s">
        <v>84</v>
      </c>
      <c r="D1711" s="2" t="n">
        <v>1</v>
      </c>
      <c r="E1711" s="14" t="s">
        <v>453</v>
      </c>
      <c r="F1711" s="7" t="n">
        <v>5000</v>
      </c>
    </row>
    <row r="1712" customFormat="false" ht="15" hidden="false" customHeight="false" outlineLevel="0" collapsed="false">
      <c r="A1712" s="2" t="s">
        <v>1656</v>
      </c>
      <c r="B1712" s="13" t="n">
        <v>46287</v>
      </c>
      <c r="C1712" s="2" t="s">
        <v>101</v>
      </c>
      <c r="D1712" s="2" t="n">
        <v>1</v>
      </c>
      <c r="E1712" s="14" t="s">
        <v>869</v>
      </c>
      <c r="F1712" s="7" t="n">
        <v>18000</v>
      </c>
    </row>
    <row r="1713" customFormat="false" ht="15" hidden="false" customHeight="false" outlineLevel="0" collapsed="false">
      <c r="A1713" s="2" t="s">
        <v>1656</v>
      </c>
      <c r="B1713" s="13" t="n">
        <v>46287</v>
      </c>
      <c r="C1713" s="2" t="s">
        <v>79</v>
      </c>
      <c r="D1713" s="2" t="n">
        <v>2</v>
      </c>
      <c r="E1713" s="14" t="s">
        <v>869</v>
      </c>
      <c r="F1713" s="7" t="n">
        <v>16000</v>
      </c>
    </row>
    <row r="1714" customFormat="false" ht="15" hidden="false" customHeight="false" outlineLevel="0" collapsed="false">
      <c r="A1714" s="2" t="s">
        <v>1657</v>
      </c>
      <c r="B1714" s="13" t="n">
        <v>46287</v>
      </c>
      <c r="C1714" s="2" t="s">
        <v>101</v>
      </c>
      <c r="D1714" s="2" t="n">
        <v>1</v>
      </c>
      <c r="E1714" s="14" t="s">
        <v>1658</v>
      </c>
      <c r="F1714" s="7" t="n">
        <v>18000</v>
      </c>
    </row>
    <row r="1715" customFormat="false" ht="15" hidden="false" customHeight="false" outlineLevel="0" collapsed="false">
      <c r="A1715" s="2" t="s">
        <v>1657</v>
      </c>
      <c r="B1715" s="13" t="n">
        <v>46287</v>
      </c>
      <c r="C1715" s="2" t="s">
        <v>132</v>
      </c>
      <c r="D1715" s="2" t="n">
        <v>1</v>
      </c>
      <c r="E1715" s="14" t="s">
        <v>1658</v>
      </c>
      <c r="F1715" s="7" t="n">
        <v>15000</v>
      </c>
    </row>
    <row r="1716" customFormat="false" ht="15" hidden="false" customHeight="false" outlineLevel="0" collapsed="false">
      <c r="A1716" s="2" t="s">
        <v>1659</v>
      </c>
      <c r="B1716" s="13" t="n">
        <v>46287</v>
      </c>
      <c r="C1716" s="2" t="s">
        <v>92</v>
      </c>
      <c r="D1716" s="2" t="n">
        <v>2</v>
      </c>
      <c r="E1716" s="14" t="s">
        <v>628</v>
      </c>
      <c r="F1716" s="7" t="n">
        <v>4000</v>
      </c>
    </row>
    <row r="1717" customFormat="false" ht="15" hidden="false" customHeight="false" outlineLevel="0" collapsed="false">
      <c r="A1717" s="2" t="s">
        <v>1660</v>
      </c>
      <c r="B1717" s="13" t="n">
        <v>46287</v>
      </c>
      <c r="C1717" s="2" t="s">
        <v>89</v>
      </c>
      <c r="D1717" s="2" t="n">
        <v>1</v>
      </c>
      <c r="E1717" s="14" t="s">
        <v>1661</v>
      </c>
      <c r="F1717" s="7" t="n">
        <v>14000</v>
      </c>
    </row>
    <row r="1718" customFormat="false" ht="15" hidden="false" customHeight="false" outlineLevel="0" collapsed="false">
      <c r="A1718" s="2" t="s">
        <v>1660</v>
      </c>
      <c r="B1718" s="13" t="n">
        <v>46287</v>
      </c>
      <c r="C1718" s="2" t="s">
        <v>132</v>
      </c>
      <c r="D1718" s="2" t="n">
        <v>2</v>
      </c>
      <c r="E1718" s="14" t="s">
        <v>1661</v>
      </c>
      <c r="F1718" s="7" t="n">
        <v>15000</v>
      </c>
    </row>
    <row r="1719" customFormat="false" ht="15" hidden="false" customHeight="false" outlineLevel="0" collapsed="false">
      <c r="A1719" s="2" t="s">
        <v>1662</v>
      </c>
      <c r="B1719" s="13" t="n">
        <v>46287</v>
      </c>
      <c r="C1719" s="2" t="s">
        <v>126</v>
      </c>
      <c r="D1719" s="2" t="n">
        <v>2</v>
      </c>
      <c r="E1719" s="14" t="s">
        <v>1465</v>
      </c>
      <c r="F1719" s="7" t="n">
        <v>3000</v>
      </c>
    </row>
    <row r="1720" customFormat="false" ht="15" hidden="false" customHeight="false" outlineLevel="0" collapsed="false">
      <c r="A1720" s="2" t="s">
        <v>1663</v>
      </c>
      <c r="B1720" s="13" t="n">
        <v>46287</v>
      </c>
      <c r="C1720" s="2" t="s">
        <v>84</v>
      </c>
      <c r="D1720" s="2" t="n">
        <v>2</v>
      </c>
      <c r="E1720" s="14" t="s">
        <v>1171</v>
      </c>
      <c r="F1720" s="7" t="n">
        <v>5000</v>
      </c>
    </row>
    <row r="1721" customFormat="false" ht="15" hidden="false" customHeight="false" outlineLevel="0" collapsed="false">
      <c r="A1721" s="2" t="s">
        <v>1663</v>
      </c>
      <c r="B1721" s="13" t="n">
        <v>46287</v>
      </c>
      <c r="C1721" s="2" t="s">
        <v>101</v>
      </c>
      <c r="D1721" s="2" t="n">
        <v>1</v>
      </c>
      <c r="E1721" s="14" t="s">
        <v>1171</v>
      </c>
      <c r="F1721" s="7" t="n">
        <v>18000</v>
      </c>
    </row>
    <row r="1722" customFormat="false" ht="15" hidden="false" customHeight="false" outlineLevel="0" collapsed="false">
      <c r="A1722" s="2" t="s">
        <v>1664</v>
      </c>
      <c r="B1722" s="13" t="n">
        <v>46287</v>
      </c>
      <c r="C1722" s="2" t="s">
        <v>81</v>
      </c>
      <c r="D1722" s="2" t="n">
        <v>1</v>
      </c>
      <c r="E1722" s="14" t="s">
        <v>204</v>
      </c>
      <c r="F1722" s="7" t="n">
        <v>15000</v>
      </c>
    </row>
    <row r="1723" customFormat="false" ht="15" hidden="false" customHeight="false" outlineLevel="0" collapsed="false">
      <c r="A1723" s="2" t="s">
        <v>1665</v>
      </c>
      <c r="B1723" s="13" t="n">
        <v>46287</v>
      </c>
      <c r="C1723" s="2" t="s">
        <v>132</v>
      </c>
      <c r="D1723" s="2" t="n">
        <v>1</v>
      </c>
      <c r="E1723" s="14" t="s">
        <v>1525</v>
      </c>
      <c r="F1723" s="7" t="n">
        <v>15000</v>
      </c>
    </row>
    <row r="1724" customFormat="false" ht="15" hidden="false" customHeight="false" outlineLevel="0" collapsed="false">
      <c r="A1724" s="2" t="s">
        <v>1665</v>
      </c>
      <c r="B1724" s="13" t="n">
        <v>46287</v>
      </c>
      <c r="C1724" s="2" t="s">
        <v>89</v>
      </c>
      <c r="D1724" s="2" t="n">
        <v>1</v>
      </c>
      <c r="E1724" s="14" t="s">
        <v>1525</v>
      </c>
      <c r="F1724" s="7" t="n">
        <v>14000</v>
      </c>
    </row>
    <row r="1725" customFormat="false" ht="15" hidden="false" customHeight="false" outlineLevel="0" collapsed="false">
      <c r="A1725" s="2" t="s">
        <v>1666</v>
      </c>
      <c r="B1725" s="13" t="n">
        <v>46287</v>
      </c>
      <c r="C1725" s="2" t="s">
        <v>89</v>
      </c>
      <c r="D1725" s="2" t="n">
        <v>1</v>
      </c>
      <c r="E1725" s="14" t="s">
        <v>1667</v>
      </c>
      <c r="F1725" s="7" t="n">
        <v>14000</v>
      </c>
    </row>
    <row r="1726" customFormat="false" ht="15" hidden="false" customHeight="false" outlineLevel="0" collapsed="false">
      <c r="A1726" s="2" t="s">
        <v>1668</v>
      </c>
      <c r="B1726" s="13" t="n">
        <v>46287</v>
      </c>
      <c r="C1726" s="2" t="s">
        <v>82</v>
      </c>
      <c r="D1726" s="2" t="n">
        <v>1</v>
      </c>
      <c r="E1726" s="14" t="s">
        <v>1669</v>
      </c>
      <c r="F1726" s="7" t="n">
        <v>13000</v>
      </c>
    </row>
    <row r="1727" customFormat="false" ht="15" hidden="false" customHeight="false" outlineLevel="0" collapsed="false">
      <c r="A1727" s="2" t="s">
        <v>1668</v>
      </c>
      <c r="B1727" s="13" t="n">
        <v>46287</v>
      </c>
      <c r="C1727" s="2" t="s">
        <v>101</v>
      </c>
      <c r="D1727" s="2" t="n">
        <v>2</v>
      </c>
      <c r="E1727" s="14" t="s">
        <v>1669</v>
      </c>
      <c r="F1727" s="7" t="n">
        <v>18000</v>
      </c>
    </row>
    <row r="1728" customFormat="false" ht="15" hidden="false" customHeight="false" outlineLevel="0" collapsed="false">
      <c r="A1728" s="2" t="s">
        <v>1670</v>
      </c>
      <c r="B1728" s="13" t="n">
        <v>46287</v>
      </c>
      <c r="C1728" s="2" t="s">
        <v>84</v>
      </c>
      <c r="D1728" s="2" t="n">
        <v>1</v>
      </c>
      <c r="E1728" s="14" t="s">
        <v>1284</v>
      </c>
      <c r="F1728" s="7" t="n">
        <v>5000</v>
      </c>
    </row>
    <row r="1729" customFormat="false" ht="15" hidden="false" customHeight="false" outlineLevel="0" collapsed="false">
      <c r="A1729" s="2" t="s">
        <v>1670</v>
      </c>
      <c r="B1729" s="13" t="n">
        <v>46287</v>
      </c>
      <c r="C1729" s="2" t="s">
        <v>89</v>
      </c>
      <c r="D1729" s="2" t="n">
        <v>1</v>
      </c>
      <c r="E1729" s="14" t="s">
        <v>1284</v>
      </c>
      <c r="F1729" s="7" t="n">
        <v>14000</v>
      </c>
    </row>
    <row r="1730" customFormat="false" ht="15" hidden="false" customHeight="false" outlineLevel="0" collapsed="false">
      <c r="A1730" s="2" t="s">
        <v>1671</v>
      </c>
      <c r="B1730" s="13" t="n">
        <v>46287</v>
      </c>
      <c r="C1730" s="2" t="s">
        <v>112</v>
      </c>
      <c r="D1730" s="2" t="n">
        <v>2</v>
      </c>
      <c r="E1730" s="14" t="s">
        <v>1672</v>
      </c>
      <c r="F1730" s="7" t="n">
        <v>10000</v>
      </c>
    </row>
    <row r="1731" customFormat="false" ht="15" hidden="false" customHeight="false" outlineLevel="0" collapsed="false">
      <c r="A1731" s="2" t="s">
        <v>1671</v>
      </c>
      <c r="B1731" s="13" t="n">
        <v>46287</v>
      </c>
      <c r="C1731" s="2" t="s">
        <v>101</v>
      </c>
      <c r="D1731" s="2" t="n">
        <v>1</v>
      </c>
      <c r="E1731" s="14" t="s">
        <v>1672</v>
      </c>
      <c r="F1731" s="7" t="n">
        <v>18000</v>
      </c>
    </row>
    <row r="1732" customFormat="false" ht="15" hidden="false" customHeight="false" outlineLevel="0" collapsed="false">
      <c r="A1732" s="2" t="s">
        <v>1673</v>
      </c>
      <c r="B1732" s="13" t="n">
        <v>46287</v>
      </c>
      <c r="C1732" s="2" t="s">
        <v>84</v>
      </c>
      <c r="D1732" s="2" t="n">
        <v>1</v>
      </c>
      <c r="E1732" s="14" t="s">
        <v>1674</v>
      </c>
      <c r="F1732" s="7" t="n">
        <v>5000</v>
      </c>
    </row>
    <row r="1733" customFormat="false" ht="15" hidden="false" customHeight="false" outlineLevel="0" collapsed="false">
      <c r="A1733" s="2" t="s">
        <v>1673</v>
      </c>
      <c r="B1733" s="13" t="n">
        <v>46287</v>
      </c>
      <c r="C1733" s="2" t="s">
        <v>101</v>
      </c>
      <c r="D1733" s="2" t="n">
        <v>1</v>
      </c>
      <c r="E1733" s="14" t="s">
        <v>1674</v>
      </c>
      <c r="F1733" s="7" t="n">
        <v>18000</v>
      </c>
    </row>
    <row r="1734" customFormat="false" ht="15" hidden="false" customHeight="false" outlineLevel="0" collapsed="false">
      <c r="A1734" s="2" t="s">
        <v>1675</v>
      </c>
      <c r="B1734" s="13" t="n">
        <v>46287</v>
      </c>
      <c r="C1734" s="2" t="s">
        <v>132</v>
      </c>
      <c r="D1734" s="2" t="n">
        <v>2</v>
      </c>
      <c r="E1734" s="14" t="s">
        <v>294</v>
      </c>
      <c r="F1734" s="7" t="n">
        <v>15000</v>
      </c>
    </row>
    <row r="1735" customFormat="false" ht="15" hidden="false" customHeight="false" outlineLevel="0" collapsed="false">
      <c r="A1735" s="2" t="s">
        <v>1676</v>
      </c>
      <c r="B1735" s="13" t="n">
        <v>46287</v>
      </c>
      <c r="C1735" s="2" t="s">
        <v>132</v>
      </c>
      <c r="D1735" s="2" t="n">
        <v>1</v>
      </c>
      <c r="E1735" s="14" t="s">
        <v>959</v>
      </c>
      <c r="F1735" s="7" t="n">
        <v>15000</v>
      </c>
    </row>
    <row r="1736" customFormat="false" ht="15" hidden="false" customHeight="false" outlineLevel="0" collapsed="false">
      <c r="A1736" s="2" t="s">
        <v>1677</v>
      </c>
      <c r="B1736" s="13" t="n">
        <v>46287</v>
      </c>
      <c r="C1736" s="2" t="s">
        <v>101</v>
      </c>
      <c r="D1736" s="2" t="n">
        <v>2</v>
      </c>
      <c r="E1736" s="14" t="s">
        <v>1678</v>
      </c>
      <c r="F1736" s="7" t="n">
        <v>18000</v>
      </c>
    </row>
    <row r="1737" customFormat="false" ht="15" hidden="false" customHeight="false" outlineLevel="0" collapsed="false">
      <c r="A1737" s="2" t="s">
        <v>1679</v>
      </c>
      <c r="B1737" s="13" t="n">
        <v>46287</v>
      </c>
      <c r="C1737" s="2" t="s">
        <v>84</v>
      </c>
      <c r="D1737" s="2" t="n">
        <v>2</v>
      </c>
      <c r="E1737" s="14" t="s">
        <v>1680</v>
      </c>
      <c r="F1737" s="7" t="n">
        <v>5000</v>
      </c>
    </row>
    <row r="1738" customFormat="false" ht="15" hidden="false" customHeight="false" outlineLevel="0" collapsed="false">
      <c r="A1738" s="2" t="s">
        <v>1681</v>
      </c>
      <c r="B1738" s="13" t="n">
        <v>46287</v>
      </c>
      <c r="C1738" s="2" t="s">
        <v>81</v>
      </c>
      <c r="D1738" s="2" t="n">
        <v>1</v>
      </c>
      <c r="E1738" s="14" t="s">
        <v>905</v>
      </c>
      <c r="F1738" s="7" t="n">
        <v>15000</v>
      </c>
    </row>
    <row r="1739" customFormat="false" ht="15" hidden="false" customHeight="false" outlineLevel="0" collapsed="false">
      <c r="A1739" s="2" t="s">
        <v>1681</v>
      </c>
      <c r="B1739" s="13" t="n">
        <v>46287</v>
      </c>
      <c r="C1739" s="2" t="s">
        <v>132</v>
      </c>
      <c r="D1739" s="2" t="n">
        <v>2</v>
      </c>
      <c r="E1739" s="14" t="s">
        <v>905</v>
      </c>
      <c r="F1739" s="7" t="n">
        <v>15000</v>
      </c>
    </row>
    <row r="1740" customFormat="false" ht="15" hidden="false" customHeight="false" outlineLevel="0" collapsed="false">
      <c r="A1740" s="2" t="s">
        <v>1682</v>
      </c>
      <c r="B1740" s="13" t="n">
        <v>46287</v>
      </c>
      <c r="C1740" s="2" t="s">
        <v>84</v>
      </c>
      <c r="D1740" s="2" t="n">
        <v>2</v>
      </c>
      <c r="E1740" s="14" t="s">
        <v>512</v>
      </c>
      <c r="F1740" s="7" t="n">
        <v>0</v>
      </c>
    </row>
    <row r="1741" customFormat="false" ht="15" hidden="false" customHeight="false" outlineLevel="0" collapsed="false">
      <c r="A1741" s="2" t="s">
        <v>1683</v>
      </c>
      <c r="B1741" s="13" t="n">
        <v>46287</v>
      </c>
      <c r="C1741" s="2" t="s">
        <v>81</v>
      </c>
      <c r="D1741" s="2" t="n">
        <v>1</v>
      </c>
      <c r="E1741" s="14" t="s">
        <v>514</v>
      </c>
      <c r="F1741" s="7" t="n">
        <v>15000</v>
      </c>
    </row>
    <row r="1742" customFormat="false" ht="15" hidden="false" customHeight="false" outlineLevel="0" collapsed="false">
      <c r="A1742" s="2" t="s">
        <v>1683</v>
      </c>
      <c r="B1742" s="13" t="n">
        <v>46287</v>
      </c>
      <c r="C1742" s="2" t="s">
        <v>79</v>
      </c>
      <c r="D1742" s="2" t="n">
        <v>1</v>
      </c>
      <c r="E1742" s="14" t="s">
        <v>514</v>
      </c>
      <c r="F1742" s="7" t="n">
        <v>16000</v>
      </c>
    </row>
    <row r="1743" customFormat="false" ht="15" hidden="false" customHeight="false" outlineLevel="0" collapsed="false">
      <c r="A1743" s="2" t="s">
        <v>1684</v>
      </c>
      <c r="B1743" s="13" t="n">
        <v>46287</v>
      </c>
      <c r="C1743" s="2" t="s">
        <v>186</v>
      </c>
      <c r="D1743" s="2" t="n">
        <v>1</v>
      </c>
      <c r="E1743" s="14" t="s">
        <v>908</v>
      </c>
      <c r="F1743" s="7" t="n">
        <v>7000</v>
      </c>
    </row>
    <row r="1744" customFormat="false" ht="15" hidden="false" customHeight="false" outlineLevel="0" collapsed="false">
      <c r="A1744" s="2" t="s">
        <v>1684</v>
      </c>
      <c r="B1744" s="13" t="n">
        <v>46287</v>
      </c>
      <c r="C1744" s="2" t="s">
        <v>112</v>
      </c>
      <c r="D1744" s="2" t="n">
        <v>2</v>
      </c>
      <c r="E1744" s="14" t="s">
        <v>908</v>
      </c>
      <c r="F1744" s="7" t="n">
        <v>10000</v>
      </c>
    </row>
    <row r="1745" customFormat="false" ht="15" hidden="false" customHeight="false" outlineLevel="0" collapsed="false">
      <c r="A1745" s="2" t="s">
        <v>1685</v>
      </c>
      <c r="B1745" s="13" t="n">
        <v>46287</v>
      </c>
      <c r="C1745" s="2" t="s">
        <v>81</v>
      </c>
      <c r="D1745" s="2" t="n">
        <v>2</v>
      </c>
      <c r="E1745" s="14" t="s">
        <v>1620</v>
      </c>
      <c r="F1745" s="7" t="n">
        <v>15000</v>
      </c>
    </row>
    <row r="1746" customFormat="false" ht="15" hidden="false" customHeight="false" outlineLevel="0" collapsed="false">
      <c r="A1746" s="2" t="s">
        <v>1686</v>
      </c>
      <c r="B1746" s="13" t="n">
        <v>46287</v>
      </c>
      <c r="C1746" s="2" t="s">
        <v>89</v>
      </c>
      <c r="D1746" s="2" t="n">
        <v>1</v>
      </c>
      <c r="E1746" s="14" t="s">
        <v>405</v>
      </c>
      <c r="F1746" s="7" t="n">
        <v>14000</v>
      </c>
    </row>
    <row r="1747" customFormat="false" ht="15" hidden="false" customHeight="false" outlineLevel="0" collapsed="false">
      <c r="A1747" s="2" t="s">
        <v>1686</v>
      </c>
      <c r="B1747" s="13" t="n">
        <v>46287</v>
      </c>
      <c r="C1747" s="2" t="s">
        <v>84</v>
      </c>
      <c r="D1747" s="2" t="n">
        <v>1</v>
      </c>
      <c r="E1747" s="14" t="s">
        <v>405</v>
      </c>
      <c r="F1747" s="7" t="n">
        <v>5000</v>
      </c>
    </row>
    <row r="1748" customFormat="false" ht="15" hidden="false" customHeight="false" outlineLevel="0" collapsed="false">
      <c r="A1748" s="2" t="s">
        <v>1686</v>
      </c>
      <c r="B1748" s="13" t="n">
        <v>46287</v>
      </c>
      <c r="C1748" s="2" t="s">
        <v>101</v>
      </c>
      <c r="D1748" s="2" t="n">
        <v>1</v>
      </c>
      <c r="E1748" s="14" t="s">
        <v>405</v>
      </c>
      <c r="F1748" s="7" t="n">
        <v>18000</v>
      </c>
    </row>
    <row r="1749" customFormat="false" ht="15" hidden="false" customHeight="false" outlineLevel="0" collapsed="false">
      <c r="A1749" s="2" t="s">
        <v>1687</v>
      </c>
      <c r="B1749" s="13" t="n">
        <v>46287</v>
      </c>
      <c r="C1749" s="2" t="s">
        <v>81</v>
      </c>
      <c r="D1749" s="2" t="n">
        <v>1</v>
      </c>
      <c r="E1749" s="14" t="s">
        <v>823</v>
      </c>
      <c r="F1749" s="7" t="n">
        <v>15000</v>
      </c>
    </row>
    <row r="1750" customFormat="false" ht="15" hidden="false" customHeight="false" outlineLevel="0" collapsed="false">
      <c r="A1750" s="2" t="s">
        <v>1687</v>
      </c>
      <c r="B1750" s="13" t="n">
        <v>46287</v>
      </c>
      <c r="C1750" s="2" t="s">
        <v>89</v>
      </c>
      <c r="D1750" s="2" t="n">
        <v>1</v>
      </c>
      <c r="E1750" s="14" t="s">
        <v>823</v>
      </c>
      <c r="F1750" s="7" t="n">
        <v>14000</v>
      </c>
    </row>
    <row r="1751" customFormat="false" ht="15" hidden="false" customHeight="false" outlineLevel="0" collapsed="false">
      <c r="A1751" s="2" t="s">
        <v>1688</v>
      </c>
      <c r="B1751" s="13" t="n">
        <v>46287</v>
      </c>
      <c r="C1751" s="2" t="s">
        <v>79</v>
      </c>
      <c r="D1751" s="2" t="n">
        <v>1</v>
      </c>
      <c r="E1751" s="14" t="s">
        <v>323</v>
      </c>
      <c r="F1751" s="7" t="n">
        <v>16000</v>
      </c>
    </row>
    <row r="1752" customFormat="false" ht="15" hidden="false" customHeight="false" outlineLevel="0" collapsed="false">
      <c r="A1752" s="2" t="s">
        <v>1688</v>
      </c>
      <c r="B1752" s="13" t="n">
        <v>46287</v>
      </c>
      <c r="C1752" s="2" t="s">
        <v>132</v>
      </c>
      <c r="D1752" s="2" t="n">
        <v>1</v>
      </c>
      <c r="E1752" s="14" t="s">
        <v>323</v>
      </c>
      <c r="F1752" s="7" t="n">
        <v>15000</v>
      </c>
    </row>
    <row r="1753" customFormat="false" ht="15" hidden="false" customHeight="false" outlineLevel="0" collapsed="false">
      <c r="A1753" s="2" t="s">
        <v>1689</v>
      </c>
      <c r="B1753" s="13" t="n">
        <v>46287</v>
      </c>
      <c r="C1753" s="2" t="s">
        <v>108</v>
      </c>
      <c r="D1753" s="2" t="n">
        <v>1</v>
      </c>
      <c r="E1753" s="14" t="s">
        <v>245</v>
      </c>
      <c r="F1753" s="7" t="n">
        <v>20000</v>
      </c>
    </row>
    <row r="1754" customFormat="false" ht="15" hidden="false" customHeight="false" outlineLevel="0" collapsed="false">
      <c r="A1754" s="2" t="s">
        <v>1690</v>
      </c>
      <c r="B1754" s="13" t="n">
        <v>46287</v>
      </c>
      <c r="C1754" s="2" t="s">
        <v>84</v>
      </c>
      <c r="D1754" s="2" t="n">
        <v>2</v>
      </c>
      <c r="E1754" s="14" t="s">
        <v>829</v>
      </c>
      <c r="F1754" s="7" t="n">
        <v>5000</v>
      </c>
    </row>
    <row r="1755" customFormat="false" ht="15" hidden="false" customHeight="false" outlineLevel="0" collapsed="false">
      <c r="A1755" s="2" t="s">
        <v>1690</v>
      </c>
      <c r="B1755" s="13" t="n">
        <v>46287</v>
      </c>
      <c r="C1755" s="2" t="s">
        <v>89</v>
      </c>
      <c r="D1755" s="2" t="n">
        <v>1</v>
      </c>
      <c r="E1755" s="14" t="s">
        <v>829</v>
      </c>
      <c r="F1755" s="7" t="n">
        <v>14000</v>
      </c>
    </row>
    <row r="1756" customFormat="false" ht="15" hidden="false" customHeight="false" outlineLevel="0" collapsed="false">
      <c r="A1756" s="2" t="s">
        <v>1691</v>
      </c>
      <c r="B1756" s="13" t="n">
        <v>46287</v>
      </c>
      <c r="C1756" s="2" t="s">
        <v>79</v>
      </c>
      <c r="D1756" s="2" t="n">
        <v>1</v>
      </c>
      <c r="E1756" s="14" t="s">
        <v>1692</v>
      </c>
      <c r="F1756" s="7" t="n">
        <v>16000</v>
      </c>
    </row>
    <row r="1757" customFormat="false" ht="15" hidden="false" customHeight="false" outlineLevel="0" collapsed="false">
      <c r="A1757" s="2" t="s">
        <v>1693</v>
      </c>
      <c r="B1757" s="13" t="n">
        <v>46287</v>
      </c>
      <c r="C1757" s="2" t="s">
        <v>108</v>
      </c>
      <c r="D1757" s="2" t="n">
        <v>1</v>
      </c>
      <c r="E1757" s="14" t="s">
        <v>154</v>
      </c>
      <c r="F1757" s="7" t="n">
        <v>20000</v>
      </c>
    </row>
    <row r="1758" customFormat="false" ht="15" hidden="false" customHeight="false" outlineLevel="0" collapsed="false">
      <c r="A1758" s="2" t="s">
        <v>1693</v>
      </c>
      <c r="B1758" s="13" t="n">
        <v>46287</v>
      </c>
      <c r="C1758" s="2" t="s">
        <v>112</v>
      </c>
      <c r="D1758" s="2" t="n">
        <v>2</v>
      </c>
      <c r="E1758" s="14" t="s">
        <v>154</v>
      </c>
      <c r="F1758" s="7" t="n">
        <v>10000</v>
      </c>
    </row>
    <row r="1759" customFormat="false" ht="15" hidden="false" customHeight="false" outlineLevel="0" collapsed="false">
      <c r="A1759" s="2" t="s">
        <v>1693</v>
      </c>
      <c r="B1759" s="13" t="n">
        <v>46287</v>
      </c>
      <c r="C1759" s="2" t="s">
        <v>84</v>
      </c>
      <c r="D1759" s="2" t="n">
        <v>1</v>
      </c>
      <c r="E1759" s="14" t="s">
        <v>154</v>
      </c>
      <c r="F1759" s="7" t="n">
        <v>5000</v>
      </c>
    </row>
    <row r="1760" customFormat="false" ht="15" hidden="false" customHeight="false" outlineLevel="0" collapsed="false">
      <c r="A1760" s="2" t="s">
        <v>1694</v>
      </c>
      <c r="B1760" s="13" t="n">
        <v>46287</v>
      </c>
      <c r="C1760" s="2" t="s">
        <v>84</v>
      </c>
      <c r="D1760" s="2" t="n">
        <v>1</v>
      </c>
      <c r="E1760" s="14" t="s">
        <v>253</v>
      </c>
      <c r="F1760" s="7" t="n">
        <v>5000</v>
      </c>
    </row>
    <row r="1761" customFormat="false" ht="15" hidden="false" customHeight="false" outlineLevel="0" collapsed="false">
      <c r="A1761" s="2" t="s">
        <v>1695</v>
      </c>
      <c r="B1761" s="13" t="n">
        <v>46287</v>
      </c>
      <c r="C1761" s="2" t="s">
        <v>81</v>
      </c>
      <c r="D1761" s="2" t="n">
        <v>2</v>
      </c>
      <c r="E1761" s="14" t="s">
        <v>834</v>
      </c>
      <c r="F1761" s="7" t="n">
        <v>15000</v>
      </c>
    </row>
    <row r="1762" customFormat="false" ht="15" hidden="false" customHeight="false" outlineLevel="0" collapsed="false">
      <c r="A1762" s="2" t="s">
        <v>1695</v>
      </c>
      <c r="B1762" s="13" t="n">
        <v>46287</v>
      </c>
      <c r="C1762" s="2" t="s">
        <v>84</v>
      </c>
      <c r="D1762" s="2" t="n">
        <v>2</v>
      </c>
      <c r="E1762" s="14" t="s">
        <v>834</v>
      </c>
      <c r="F1762" s="7" t="n">
        <v>5000</v>
      </c>
    </row>
    <row r="1763" customFormat="false" ht="15" hidden="false" customHeight="false" outlineLevel="0" collapsed="false">
      <c r="A1763" s="2" t="s">
        <v>1695</v>
      </c>
      <c r="B1763" s="13" t="n">
        <v>46287</v>
      </c>
      <c r="C1763" s="2" t="s">
        <v>132</v>
      </c>
      <c r="D1763" s="2" t="n">
        <v>1</v>
      </c>
      <c r="E1763" s="14" t="s">
        <v>834</v>
      </c>
      <c r="F1763" s="7" t="n">
        <v>15000</v>
      </c>
    </row>
    <row r="1764" customFormat="false" ht="15" hidden="false" customHeight="false" outlineLevel="0" collapsed="false">
      <c r="A1764" s="2" t="s">
        <v>1696</v>
      </c>
      <c r="B1764" s="13" t="n">
        <v>46287</v>
      </c>
      <c r="C1764" s="2" t="s">
        <v>84</v>
      </c>
      <c r="D1764" s="2" t="n">
        <v>2</v>
      </c>
      <c r="E1764" s="14" t="s">
        <v>1310</v>
      </c>
      <c r="F1764" s="7" t="n">
        <v>5000</v>
      </c>
    </row>
    <row r="1765" customFormat="false" ht="15" hidden="false" customHeight="false" outlineLevel="0" collapsed="false">
      <c r="A1765" s="2" t="s">
        <v>1696</v>
      </c>
      <c r="B1765" s="13" t="n">
        <v>46287</v>
      </c>
      <c r="C1765" s="2" t="s">
        <v>89</v>
      </c>
      <c r="D1765" s="2" t="n">
        <v>2</v>
      </c>
      <c r="E1765" s="14" t="s">
        <v>1310</v>
      </c>
      <c r="F1765" s="7" t="n">
        <v>14000</v>
      </c>
    </row>
    <row r="1766" customFormat="false" ht="15" hidden="false" customHeight="false" outlineLevel="0" collapsed="false">
      <c r="A1766" s="2" t="s">
        <v>1697</v>
      </c>
      <c r="B1766" s="13" t="n">
        <v>46287</v>
      </c>
      <c r="C1766" s="2" t="s">
        <v>89</v>
      </c>
      <c r="D1766" s="2" t="n">
        <v>3</v>
      </c>
      <c r="E1766" s="14" t="s">
        <v>1137</v>
      </c>
      <c r="F1766" s="7" t="n">
        <v>14000</v>
      </c>
    </row>
    <row r="1767" customFormat="false" ht="15" hidden="false" customHeight="false" outlineLevel="0" collapsed="false">
      <c r="A1767" s="2" t="s">
        <v>1698</v>
      </c>
      <c r="B1767" s="13" t="n">
        <v>46287</v>
      </c>
      <c r="C1767" s="2" t="s">
        <v>89</v>
      </c>
      <c r="D1767" s="2" t="n">
        <v>2</v>
      </c>
      <c r="E1767" s="14" t="s">
        <v>331</v>
      </c>
      <c r="F1767" s="7" t="n">
        <v>14000</v>
      </c>
    </row>
    <row r="1768" customFormat="false" ht="15" hidden="false" customHeight="false" outlineLevel="0" collapsed="false">
      <c r="A1768" s="2" t="s">
        <v>1698</v>
      </c>
      <c r="B1768" s="13" t="n">
        <v>46287</v>
      </c>
      <c r="C1768" s="2" t="s">
        <v>112</v>
      </c>
      <c r="D1768" s="2" t="n">
        <v>2</v>
      </c>
      <c r="E1768" s="14" t="s">
        <v>331</v>
      </c>
      <c r="F1768" s="7" t="n">
        <v>10000</v>
      </c>
    </row>
    <row r="1769" customFormat="false" ht="15" hidden="false" customHeight="false" outlineLevel="0" collapsed="false">
      <c r="A1769" s="2" t="s">
        <v>1699</v>
      </c>
      <c r="B1769" s="13" t="n">
        <v>46287</v>
      </c>
      <c r="C1769" s="2" t="s">
        <v>126</v>
      </c>
      <c r="D1769" s="2" t="n">
        <v>1</v>
      </c>
      <c r="E1769" s="14" t="s">
        <v>1501</v>
      </c>
      <c r="F1769" s="7" t="n">
        <v>3000</v>
      </c>
    </row>
    <row r="1770" customFormat="false" ht="15" hidden="false" customHeight="false" outlineLevel="0" collapsed="false">
      <c r="A1770" s="2" t="s">
        <v>1699</v>
      </c>
      <c r="B1770" s="13" t="n">
        <v>46287</v>
      </c>
      <c r="C1770" s="2" t="s">
        <v>1700</v>
      </c>
      <c r="D1770" s="2" t="n">
        <v>1</v>
      </c>
      <c r="E1770" s="14" t="s">
        <v>1501</v>
      </c>
      <c r="F1770" s="7" t="n">
        <v>5000</v>
      </c>
    </row>
    <row r="1771" customFormat="false" ht="15" hidden="false" customHeight="false" outlineLevel="0" collapsed="false">
      <c r="A1771" s="2" t="s">
        <v>1699</v>
      </c>
      <c r="B1771" s="13" t="n">
        <v>46287</v>
      </c>
      <c r="C1771" s="2" t="s">
        <v>81</v>
      </c>
      <c r="D1771" s="2" t="n">
        <v>1</v>
      </c>
      <c r="E1771" s="14" t="s">
        <v>1501</v>
      </c>
      <c r="F1771" s="7" t="n">
        <v>15000</v>
      </c>
    </row>
    <row r="1772" customFormat="false" ht="15" hidden="false" customHeight="false" outlineLevel="0" collapsed="false">
      <c r="A1772" s="2" t="s">
        <v>1701</v>
      </c>
      <c r="B1772" s="13" t="n">
        <v>46287</v>
      </c>
      <c r="C1772" s="2" t="s">
        <v>84</v>
      </c>
      <c r="D1772" s="2" t="n">
        <v>2</v>
      </c>
      <c r="E1772" s="14" t="s">
        <v>837</v>
      </c>
      <c r="F1772" s="7" t="n">
        <v>5000</v>
      </c>
    </row>
    <row r="1773" customFormat="false" ht="15" hidden="false" customHeight="false" outlineLevel="0" collapsed="false">
      <c r="A1773" s="2" t="s">
        <v>1701</v>
      </c>
      <c r="B1773" s="13" t="n">
        <v>46287</v>
      </c>
      <c r="C1773" s="2" t="s">
        <v>112</v>
      </c>
      <c r="D1773" s="2" t="n">
        <v>1</v>
      </c>
      <c r="E1773" s="14" t="s">
        <v>837</v>
      </c>
      <c r="F1773" s="7" t="n">
        <v>10000</v>
      </c>
    </row>
    <row r="1774" customFormat="false" ht="15" hidden="false" customHeight="false" outlineLevel="0" collapsed="false">
      <c r="A1774" s="2" t="s">
        <v>1702</v>
      </c>
      <c r="B1774" s="13" t="n">
        <v>46288</v>
      </c>
      <c r="C1774" s="2" t="s">
        <v>81</v>
      </c>
      <c r="D1774" s="2" t="n">
        <v>1</v>
      </c>
      <c r="E1774" s="14" t="s">
        <v>428</v>
      </c>
      <c r="F1774" s="7" t="n">
        <v>15000</v>
      </c>
    </row>
    <row r="1775" customFormat="false" ht="15" hidden="false" customHeight="false" outlineLevel="0" collapsed="false">
      <c r="A1775" s="2" t="s">
        <v>1702</v>
      </c>
      <c r="B1775" s="13" t="n">
        <v>46288</v>
      </c>
      <c r="C1775" s="2" t="s">
        <v>89</v>
      </c>
      <c r="D1775" s="2" t="n">
        <v>1</v>
      </c>
      <c r="E1775" s="14" t="s">
        <v>428</v>
      </c>
      <c r="F1775" s="7" t="n">
        <v>14000</v>
      </c>
    </row>
    <row r="1776" customFormat="false" ht="15" hidden="false" customHeight="false" outlineLevel="0" collapsed="false">
      <c r="A1776" s="2" t="s">
        <v>1703</v>
      </c>
      <c r="B1776" s="13" t="n">
        <v>46288</v>
      </c>
      <c r="C1776" s="2" t="s">
        <v>92</v>
      </c>
      <c r="D1776" s="2" t="n">
        <v>1</v>
      </c>
      <c r="E1776" s="14" t="s">
        <v>1206</v>
      </c>
      <c r="F1776" s="7" t="n">
        <v>4000</v>
      </c>
    </row>
    <row r="1777" customFormat="false" ht="15" hidden="false" customHeight="false" outlineLevel="0" collapsed="false">
      <c r="A1777" s="2" t="s">
        <v>1704</v>
      </c>
      <c r="B1777" s="13" t="n">
        <v>46288</v>
      </c>
      <c r="C1777" s="2" t="s">
        <v>108</v>
      </c>
      <c r="D1777" s="2" t="n">
        <v>1</v>
      </c>
      <c r="E1777" s="14" t="s">
        <v>1705</v>
      </c>
      <c r="F1777" s="7" t="n">
        <v>20000</v>
      </c>
    </row>
    <row r="1778" customFormat="false" ht="15" hidden="false" customHeight="false" outlineLevel="0" collapsed="false">
      <c r="A1778" s="2" t="s">
        <v>1706</v>
      </c>
      <c r="B1778" s="13" t="n">
        <v>46288</v>
      </c>
      <c r="C1778" s="2" t="s">
        <v>84</v>
      </c>
      <c r="D1778" s="2" t="n">
        <v>1</v>
      </c>
      <c r="E1778" s="14" t="s">
        <v>693</v>
      </c>
      <c r="F1778" s="7" t="n">
        <v>5000</v>
      </c>
    </row>
    <row r="1779" customFormat="false" ht="15" hidden="false" customHeight="false" outlineLevel="0" collapsed="false">
      <c r="A1779" s="2" t="s">
        <v>1706</v>
      </c>
      <c r="B1779" s="13" t="n">
        <v>46288</v>
      </c>
      <c r="C1779" s="2" t="s">
        <v>101</v>
      </c>
      <c r="D1779" s="2" t="n">
        <v>-1</v>
      </c>
      <c r="E1779" s="14" t="s">
        <v>693</v>
      </c>
      <c r="F1779" s="7" t="n">
        <v>18000</v>
      </c>
    </row>
    <row r="1780" customFormat="false" ht="15" hidden="false" customHeight="false" outlineLevel="0" collapsed="false">
      <c r="A1780" s="2" t="s">
        <v>1707</v>
      </c>
      <c r="B1780" s="13" t="n">
        <v>46288</v>
      </c>
      <c r="C1780" s="2" t="s">
        <v>84</v>
      </c>
      <c r="D1780" s="2" t="n">
        <v>1</v>
      </c>
      <c r="E1780" s="14" t="s">
        <v>1708</v>
      </c>
      <c r="F1780" s="7"/>
    </row>
    <row r="1781" customFormat="false" ht="15" hidden="false" customHeight="false" outlineLevel="0" collapsed="false">
      <c r="A1781" s="2" t="s">
        <v>1709</v>
      </c>
      <c r="B1781" s="13" t="n">
        <v>46288</v>
      </c>
      <c r="C1781" s="2" t="s">
        <v>101</v>
      </c>
      <c r="D1781" s="2" t="n">
        <v>1</v>
      </c>
      <c r="E1781" s="14" t="s">
        <v>1710</v>
      </c>
      <c r="F1781" s="7" t="n">
        <v>18000</v>
      </c>
    </row>
    <row r="1782" customFormat="false" ht="15" hidden="false" customHeight="false" outlineLevel="0" collapsed="false">
      <c r="A1782" s="2" t="s">
        <v>1711</v>
      </c>
      <c r="B1782" s="13" t="n">
        <v>46288</v>
      </c>
      <c r="C1782" s="2" t="s">
        <v>186</v>
      </c>
      <c r="D1782" s="2" t="n">
        <v>2</v>
      </c>
      <c r="E1782" s="14" t="s">
        <v>933</v>
      </c>
      <c r="F1782" s="7" t="n">
        <v>7000</v>
      </c>
    </row>
    <row r="1783" customFormat="false" ht="15" hidden="false" customHeight="false" outlineLevel="0" collapsed="false">
      <c r="A1783" s="2" t="s">
        <v>1712</v>
      </c>
      <c r="B1783" s="13" t="n">
        <v>46288</v>
      </c>
      <c r="C1783" s="2" t="s">
        <v>101</v>
      </c>
      <c r="D1783" s="2" t="n">
        <v>1</v>
      </c>
      <c r="E1783" s="14" t="s">
        <v>443</v>
      </c>
      <c r="F1783" s="7" t="n">
        <v>18000</v>
      </c>
    </row>
    <row r="1784" customFormat="false" ht="15" hidden="false" customHeight="false" outlineLevel="0" collapsed="false">
      <c r="A1784" s="2" t="s">
        <v>1712</v>
      </c>
      <c r="B1784" s="13" t="n">
        <v>46288</v>
      </c>
      <c r="C1784" s="2" t="s">
        <v>186</v>
      </c>
      <c r="D1784" s="2" t="n">
        <v>1</v>
      </c>
      <c r="E1784" s="14" t="s">
        <v>443</v>
      </c>
      <c r="F1784" s="7" t="n">
        <v>7000</v>
      </c>
    </row>
    <row r="1785" customFormat="false" ht="15" hidden="false" customHeight="false" outlineLevel="0" collapsed="false">
      <c r="A1785" s="2" t="s">
        <v>1713</v>
      </c>
      <c r="B1785" s="13" t="n">
        <v>46288</v>
      </c>
      <c r="C1785" s="2" t="s">
        <v>112</v>
      </c>
      <c r="D1785" s="2" t="n">
        <v>1</v>
      </c>
      <c r="E1785" s="14" t="s">
        <v>1714</v>
      </c>
      <c r="F1785" s="7" t="n">
        <v>10000</v>
      </c>
    </row>
    <row r="1786" customFormat="false" ht="15" hidden="false" customHeight="false" outlineLevel="0" collapsed="false">
      <c r="A1786" s="2" t="s">
        <v>1713</v>
      </c>
      <c r="B1786" s="13" t="n">
        <v>46288</v>
      </c>
      <c r="C1786" s="2" t="s">
        <v>126</v>
      </c>
      <c r="D1786" s="2" t="n">
        <v>1</v>
      </c>
      <c r="E1786" s="14" t="s">
        <v>1714</v>
      </c>
      <c r="F1786" s="7" t="n">
        <v>3000</v>
      </c>
    </row>
    <row r="1787" customFormat="false" ht="15" hidden="false" customHeight="false" outlineLevel="0" collapsed="false">
      <c r="A1787" s="2" t="s">
        <v>1715</v>
      </c>
      <c r="B1787" s="13" t="n">
        <v>46288</v>
      </c>
      <c r="C1787" s="2" t="s">
        <v>126</v>
      </c>
      <c r="D1787" s="2" t="n">
        <v>1</v>
      </c>
      <c r="E1787" s="14" t="s">
        <v>1374</v>
      </c>
      <c r="F1787" s="7" t="n">
        <v>3000</v>
      </c>
    </row>
    <row r="1788" customFormat="false" ht="15" hidden="false" customHeight="false" outlineLevel="0" collapsed="false">
      <c r="A1788" s="2" t="s">
        <v>1716</v>
      </c>
      <c r="B1788" s="13" t="n">
        <v>46288</v>
      </c>
      <c r="C1788" s="2" t="s">
        <v>84</v>
      </c>
      <c r="D1788" s="2" t="n">
        <v>2</v>
      </c>
      <c r="E1788" s="14" t="s">
        <v>938</v>
      </c>
      <c r="F1788" s="7" t="n">
        <v>5000</v>
      </c>
    </row>
    <row r="1789" customFormat="false" ht="15" hidden="false" customHeight="false" outlineLevel="0" collapsed="false">
      <c r="A1789" s="2" t="s">
        <v>1716</v>
      </c>
      <c r="B1789" s="13" t="n">
        <v>46288</v>
      </c>
      <c r="C1789" s="2" t="s">
        <v>89</v>
      </c>
      <c r="D1789" s="2" t="n">
        <v>2</v>
      </c>
      <c r="E1789" s="14" t="s">
        <v>938</v>
      </c>
      <c r="F1789" s="7" t="n">
        <v>14000</v>
      </c>
    </row>
    <row r="1790" customFormat="false" ht="15" hidden="false" customHeight="false" outlineLevel="0" collapsed="false">
      <c r="A1790" s="2" t="s">
        <v>1717</v>
      </c>
      <c r="B1790" s="13" t="n">
        <v>46288</v>
      </c>
      <c r="C1790" s="2" t="s">
        <v>89</v>
      </c>
      <c r="D1790" s="2" t="n">
        <v>2</v>
      </c>
      <c r="E1790" s="14" t="s">
        <v>364</v>
      </c>
      <c r="F1790" s="7" t="n">
        <v>14000</v>
      </c>
    </row>
    <row r="1791" customFormat="false" ht="15" hidden="false" customHeight="false" outlineLevel="0" collapsed="false">
      <c r="A1791" s="2" t="s">
        <v>1718</v>
      </c>
      <c r="B1791" s="13" t="n">
        <v>46288</v>
      </c>
      <c r="C1791" s="2" t="s">
        <v>84</v>
      </c>
      <c r="D1791" s="2" t="n">
        <v>1</v>
      </c>
      <c r="E1791" s="14" t="s">
        <v>1459</v>
      </c>
      <c r="F1791" s="7"/>
    </row>
    <row r="1792" customFormat="false" ht="15" hidden="false" customHeight="false" outlineLevel="0" collapsed="false">
      <c r="A1792" s="2" t="s">
        <v>1719</v>
      </c>
      <c r="B1792" s="13" t="n">
        <v>46288</v>
      </c>
      <c r="C1792" s="2" t="s">
        <v>108</v>
      </c>
      <c r="D1792" s="2" t="n">
        <v>1</v>
      </c>
      <c r="E1792" s="14" t="s">
        <v>1459</v>
      </c>
      <c r="F1792" s="7" t="n">
        <v>20000</v>
      </c>
    </row>
    <row r="1793" customFormat="false" ht="15" hidden="false" customHeight="false" outlineLevel="0" collapsed="false">
      <c r="A1793" s="2" t="s">
        <v>1720</v>
      </c>
      <c r="B1793" s="13" t="n">
        <v>46288</v>
      </c>
      <c r="C1793" s="2" t="s">
        <v>79</v>
      </c>
      <c r="D1793" s="2" t="n">
        <v>1</v>
      </c>
      <c r="E1793" s="14" t="s">
        <v>90</v>
      </c>
      <c r="F1793" s="7" t="n">
        <v>16000</v>
      </c>
    </row>
    <row r="1794" customFormat="false" ht="15" hidden="false" customHeight="false" outlineLevel="0" collapsed="false">
      <c r="A1794" s="2" t="s">
        <v>1720</v>
      </c>
      <c r="B1794" s="13" t="n">
        <v>46288</v>
      </c>
      <c r="C1794" s="2" t="s">
        <v>89</v>
      </c>
      <c r="D1794" s="2" t="n">
        <v>1</v>
      </c>
      <c r="E1794" s="14" t="s">
        <v>90</v>
      </c>
      <c r="F1794" s="7" t="n">
        <v>14000</v>
      </c>
    </row>
    <row r="1795" customFormat="false" ht="15" hidden="false" customHeight="false" outlineLevel="0" collapsed="false">
      <c r="A1795" s="2" t="s">
        <v>1721</v>
      </c>
      <c r="B1795" s="13" t="n">
        <v>46288</v>
      </c>
      <c r="C1795" s="2" t="s">
        <v>79</v>
      </c>
      <c r="D1795" s="2" t="n">
        <v>2</v>
      </c>
      <c r="E1795" s="14" t="s">
        <v>1722</v>
      </c>
      <c r="F1795" s="7" t="n">
        <v>16000</v>
      </c>
    </row>
    <row r="1796" customFormat="false" ht="15" hidden="false" customHeight="false" outlineLevel="0" collapsed="false">
      <c r="A1796" s="2" t="s">
        <v>1721</v>
      </c>
      <c r="B1796" s="13" t="n">
        <v>46288</v>
      </c>
      <c r="C1796" s="2" t="s">
        <v>81</v>
      </c>
      <c r="D1796" s="2" t="n">
        <v>1</v>
      </c>
      <c r="E1796" s="14" t="s">
        <v>1722</v>
      </c>
      <c r="F1796" s="7" t="n">
        <v>15000</v>
      </c>
    </row>
    <row r="1797" customFormat="false" ht="15" hidden="false" customHeight="false" outlineLevel="0" collapsed="false">
      <c r="A1797" s="2" t="s">
        <v>1721</v>
      </c>
      <c r="B1797" s="13" t="n">
        <v>46288</v>
      </c>
      <c r="C1797" s="2" t="s">
        <v>186</v>
      </c>
      <c r="D1797" s="2" t="n">
        <v>1</v>
      </c>
      <c r="E1797" s="14" t="s">
        <v>1722</v>
      </c>
      <c r="F1797" s="7" t="n">
        <v>7000</v>
      </c>
    </row>
    <row r="1798" customFormat="false" ht="15" hidden="false" customHeight="false" outlineLevel="0" collapsed="false">
      <c r="A1798" s="2" t="s">
        <v>1723</v>
      </c>
      <c r="B1798" s="13" t="n">
        <v>46288</v>
      </c>
      <c r="C1798" s="2" t="s">
        <v>84</v>
      </c>
      <c r="D1798" s="2" t="n">
        <v>2</v>
      </c>
      <c r="E1798" s="14" t="s">
        <v>633</v>
      </c>
      <c r="F1798" s="7" t="n">
        <v>5000</v>
      </c>
    </row>
    <row r="1799" customFormat="false" ht="15" hidden="false" customHeight="false" outlineLevel="0" collapsed="false">
      <c r="A1799" s="2" t="s">
        <v>1723</v>
      </c>
      <c r="B1799" s="13" t="n">
        <v>46288</v>
      </c>
      <c r="C1799" s="2" t="s">
        <v>89</v>
      </c>
      <c r="D1799" s="2" t="n">
        <v>1</v>
      </c>
      <c r="E1799" s="14" t="s">
        <v>633</v>
      </c>
      <c r="F1799" s="7" t="n">
        <v>14000</v>
      </c>
    </row>
    <row r="1800" customFormat="false" ht="15" hidden="false" customHeight="false" outlineLevel="0" collapsed="false">
      <c r="A1800" s="2" t="s">
        <v>1723</v>
      </c>
      <c r="B1800" s="13" t="n">
        <v>46288</v>
      </c>
      <c r="C1800" s="2" t="s">
        <v>132</v>
      </c>
      <c r="D1800" s="2" t="n">
        <v>2</v>
      </c>
      <c r="E1800" s="14" t="s">
        <v>633</v>
      </c>
      <c r="F1800" s="7" t="n">
        <v>15000</v>
      </c>
    </row>
    <row r="1801" customFormat="false" ht="15" hidden="false" customHeight="false" outlineLevel="0" collapsed="false">
      <c r="A1801" s="2" t="s">
        <v>1724</v>
      </c>
      <c r="B1801" s="13" t="n">
        <v>46288</v>
      </c>
      <c r="C1801" s="2" t="s">
        <v>89</v>
      </c>
      <c r="D1801" s="2" t="n">
        <v>1</v>
      </c>
      <c r="E1801" s="14" t="s">
        <v>1171</v>
      </c>
      <c r="F1801" s="7" t="n">
        <v>14000</v>
      </c>
    </row>
    <row r="1802" customFormat="false" ht="15" hidden="false" customHeight="false" outlineLevel="0" collapsed="false">
      <c r="A1802" s="2" t="s">
        <v>1725</v>
      </c>
      <c r="B1802" s="13" t="n">
        <v>46288</v>
      </c>
      <c r="C1802" s="2" t="s">
        <v>82</v>
      </c>
      <c r="D1802" s="2" t="n">
        <v>1</v>
      </c>
      <c r="E1802" s="14" t="s">
        <v>1726</v>
      </c>
      <c r="F1802" s="7" t="n">
        <v>13000</v>
      </c>
    </row>
    <row r="1803" customFormat="false" ht="15" hidden="false" customHeight="false" outlineLevel="0" collapsed="false">
      <c r="A1803" s="2" t="s">
        <v>1725</v>
      </c>
      <c r="B1803" s="13" t="n">
        <v>46288</v>
      </c>
      <c r="C1803" s="2" t="s">
        <v>108</v>
      </c>
      <c r="D1803" s="2" t="n">
        <v>1</v>
      </c>
      <c r="E1803" s="14" t="s">
        <v>1726</v>
      </c>
      <c r="F1803" s="7" t="n">
        <v>20000</v>
      </c>
    </row>
    <row r="1804" customFormat="false" ht="15" hidden="false" customHeight="false" outlineLevel="0" collapsed="false">
      <c r="A1804" s="2" t="s">
        <v>1725</v>
      </c>
      <c r="B1804" s="13" t="n">
        <v>46288</v>
      </c>
      <c r="C1804" s="2" t="s">
        <v>112</v>
      </c>
      <c r="D1804" s="2" t="n">
        <v>1</v>
      </c>
      <c r="E1804" s="14" t="s">
        <v>1726</v>
      </c>
      <c r="F1804" s="7" t="n">
        <v>10000</v>
      </c>
    </row>
    <row r="1805" customFormat="false" ht="15" hidden="false" customHeight="false" outlineLevel="0" collapsed="false">
      <c r="A1805" s="2" t="s">
        <v>1727</v>
      </c>
      <c r="B1805" s="13" t="n">
        <v>46288</v>
      </c>
      <c r="C1805" s="2" t="s">
        <v>81</v>
      </c>
      <c r="D1805" s="2" t="n">
        <v>2</v>
      </c>
      <c r="E1805" s="14" t="s">
        <v>1029</v>
      </c>
      <c r="F1805" s="7" t="n">
        <v>15000</v>
      </c>
    </row>
    <row r="1806" customFormat="false" ht="15" hidden="false" customHeight="false" outlineLevel="0" collapsed="false">
      <c r="A1806" s="2" t="s">
        <v>1728</v>
      </c>
      <c r="B1806" s="13" t="n">
        <v>46288</v>
      </c>
      <c r="C1806" s="2" t="s">
        <v>81</v>
      </c>
      <c r="D1806" s="2" t="n">
        <v>2</v>
      </c>
      <c r="E1806" s="14" t="s">
        <v>477</v>
      </c>
      <c r="F1806" s="7" t="n">
        <v>15000</v>
      </c>
    </row>
    <row r="1807" customFormat="false" ht="15" hidden="false" customHeight="false" outlineLevel="0" collapsed="false">
      <c r="A1807" s="2" t="s">
        <v>1728</v>
      </c>
      <c r="B1807" s="13" t="n">
        <v>46288</v>
      </c>
      <c r="C1807" s="2" t="s">
        <v>132</v>
      </c>
      <c r="D1807" s="2" t="n">
        <v>2</v>
      </c>
      <c r="E1807" s="14" t="s">
        <v>477</v>
      </c>
      <c r="F1807" s="7" t="n">
        <v>15000</v>
      </c>
    </row>
    <row r="1808" customFormat="false" ht="15" hidden="false" customHeight="false" outlineLevel="0" collapsed="false">
      <c r="A1808" s="2" t="s">
        <v>1729</v>
      </c>
      <c r="B1808" s="13" t="n">
        <v>46288</v>
      </c>
      <c r="C1808" s="2" t="s">
        <v>186</v>
      </c>
      <c r="D1808" s="2" t="n">
        <v>3</v>
      </c>
      <c r="E1808" s="14" t="s">
        <v>1110</v>
      </c>
      <c r="F1808" s="7" t="n">
        <v>7000</v>
      </c>
    </row>
    <row r="1809" customFormat="false" ht="15" hidden="false" customHeight="false" outlineLevel="0" collapsed="false">
      <c r="A1809" s="2" t="s">
        <v>1729</v>
      </c>
      <c r="B1809" s="13" t="n">
        <v>46288</v>
      </c>
      <c r="C1809" s="2" t="s">
        <v>82</v>
      </c>
      <c r="D1809" s="2" t="n">
        <v>1</v>
      </c>
      <c r="E1809" s="14" t="s">
        <v>1110</v>
      </c>
      <c r="F1809" s="7" t="n">
        <v>13000</v>
      </c>
    </row>
    <row r="1810" customFormat="false" ht="15" hidden="false" customHeight="false" outlineLevel="0" collapsed="false">
      <c r="A1810" s="2" t="s">
        <v>1730</v>
      </c>
      <c r="B1810" s="13" t="n">
        <v>46288</v>
      </c>
      <c r="C1810" s="2" t="s">
        <v>92</v>
      </c>
      <c r="D1810" s="2" t="n">
        <v>1</v>
      </c>
      <c r="E1810" s="14" t="s">
        <v>648</v>
      </c>
      <c r="F1810" s="7" t="n">
        <v>4000</v>
      </c>
    </row>
    <row r="1811" customFormat="false" ht="15" hidden="false" customHeight="false" outlineLevel="0" collapsed="false">
      <c r="A1811" s="2" t="s">
        <v>1731</v>
      </c>
      <c r="B1811" s="13" t="n">
        <v>46288</v>
      </c>
      <c r="C1811" s="2" t="s">
        <v>84</v>
      </c>
      <c r="D1811" s="2" t="n">
        <v>1</v>
      </c>
      <c r="E1811" s="14" t="s">
        <v>1468</v>
      </c>
      <c r="F1811" s="7" t="n">
        <v>5000</v>
      </c>
    </row>
    <row r="1812" customFormat="false" ht="15" hidden="false" customHeight="false" outlineLevel="0" collapsed="false">
      <c r="A1812" s="2" t="s">
        <v>1731</v>
      </c>
      <c r="B1812" s="13" t="n">
        <v>46288</v>
      </c>
      <c r="C1812" s="2" t="s">
        <v>101</v>
      </c>
      <c r="D1812" s="2" t="n">
        <v>1</v>
      </c>
      <c r="E1812" s="14" t="s">
        <v>1468</v>
      </c>
      <c r="F1812" s="7" t="n">
        <v>18000</v>
      </c>
    </row>
    <row r="1813" customFormat="false" ht="15" hidden="false" customHeight="false" outlineLevel="0" collapsed="false">
      <c r="A1813" s="2" t="s">
        <v>1732</v>
      </c>
      <c r="B1813" s="13" t="n">
        <v>46288</v>
      </c>
      <c r="C1813" s="2" t="s">
        <v>79</v>
      </c>
      <c r="D1813" s="2" t="n">
        <v>2</v>
      </c>
      <c r="E1813" s="14" t="s">
        <v>1733</v>
      </c>
      <c r="F1813" s="7" t="n">
        <v>16000</v>
      </c>
    </row>
    <row r="1814" customFormat="false" ht="15" hidden="false" customHeight="false" outlineLevel="0" collapsed="false">
      <c r="A1814" s="2" t="s">
        <v>1734</v>
      </c>
      <c r="B1814" s="13" t="n">
        <v>46288</v>
      </c>
      <c r="C1814" s="2" t="s">
        <v>132</v>
      </c>
      <c r="D1814" s="2" t="n">
        <v>1</v>
      </c>
      <c r="E1814" s="14" t="s">
        <v>1735</v>
      </c>
      <c r="F1814" s="7" t="n">
        <v>15000</v>
      </c>
    </row>
    <row r="1815" customFormat="false" ht="15" hidden="false" customHeight="false" outlineLevel="0" collapsed="false">
      <c r="A1815" s="2" t="s">
        <v>1736</v>
      </c>
      <c r="B1815" s="13" t="n">
        <v>46288</v>
      </c>
      <c r="C1815" s="2" t="s">
        <v>132</v>
      </c>
      <c r="D1815" s="2" t="n">
        <v>1</v>
      </c>
      <c r="E1815" s="14" t="s">
        <v>306</v>
      </c>
      <c r="F1815" s="7" t="n">
        <v>15000</v>
      </c>
    </row>
    <row r="1816" customFormat="false" ht="15" hidden="false" customHeight="false" outlineLevel="0" collapsed="false">
      <c r="A1816" s="2" t="s">
        <v>1736</v>
      </c>
      <c r="B1816" s="13" t="n">
        <v>46288</v>
      </c>
      <c r="C1816" s="2" t="s">
        <v>81</v>
      </c>
      <c r="D1816" s="2" t="n">
        <v>2</v>
      </c>
      <c r="E1816" s="14" t="s">
        <v>306</v>
      </c>
      <c r="F1816" s="7" t="n">
        <v>15000</v>
      </c>
    </row>
    <row r="1817" customFormat="false" ht="15" hidden="false" customHeight="false" outlineLevel="0" collapsed="false">
      <c r="A1817" s="2" t="s">
        <v>1737</v>
      </c>
      <c r="B1817" s="13" t="n">
        <v>46288</v>
      </c>
      <c r="C1817" s="2" t="s">
        <v>108</v>
      </c>
      <c r="D1817" s="2" t="n">
        <v>2</v>
      </c>
      <c r="E1817" s="14" t="s">
        <v>1055</v>
      </c>
      <c r="F1817" s="7" t="n">
        <v>20000</v>
      </c>
    </row>
    <row r="1818" customFormat="false" ht="15" hidden="false" customHeight="false" outlineLevel="0" collapsed="false">
      <c r="A1818" s="2" t="s">
        <v>1737</v>
      </c>
      <c r="B1818" s="13" t="n">
        <v>46288</v>
      </c>
      <c r="C1818" s="2" t="s">
        <v>81</v>
      </c>
      <c r="D1818" s="2" t="n">
        <v>1</v>
      </c>
      <c r="E1818" s="14" t="s">
        <v>1055</v>
      </c>
      <c r="F1818" s="7" t="n">
        <v>15000</v>
      </c>
    </row>
    <row r="1819" customFormat="false" ht="15" hidden="false" customHeight="false" outlineLevel="0" collapsed="false">
      <c r="A1819" s="2" t="s">
        <v>1738</v>
      </c>
      <c r="B1819" s="13" t="n">
        <v>46288</v>
      </c>
      <c r="C1819" s="2" t="s">
        <v>81</v>
      </c>
      <c r="D1819" s="2" t="n">
        <v>1</v>
      </c>
      <c r="E1819" s="14" t="s">
        <v>1123</v>
      </c>
      <c r="F1819" s="7" t="n">
        <v>15000</v>
      </c>
    </row>
    <row r="1820" customFormat="false" ht="15" hidden="false" customHeight="false" outlineLevel="0" collapsed="false">
      <c r="A1820" s="2" t="s">
        <v>1738</v>
      </c>
      <c r="B1820" s="13" t="n">
        <v>46288</v>
      </c>
      <c r="C1820" s="2" t="s">
        <v>132</v>
      </c>
      <c r="D1820" s="2" t="n">
        <v>1</v>
      </c>
      <c r="E1820" s="14" t="s">
        <v>1123</v>
      </c>
      <c r="F1820" s="7" t="n">
        <v>0</v>
      </c>
    </row>
    <row r="1821" customFormat="false" ht="15" hidden="false" customHeight="false" outlineLevel="0" collapsed="false">
      <c r="A1821" s="2" t="s">
        <v>1738</v>
      </c>
      <c r="B1821" s="13" t="n">
        <v>46288</v>
      </c>
      <c r="C1821" s="2" t="s">
        <v>112</v>
      </c>
      <c r="D1821" s="2" t="n">
        <v>3</v>
      </c>
      <c r="E1821" s="14" t="s">
        <v>1123</v>
      </c>
      <c r="F1821" s="7" t="n">
        <v>10000</v>
      </c>
    </row>
    <row r="1822" customFormat="false" ht="15" hidden="false" customHeight="false" outlineLevel="0" collapsed="false">
      <c r="A1822" s="2" t="s">
        <v>1739</v>
      </c>
      <c r="B1822" s="13" t="n">
        <v>46288</v>
      </c>
      <c r="C1822" s="2" t="s">
        <v>186</v>
      </c>
      <c r="D1822" s="2" t="n">
        <v>0</v>
      </c>
      <c r="E1822" s="14" t="s">
        <v>809</v>
      </c>
      <c r="F1822" s="7" t="n">
        <v>7000</v>
      </c>
    </row>
    <row r="1823" customFormat="false" ht="15" hidden="false" customHeight="false" outlineLevel="0" collapsed="false">
      <c r="A1823" s="2" t="s">
        <v>1739</v>
      </c>
      <c r="B1823" s="13" t="n">
        <v>46288</v>
      </c>
      <c r="C1823" s="2" t="s">
        <v>108</v>
      </c>
      <c r="D1823" s="2" t="n">
        <v>1</v>
      </c>
      <c r="E1823" s="14" t="s">
        <v>809</v>
      </c>
      <c r="F1823" s="7" t="n">
        <v>20000</v>
      </c>
    </row>
    <row r="1824" customFormat="false" ht="15" hidden="false" customHeight="false" outlineLevel="0" collapsed="false">
      <c r="A1824" s="2" t="s">
        <v>1739</v>
      </c>
      <c r="B1824" s="13" t="n">
        <v>46288</v>
      </c>
      <c r="C1824" s="2" t="s">
        <v>132</v>
      </c>
      <c r="D1824" s="2" t="n">
        <v>2</v>
      </c>
      <c r="E1824" s="14" t="s">
        <v>809</v>
      </c>
      <c r="F1824" s="7" t="n">
        <v>15000</v>
      </c>
    </row>
    <row r="1825" customFormat="false" ht="15" hidden="false" customHeight="false" outlineLevel="0" collapsed="false">
      <c r="A1825" s="2" t="s">
        <v>1740</v>
      </c>
      <c r="B1825" s="13" t="n">
        <v>46288</v>
      </c>
      <c r="C1825" s="2" t="s">
        <v>79</v>
      </c>
      <c r="D1825" s="2" t="n">
        <v>1</v>
      </c>
      <c r="E1825" s="14" t="s">
        <v>588</v>
      </c>
      <c r="F1825" s="7" t="n">
        <v>16000</v>
      </c>
    </row>
    <row r="1826" customFormat="false" ht="15" hidden="false" customHeight="false" outlineLevel="0" collapsed="false">
      <c r="A1826" s="2" t="s">
        <v>1741</v>
      </c>
      <c r="B1826" s="13" t="n">
        <v>46288</v>
      </c>
      <c r="C1826" s="2" t="s">
        <v>79</v>
      </c>
      <c r="D1826" s="2" t="n">
        <v>1</v>
      </c>
      <c r="E1826" s="14" t="s">
        <v>1487</v>
      </c>
      <c r="F1826" s="7" t="n">
        <v>16000</v>
      </c>
    </row>
    <row r="1827" customFormat="false" ht="15" hidden="false" customHeight="false" outlineLevel="0" collapsed="false">
      <c r="A1827" s="2" t="s">
        <v>1741</v>
      </c>
      <c r="B1827" s="13" t="n">
        <v>46288</v>
      </c>
      <c r="C1827" s="2" t="s">
        <v>132</v>
      </c>
      <c r="D1827" s="2" t="n">
        <v>1</v>
      </c>
      <c r="E1827" s="14" t="s">
        <v>1487</v>
      </c>
      <c r="F1827" s="7" t="n">
        <v>15000</v>
      </c>
    </row>
    <row r="1828" customFormat="false" ht="15" hidden="false" customHeight="false" outlineLevel="0" collapsed="false">
      <c r="A1828" s="2" t="s">
        <v>1742</v>
      </c>
      <c r="B1828" s="13" t="n">
        <v>46288</v>
      </c>
      <c r="C1828" s="2" t="s">
        <v>108</v>
      </c>
      <c r="D1828" s="2" t="n">
        <v>1</v>
      </c>
      <c r="E1828" s="14" t="s">
        <v>1743</v>
      </c>
      <c r="F1828" s="7" t="n">
        <v>20000</v>
      </c>
    </row>
    <row r="1829" customFormat="false" ht="15" hidden="false" customHeight="false" outlineLevel="0" collapsed="false">
      <c r="A1829" s="2" t="s">
        <v>1742</v>
      </c>
      <c r="B1829" s="13" t="n">
        <v>46288</v>
      </c>
      <c r="C1829" s="2" t="s">
        <v>132</v>
      </c>
      <c r="D1829" s="2" t="n">
        <v>2</v>
      </c>
      <c r="E1829" s="14" t="s">
        <v>1743</v>
      </c>
      <c r="F1829" s="7" t="n">
        <v>15000</v>
      </c>
    </row>
    <row r="1830" customFormat="false" ht="15" hidden="false" customHeight="false" outlineLevel="0" collapsed="false">
      <c r="A1830" s="2" t="s">
        <v>1744</v>
      </c>
      <c r="B1830" s="13" t="n">
        <v>46288</v>
      </c>
      <c r="C1830" s="2" t="s">
        <v>79</v>
      </c>
      <c r="D1830" s="2" t="n">
        <v>1</v>
      </c>
      <c r="E1830" s="14" t="s">
        <v>407</v>
      </c>
      <c r="F1830" s="7" t="n">
        <v>16000</v>
      </c>
    </row>
    <row r="1831" customFormat="false" ht="15" hidden="false" customHeight="false" outlineLevel="0" collapsed="false">
      <c r="A1831" s="2" t="s">
        <v>1744</v>
      </c>
      <c r="B1831" s="13" t="n">
        <v>46288</v>
      </c>
      <c r="C1831" s="2" t="s">
        <v>84</v>
      </c>
      <c r="D1831" s="2" t="n">
        <v>1</v>
      </c>
      <c r="E1831" s="14" t="s">
        <v>407</v>
      </c>
      <c r="F1831" s="7" t="n">
        <v>5000</v>
      </c>
    </row>
    <row r="1832" customFormat="false" ht="15" hidden="false" customHeight="false" outlineLevel="0" collapsed="false">
      <c r="A1832" s="2" t="s">
        <v>1745</v>
      </c>
      <c r="B1832" s="13" t="n">
        <v>46288</v>
      </c>
      <c r="C1832" s="2" t="s">
        <v>132</v>
      </c>
      <c r="D1832" s="2" t="n">
        <v>1</v>
      </c>
      <c r="E1832" s="14" t="s">
        <v>752</v>
      </c>
      <c r="F1832" s="7" t="n">
        <v>15000</v>
      </c>
    </row>
    <row r="1833" customFormat="false" ht="15" hidden="false" customHeight="false" outlineLevel="0" collapsed="false">
      <c r="A1833" s="2" t="s">
        <v>1746</v>
      </c>
      <c r="B1833" s="13" t="n">
        <v>46288</v>
      </c>
      <c r="C1833" s="2" t="s">
        <v>81</v>
      </c>
      <c r="D1833" s="2" t="n">
        <v>1</v>
      </c>
      <c r="E1833" s="14" t="s">
        <v>1625</v>
      </c>
      <c r="F1833" s="7" t="n">
        <v>15000</v>
      </c>
    </row>
    <row r="1834" customFormat="false" ht="15" hidden="false" customHeight="false" outlineLevel="0" collapsed="false">
      <c r="A1834" s="2" t="s">
        <v>1746</v>
      </c>
      <c r="B1834" s="13" t="n">
        <v>46288</v>
      </c>
      <c r="C1834" s="2" t="s">
        <v>89</v>
      </c>
      <c r="D1834" s="2" t="n">
        <v>1</v>
      </c>
      <c r="E1834" s="14" t="s">
        <v>1625</v>
      </c>
      <c r="F1834" s="7" t="n">
        <v>14000</v>
      </c>
    </row>
    <row r="1835" customFormat="false" ht="15" hidden="false" customHeight="false" outlineLevel="0" collapsed="false">
      <c r="A1835" s="2" t="s">
        <v>1747</v>
      </c>
      <c r="B1835" s="13" t="n">
        <v>46288</v>
      </c>
      <c r="C1835" s="2" t="s">
        <v>79</v>
      </c>
      <c r="D1835" s="2" t="n">
        <v>2</v>
      </c>
      <c r="E1835" s="14" t="s">
        <v>251</v>
      </c>
      <c r="F1835" s="7" t="n">
        <v>16000</v>
      </c>
    </row>
    <row r="1836" customFormat="false" ht="15" hidden="false" customHeight="false" outlineLevel="0" collapsed="false">
      <c r="A1836" s="2" t="s">
        <v>1748</v>
      </c>
      <c r="B1836" s="13" t="n">
        <v>46288</v>
      </c>
      <c r="C1836" s="2" t="s">
        <v>89</v>
      </c>
      <c r="D1836" s="2" t="n">
        <v>1</v>
      </c>
      <c r="E1836" s="14" t="s">
        <v>1418</v>
      </c>
      <c r="F1836" s="7" t="n">
        <v>14000</v>
      </c>
    </row>
    <row r="1837" customFormat="false" ht="15" hidden="false" customHeight="false" outlineLevel="0" collapsed="false">
      <c r="A1837" s="2" t="s">
        <v>1749</v>
      </c>
      <c r="B1837" s="13" t="n">
        <v>46288</v>
      </c>
      <c r="C1837" s="2" t="s">
        <v>108</v>
      </c>
      <c r="D1837" s="2" t="n">
        <v>1</v>
      </c>
      <c r="E1837" s="14" t="s">
        <v>1750</v>
      </c>
      <c r="F1837" s="7" t="n">
        <v>20000</v>
      </c>
    </row>
    <row r="1838" customFormat="false" ht="15" hidden="false" customHeight="false" outlineLevel="0" collapsed="false">
      <c r="A1838" s="2" t="s">
        <v>1749</v>
      </c>
      <c r="B1838" s="13" t="n">
        <v>46288</v>
      </c>
      <c r="C1838" s="2" t="s">
        <v>1751</v>
      </c>
      <c r="D1838" s="2" t="n">
        <v>1</v>
      </c>
      <c r="E1838" s="14" t="s">
        <v>1750</v>
      </c>
      <c r="F1838" s="7" t="n">
        <v>4000</v>
      </c>
    </row>
    <row r="1839" customFormat="false" ht="15" hidden="false" customHeight="false" outlineLevel="0" collapsed="false">
      <c r="A1839" s="2" t="s">
        <v>1752</v>
      </c>
      <c r="B1839" s="13" t="n">
        <v>46288</v>
      </c>
      <c r="C1839" s="2" t="s">
        <v>92</v>
      </c>
      <c r="D1839" s="2" t="n">
        <v>2</v>
      </c>
      <c r="E1839" s="14" t="s">
        <v>160</v>
      </c>
      <c r="F1839" s="7" t="n">
        <v>4000</v>
      </c>
    </row>
    <row r="1840" customFormat="false" ht="15" hidden="false" customHeight="false" outlineLevel="0" collapsed="false">
      <c r="A1840" s="2" t="s">
        <v>1752</v>
      </c>
      <c r="B1840" s="13" t="n">
        <v>46288</v>
      </c>
      <c r="C1840" s="2" t="s">
        <v>89</v>
      </c>
      <c r="D1840" s="2" t="n">
        <v>1</v>
      </c>
      <c r="E1840" s="14" t="s">
        <v>160</v>
      </c>
      <c r="F1840" s="7" t="n">
        <v>14000</v>
      </c>
    </row>
    <row r="1841" customFormat="false" ht="15" hidden="false" customHeight="false" outlineLevel="0" collapsed="false">
      <c r="A1841" s="2" t="s">
        <v>1752</v>
      </c>
      <c r="B1841" s="13" t="n">
        <v>46288</v>
      </c>
      <c r="C1841" s="2" t="s">
        <v>81</v>
      </c>
      <c r="D1841" s="2" t="n">
        <v>1</v>
      </c>
      <c r="E1841" s="14" t="s">
        <v>160</v>
      </c>
      <c r="F1841" s="7" t="n">
        <v>15000</v>
      </c>
    </row>
    <row r="1842" customFormat="false" ht="15" hidden="false" customHeight="false" outlineLevel="0" collapsed="false">
      <c r="A1842" s="2" t="s">
        <v>1753</v>
      </c>
      <c r="B1842" s="13" t="n">
        <v>46288</v>
      </c>
      <c r="C1842" s="2" t="s">
        <v>84</v>
      </c>
      <c r="D1842" s="2" t="n">
        <v>1</v>
      </c>
      <c r="E1842" s="14" t="s">
        <v>689</v>
      </c>
      <c r="F1842" s="7" t="n">
        <v>5000</v>
      </c>
    </row>
    <row r="1843" customFormat="false" ht="15" hidden="false" customHeight="false" outlineLevel="0" collapsed="false">
      <c r="A1843" s="2" t="s">
        <v>1754</v>
      </c>
      <c r="B1843" s="13" t="n">
        <v>46288</v>
      </c>
      <c r="C1843" s="2" t="s">
        <v>112</v>
      </c>
      <c r="D1843" s="2" t="n">
        <v>1</v>
      </c>
      <c r="E1843" s="14" t="s">
        <v>1755</v>
      </c>
      <c r="F1843" s="7" t="n">
        <v>10000</v>
      </c>
    </row>
    <row r="1844" customFormat="false" ht="15" hidden="false" customHeight="false" outlineLevel="0" collapsed="false">
      <c r="A1844" s="2" t="s">
        <v>1756</v>
      </c>
      <c r="B1844" s="13" t="n">
        <v>46288</v>
      </c>
      <c r="C1844" s="2" t="s">
        <v>92</v>
      </c>
      <c r="D1844" s="2" t="n">
        <v>1</v>
      </c>
      <c r="E1844" s="14" t="s">
        <v>420</v>
      </c>
      <c r="F1844" s="7" t="n">
        <v>4000</v>
      </c>
    </row>
    <row r="1845" customFormat="false" ht="15" hidden="false" customHeight="false" outlineLevel="0" collapsed="false">
      <c r="A1845" s="2" t="s">
        <v>1756</v>
      </c>
      <c r="B1845" s="13" t="n">
        <v>46288</v>
      </c>
      <c r="C1845" s="2" t="s">
        <v>82</v>
      </c>
      <c r="D1845" s="2" t="n">
        <v>1</v>
      </c>
      <c r="E1845" s="14" t="s">
        <v>420</v>
      </c>
      <c r="F1845" s="7" t="n">
        <v>13000</v>
      </c>
    </row>
    <row r="1846" customFormat="false" ht="15" hidden="false" customHeight="false" outlineLevel="0" collapsed="false">
      <c r="A1846" s="2" t="s">
        <v>1757</v>
      </c>
      <c r="B1846" s="13" t="n">
        <v>46288</v>
      </c>
      <c r="C1846" s="2" t="s">
        <v>186</v>
      </c>
      <c r="D1846" s="2" t="n">
        <v>1</v>
      </c>
      <c r="E1846" s="14" t="s">
        <v>764</v>
      </c>
      <c r="F1846" s="7" t="n">
        <v>7000</v>
      </c>
    </row>
    <row r="1847" customFormat="false" ht="15" hidden="false" customHeight="false" outlineLevel="0" collapsed="false">
      <c r="A1847" s="2" t="s">
        <v>1757</v>
      </c>
      <c r="B1847" s="13" t="n">
        <v>46288</v>
      </c>
      <c r="C1847" s="2" t="s">
        <v>84</v>
      </c>
      <c r="D1847" s="2" t="n">
        <v>1</v>
      </c>
      <c r="E1847" s="14" t="s">
        <v>764</v>
      </c>
      <c r="F1847" s="7" t="n">
        <v>5000</v>
      </c>
    </row>
    <row r="1848" customFormat="false" ht="15" hidden="false" customHeight="false" outlineLevel="0" collapsed="false">
      <c r="A1848" s="2" t="s">
        <v>1757</v>
      </c>
      <c r="B1848" s="13" t="n">
        <v>46288</v>
      </c>
      <c r="C1848" s="2" t="s">
        <v>126</v>
      </c>
      <c r="D1848" s="2" t="n">
        <v>1</v>
      </c>
      <c r="E1848" s="14" t="s">
        <v>764</v>
      </c>
      <c r="F1848" s="7" t="n">
        <v>3000</v>
      </c>
    </row>
    <row r="1849" customFormat="false" ht="15" hidden="false" customHeight="false" outlineLevel="0" collapsed="false">
      <c r="A1849" s="2" t="s">
        <v>1758</v>
      </c>
      <c r="B1849" s="13" t="n">
        <v>46289</v>
      </c>
      <c r="C1849" s="2" t="s">
        <v>84</v>
      </c>
      <c r="D1849" s="2" t="n">
        <v>1</v>
      </c>
      <c r="E1849" s="14" t="s">
        <v>1759</v>
      </c>
      <c r="F1849" s="7" t="n">
        <v>5000</v>
      </c>
    </row>
    <row r="1850" customFormat="false" ht="15" hidden="false" customHeight="false" outlineLevel="0" collapsed="false">
      <c r="A1850" s="2" t="s">
        <v>1760</v>
      </c>
      <c r="B1850" s="13" t="n">
        <v>46289</v>
      </c>
      <c r="C1850" s="2" t="s">
        <v>92</v>
      </c>
      <c r="D1850" s="2" t="n">
        <v>1</v>
      </c>
      <c r="E1850" s="14" t="s">
        <v>1761</v>
      </c>
      <c r="F1850" s="7" t="n">
        <v>4000</v>
      </c>
    </row>
    <row r="1851" customFormat="false" ht="15" hidden="false" customHeight="false" outlineLevel="0" collapsed="false">
      <c r="A1851" s="2" t="s">
        <v>1760</v>
      </c>
      <c r="B1851" s="13" t="n">
        <v>46289</v>
      </c>
      <c r="C1851" s="2" t="s">
        <v>89</v>
      </c>
      <c r="D1851" s="2" t="n">
        <v>1</v>
      </c>
      <c r="E1851" s="14" t="s">
        <v>1761</v>
      </c>
      <c r="F1851" s="7" t="n">
        <v>14000</v>
      </c>
    </row>
    <row r="1852" customFormat="false" ht="15" hidden="false" customHeight="false" outlineLevel="0" collapsed="false">
      <c r="A1852" s="2" t="s">
        <v>1762</v>
      </c>
      <c r="B1852" s="13" t="n">
        <v>46289</v>
      </c>
      <c r="C1852" s="2" t="s">
        <v>186</v>
      </c>
      <c r="D1852" s="2" t="n">
        <v>2</v>
      </c>
      <c r="E1852" s="14" t="s">
        <v>271</v>
      </c>
      <c r="F1852" s="7" t="n">
        <v>7000</v>
      </c>
    </row>
    <row r="1853" customFormat="false" ht="15" hidden="false" customHeight="false" outlineLevel="0" collapsed="false">
      <c r="A1853" s="2" t="s">
        <v>1762</v>
      </c>
      <c r="B1853" s="13" t="n">
        <v>46289</v>
      </c>
      <c r="C1853" s="2" t="s">
        <v>81</v>
      </c>
      <c r="D1853" s="2" t="n">
        <v>1</v>
      </c>
      <c r="E1853" s="14" t="s">
        <v>271</v>
      </c>
      <c r="F1853" s="7" t="n">
        <v>15000</v>
      </c>
    </row>
    <row r="1854" customFormat="false" ht="15" hidden="false" customHeight="false" outlineLevel="0" collapsed="false">
      <c r="A1854" s="2" t="s">
        <v>1763</v>
      </c>
      <c r="B1854" s="13" t="n">
        <v>46289</v>
      </c>
      <c r="C1854" s="2" t="s">
        <v>126</v>
      </c>
      <c r="D1854" s="2" t="n">
        <v>2</v>
      </c>
      <c r="E1854" s="14" t="s">
        <v>535</v>
      </c>
      <c r="F1854" s="7" t="n">
        <v>3000</v>
      </c>
    </row>
    <row r="1855" customFormat="false" ht="15" hidden="false" customHeight="false" outlineLevel="0" collapsed="false">
      <c r="A1855" s="2" t="s">
        <v>1764</v>
      </c>
      <c r="B1855" s="13" t="n">
        <v>46289</v>
      </c>
      <c r="C1855" s="2" t="s">
        <v>89</v>
      </c>
      <c r="D1855" s="2" t="n">
        <v>1</v>
      </c>
      <c r="E1855" s="14" t="s">
        <v>857</v>
      </c>
      <c r="F1855" s="7" t="n">
        <v>14000</v>
      </c>
    </row>
    <row r="1856" customFormat="false" ht="15" hidden="false" customHeight="false" outlineLevel="0" collapsed="false">
      <c r="A1856" s="2" t="s">
        <v>1765</v>
      </c>
      <c r="B1856" s="13" t="n">
        <v>46289</v>
      </c>
      <c r="C1856" s="2" t="s">
        <v>108</v>
      </c>
      <c r="D1856" s="2" t="n">
        <v>1</v>
      </c>
      <c r="E1856" s="14" t="s">
        <v>443</v>
      </c>
      <c r="F1856" s="7" t="n">
        <v>20000</v>
      </c>
    </row>
    <row r="1857" customFormat="false" ht="15" hidden="false" customHeight="false" outlineLevel="0" collapsed="false">
      <c r="A1857" s="2" t="s">
        <v>1765</v>
      </c>
      <c r="B1857" s="13" t="n">
        <v>46289</v>
      </c>
      <c r="C1857" s="2" t="s">
        <v>186</v>
      </c>
      <c r="D1857" s="2" t="n">
        <v>2</v>
      </c>
      <c r="E1857" s="14" t="s">
        <v>443</v>
      </c>
      <c r="F1857" s="7" t="n">
        <v>7000</v>
      </c>
    </row>
    <row r="1858" customFormat="false" ht="15" hidden="false" customHeight="false" outlineLevel="0" collapsed="false">
      <c r="A1858" s="2" t="s">
        <v>1766</v>
      </c>
      <c r="B1858" s="13" t="n">
        <v>46289</v>
      </c>
      <c r="C1858" s="2" t="s">
        <v>81</v>
      </c>
      <c r="D1858" s="2" t="n">
        <v>1</v>
      </c>
      <c r="E1858" s="14" t="s">
        <v>277</v>
      </c>
      <c r="F1858" s="7" t="n">
        <v>15000</v>
      </c>
    </row>
    <row r="1859" customFormat="false" ht="15" hidden="false" customHeight="false" outlineLevel="0" collapsed="false">
      <c r="A1859" s="2" t="s">
        <v>1767</v>
      </c>
      <c r="B1859" s="13" t="n">
        <v>46289</v>
      </c>
      <c r="C1859" s="2" t="s">
        <v>84</v>
      </c>
      <c r="D1859" s="2" t="n">
        <v>2</v>
      </c>
      <c r="E1859" s="14" t="s">
        <v>181</v>
      </c>
      <c r="F1859" s="7" t="n">
        <v>5000</v>
      </c>
    </row>
    <row r="1860" customFormat="false" ht="15" hidden="false" customHeight="false" outlineLevel="0" collapsed="false">
      <c r="A1860" s="2" t="s">
        <v>1768</v>
      </c>
      <c r="B1860" s="13" t="n">
        <v>46289</v>
      </c>
      <c r="C1860" s="2" t="s">
        <v>89</v>
      </c>
      <c r="D1860" s="2" t="n">
        <v>2</v>
      </c>
      <c r="E1860" s="14" t="s">
        <v>863</v>
      </c>
      <c r="F1860" s="7" t="n">
        <v>14000</v>
      </c>
    </row>
    <row r="1861" customFormat="false" ht="15" hidden="false" customHeight="false" outlineLevel="0" collapsed="false">
      <c r="A1861" s="2" t="s">
        <v>1769</v>
      </c>
      <c r="B1861" s="13" t="n">
        <v>46289</v>
      </c>
      <c r="C1861" s="2" t="s">
        <v>84</v>
      </c>
      <c r="D1861" s="2" t="n">
        <v>2</v>
      </c>
      <c r="E1861" s="14" t="s">
        <v>184</v>
      </c>
      <c r="F1861" s="7" t="n">
        <v>5000</v>
      </c>
    </row>
    <row r="1862" customFormat="false" ht="15" hidden="false" customHeight="false" outlineLevel="0" collapsed="false">
      <c r="A1862" s="2" t="s">
        <v>1770</v>
      </c>
      <c r="B1862" s="13" t="n">
        <v>46289</v>
      </c>
      <c r="C1862" s="2" t="s">
        <v>81</v>
      </c>
      <c r="D1862" s="2" t="n">
        <v>2</v>
      </c>
      <c r="E1862" s="14" t="s">
        <v>547</v>
      </c>
      <c r="F1862" s="7" t="n">
        <v>15000</v>
      </c>
    </row>
    <row r="1863" customFormat="false" ht="15" hidden="false" customHeight="false" outlineLevel="0" collapsed="false">
      <c r="A1863" s="2" t="s">
        <v>1771</v>
      </c>
      <c r="B1863" s="13" t="n">
        <v>46289</v>
      </c>
      <c r="C1863" s="2" t="s">
        <v>79</v>
      </c>
      <c r="D1863" s="2" t="n">
        <v>2</v>
      </c>
      <c r="E1863" s="14" t="s">
        <v>547</v>
      </c>
      <c r="F1863" s="7" t="n">
        <v>16000</v>
      </c>
    </row>
    <row r="1864" customFormat="false" ht="15" hidden="false" customHeight="false" outlineLevel="0" collapsed="false">
      <c r="A1864" s="2" t="s">
        <v>1772</v>
      </c>
      <c r="B1864" s="13" t="n">
        <v>46289</v>
      </c>
      <c r="C1864" s="2" t="s">
        <v>186</v>
      </c>
      <c r="D1864" s="2" t="n">
        <v>1</v>
      </c>
      <c r="E1864" s="14" t="s">
        <v>453</v>
      </c>
      <c r="F1864" s="7" t="n">
        <v>7000</v>
      </c>
    </row>
    <row r="1865" customFormat="false" ht="15" hidden="false" customHeight="false" outlineLevel="0" collapsed="false">
      <c r="A1865" s="2" t="s">
        <v>1772</v>
      </c>
      <c r="B1865" s="13" t="n">
        <v>46289</v>
      </c>
      <c r="C1865" s="2" t="s">
        <v>126</v>
      </c>
      <c r="D1865" s="2" t="n">
        <v>1</v>
      </c>
      <c r="E1865" s="14" t="s">
        <v>453</v>
      </c>
      <c r="F1865" s="7" t="n">
        <v>3000</v>
      </c>
    </row>
    <row r="1866" customFormat="false" ht="15" hidden="false" customHeight="false" outlineLevel="0" collapsed="false">
      <c r="A1866" s="2" t="s">
        <v>1773</v>
      </c>
      <c r="B1866" s="13" t="n">
        <v>46289</v>
      </c>
      <c r="C1866" s="2" t="s">
        <v>132</v>
      </c>
      <c r="D1866" s="2" t="n">
        <v>1</v>
      </c>
      <c r="E1866" s="14" t="s">
        <v>364</v>
      </c>
      <c r="F1866" s="7" t="n">
        <v>15000</v>
      </c>
    </row>
    <row r="1867" customFormat="false" ht="15" hidden="false" customHeight="false" outlineLevel="0" collapsed="false">
      <c r="A1867" s="2" t="s">
        <v>1773</v>
      </c>
      <c r="B1867" s="13" t="n">
        <v>46289</v>
      </c>
      <c r="C1867" s="2" t="s">
        <v>84</v>
      </c>
      <c r="D1867" s="2" t="n">
        <v>1</v>
      </c>
      <c r="E1867" s="14" t="s">
        <v>364</v>
      </c>
      <c r="F1867" s="7" t="n">
        <v>5000</v>
      </c>
    </row>
    <row r="1868" customFormat="false" ht="15" hidden="false" customHeight="false" outlineLevel="0" collapsed="false">
      <c r="A1868" s="2" t="s">
        <v>1774</v>
      </c>
      <c r="B1868" s="13" t="n">
        <v>46289</v>
      </c>
      <c r="C1868" s="2" t="s">
        <v>84</v>
      </c>
      <c r="D1868" s="2" t="n">
        <v>1</v>
      </c>
      <c r="E1868" s="14" t="s">
        <v>630</v>
      </c>
      <c r="F1868" s="7" t="n">
        <v>5000</v>
      </c>
    </row>
    <row r="1869" customFormat="false" ht="15" hidden="false" customHeight="false" outlineLevel="0" collapsed="false">
      <c r="A1869" s="2" t="s">
        <v>1775</v>
      </c>
      <c r="B1869" s="13" t="n">
        <v>46289</v>
      </c>
      <c r="C1869" s="2" t="s">
        <v>89</v>
      </c>
      <c r="D1869" s="2" t="n">
        <v>1</v>
      </c>
      <c r="E1869" s="14" t="s">
        <v>1722</v>
      </c>
      <c r="F1869" s="7" t="n">
        <v>14000</v>
      </c>
    </row>
    <row r="1870" customFormat="false" ht="15" hidden="false" customHeight="false" outlineLevel="0" collapsed="false">
      <c r="A1870" s="2" t="s">
        <v>1776</v>
      </c>
      <c r="B1870" s="13" t="n">
        <v>46289</v>
      </c>
      <c r="C1870" s="2" t="s">
        <v>89</v>
      </c>
      <c r="D1870" s="2" t="n">
        <v>1</v>
      </c>
      <c r="E1870" s="14" t="s">
        <v>472</v>
      </c>
      <c r="F1870" s="7" t="n">
        <v>14000</v>
      </c>
    </row>
    <row r="1871" customFormat="false" ht="15" hidden="false" customHeight="false" outlineLevel="0" collapsed="false">
      <c r="A1871" s="2" t="s">
        <v>1777</v>
      </c>
      <c r="B1871" s="13" t="n">
        <v>46289</v>
      </c>
      <c r="C1871" s="2" t="s">
        <v>89</v>
      </c>
      <c r="D1871" s="2" t="n">
        <v>2</v>
      </c>
      <c r="E1871" s="14" t="s">
        <v>1275</v>
      </c>
      <c r="F1871" s="7" t="n">
        <v>14000</v>
      </c>
    </row>
    <row r="1872" customFormat="false" ht="15" hidden="false" customHeight="false" outlineLevel="0" collapsed="false">
      <c r="A1872" s="2" t="s">
        <v>1777</v>
      </c>
      <c r="B1872" s="13" t="n">
        <v>46289</v>
      </c>
      <c r="C1872" s="2" t="s">
        <v>112</v>
      </c>
      <c r="D1872" s="2" t="n">
        <v>1</v>
      </c>
      <c r="E1872" s="14" t="s">
        <v>1778</v>
      </c>
      <c r="F1872" s="7" t="n">
        <v>10000</v>
      </c>
    </row>
    <row r="1873" customFormat="false" ht="15" hidden="false" customHeight="false" outlineLevel="0" collapsed="false">
      <c r="A1873" s="2" t="s">
        <v>1779</v>
      </c>
      <c r="B1873" s="13" t="n">
        <v>46289</v>
      </c>
      <c r="C1873" s="2" t="s">
        <v>108</v>
      </c>
      <c r="D1873" s="2" t="n">
        <v>2</v>
      </c>
      <c r="E1873" s="14" t="s">
        <v>553</v>
      </c>
      <c r="F1873" s="7" t="n">
        <v>20000</v>
      </c>
    </row>
    <row r="1874" customFormat="false" ht="15" hidden="false" customHeight="false" outlineLevel="0" collapsed="false">
      <c r="A1874" s="2" t="s">
        <v>1780</v>
      </c>
      <c r="B1874" s="13" t="n">
        <v>46289</v>
      </c>
      <c r="C1874" s="2" t="s">
        <v>84</v>
      </c>
      <c r="D1874" s="2" t="n">
        <v>1</v>
      </c>
      <c r="E1874" s="14" t="s">
        <v>102</v>
      </c>
      <c r="F1874" s="7" t="n">
        <v>5000</v>
      </c>
    </row>
    <row r="1875" customFormat="false" ht="15" hidden="false" customHeight="false" outlineLevel="0" collapsed="false">
      <c r="A1875" s="2" t="s">
        <v>1780</v>
      </c>
      <c r="B1875" s="13" t="n">
        <v>46289</v>
      </c>
      <c r="C1875" s="2" t="s">
        <v>112</v>
      </c>
      <c r="D1875" s="2" t="n">
        <v>2</v>
      </c>
      <c r="E1875" s="14" t="s">
        <v>102</v>
      </c>
      <c r="F1875" s="7" t="n">
        <v>10000</v>
      </c>
    </row>
    <row r="1876" customFormat="false" ht="15" hidden="false" customHeight="false" outlineLevel="0" collapsed="false">
      <c r="A1876" s="2" t="s">
        <v>1780</v>
      </c>
      <c r="B1876" s="13" t="n">
        <v>46289</v>
      </c>
      <c r="C1876" s="2" t="s">
        <v>89</v>
      </c>
      <c r="D1876" s="2" t="n">
        <v>1</v>
      </c>
      <c r="E1876" s="14" t="s">
        <v>102</v>
      </c>
      <c r="F1876" s="7" t="n">
        <v>14000</v>
      </c>
    </row>
    <row r="1877" customFormat="false" ht="15" hidden="false" customHeight="false" outlineLevel="0" collapsed="false">
      <c r="A1877" s="2" t="s">
        <v>1781</v>
      </c>
      <c r="B1877" s="13" t="n">
        <v>46289</v>
      </c>
      <c r="C1877" s="2" t="s">
        <v>84</v>
      </c>
      <c r="D1877" s="2" t="n">
        <v>1</v>
      </c>
      <c r="E1877" s="14" t="s">
        <v>878</v>
      </c>
      <c r="F1877" s="7" t="n">
        <v>5000</v>
      </c>
    </row>
    <row r="1878" customFormat="false" ht="15" hidden="false" customHeight="false" outlineLevel="0" collapsed="false">
      <c r="A1878" s="2" t="s">
        <v>1781</v>
      </c>
      <c r="B1878" s="13" t="n">
        <v>46289</v>
      </c>
      <c r="C1878" s="2" t="s">
        <v>101</v>
      </c>
      <c r="D1878" s="2" t="n">
        <v>1</v>
      </c>
      <c r="E1878" s="14" t="s">
        <v>878</v>
      </c>
      <c r="F1878" s="7" t="n">
        <v>18000</v>
      </c>
    </row>
    <row r="1879" customFormat="false" ht="15" hidden="false" customHeight="false" outlineLevel="0" collapsed="false">
      <c r="A1879" s="2" t="s">
        <v>1782</v>
      </c>
      <c r="B1879" s="13" t="n">
        <v>46289</v>
      </c>
      <c r="C1879" s="2" t="s">
        <v>81</v>
      </c>
      <c r="D1879" s="2" t="n">
        <v>1</v>
      </c>
      <c r="E1879" s="14" t="s">
        <v>104</v>
      </c>
      <c r="F1879" s="7" t="n">
        <v>15000</v>
      </c>
    </row>
    <row r="1880" customFormat="false" ht="15" hidden="false" customHeight="false" outlineLevel="0" collapsed="false">
      <c r="A1880" s="2" t="s">
        <v>1782</v>
      </c>
      <c r="B1880" s="13" t="n">
        <v>46289</v>
      </c>
      <c r="C1880" s="2" t="s">
        <v>126</v>
      </c>
      <c r="D1880" s="2" t="n">
        <v>1</v>
      </c>
      <c r="E1880" s="14" t="s">
        <v>104</v>
      </c>
      <c r="F1880" s="7" t="n">
        <v>3000</v>
      </c>
    </row>
    <row r="1881" customFormat="false" ht="15" hidden="false" customHeight="false" outlineLevel="0" collapsed="false">
      <c r="A1881" s="2" t="s">
        <v>1783</v>
      </c>
      <c r="B1881" s="13" t="n">
        <v>46289</v>
      </c>
      <c r="C1881" s="2" t="s">
        <v>186</v>
      </c>
      <c r="D1881" s="2" t="n">
        <v>1</v>
      </c>
      <c r="E1881" s="14" t="s">
        <v>1110</v>
      </c>
      <c r="F1881" s="7" t="n">
        <v>7000</v>
      </c>
    </row>
    <row r="1882" customFormat="false" ht="15" hidden="false" customHeight="false" outlineLevel="0" collapsed="false">
      <c r="A1882" s="2" t="s">
        <v>1784</v>
      </c>
      <c r="B1882" s="13" t="n">
        <v>46289</v>
      </c>
      <c r="C1882" s="2" t="s">
        <v>89</v>
      </c>
      <c r="D1882" s="2" t="n">
        <v>1</v>
      </c>
      <c r="E1882" s="14" t="s">
        <v>646</v>
      </c>
      <c r="F1882" s="7" t="n">
        <v>14000</v>
      </c>
    </row>
    <row r="1883" customFormat="false" ht="15" hidden="false" customHeight="false" outlineLevel="0" collapsed="false">
      <c r="A1883" s="2" t="s">
        <v>1785</v>
      </c>
      <c r="B1883" s="13" t="n">
        <v>46289</v>
      </c>
      <c r="C1883" s="2" t="s">
        <v>112</v>
      </c>
      <c r="D1883" s="2" t="n">
        <v>1</v>
      </c>
      <c r="E1883" s="14" t="s">
        <v>288</v>
      </c>
      <c r="F1883" s="7" t="n">
        <v>10000</v>
      </c>
    </row>
    <row r="1884" customFormat="false" ht="15" hidden="false" customHeight="false" outlineLevel="0" collapsed="false">
      <c r="A1884" s="2" t="s">
        <v>1785</v>
      </c>
      <c r="B1884" s="13" t="n">
        <v>46289</v>
      </c>
      <c r="C1884" s="2" t="s">
        <v>101</v>
      </c>
      <c r="D1884" s="2" t="n">
        <v>1</v>
      </c>
      <c r="E1884" s="14" t="s">
        <v>288</v>
      </c>
      <c r="F1884" s="7" t="n">
        <v>18000</v>
      </c>
    </row>
    <row r="1885" customFormat="false" ht="15" hidden="false" customHeight="false" outlineLevel="0" collapsed="false">
      <c r="A1885" s="2" t="s">
        <v>1786</v>
      </c>
      <c r="B1885" s="13" t="n">
        <v>46289</v>
      </c>
      <c r="C1885" s="2" t="s">
        <v>108</v>
      </c>
      <c r="D1885" s="2" t="n">
        <v>1</v>
      </c>
      <c r="E1885" s="14" t="s">
        <v>288</v>
      </c>
      <c r="F1885" s="7" t="n">
        <v>20000</v>
      </c>
    </row>
    <row r="1886" customFormat="false" ht="15" hidden="false" customHeight="false" outlineLevel="0" collapsed="false">
      <c r="A1886" s="2" t="s">
        <v>1786</v>
      </c>
      <c r="B1886" s="13" t="n">
        <v>46289</v>
      </c>
      <c r="C1886" s="2" t="s">
        <v>79</v>
      </c>
      <c r="D1886" s="2" t="n">
        <v>1</v>
      </c>
      <c r="E1886" s="14" t="s">
        <v>288</v>
      </c>
      <c r="F1886" s="7" t="n">
        <v>16000</v>
      </c>
    </row>
    <row r="1887" customFormat="false" ht="15" hidden="false" customHeight="false" outlineLevel="0" collapsed="false">
      <c r="A1887" s="2" t="s">
        <v>1787</v>
      </c>
      <c r="B1887" s="13" t="n">
        <v>46289</v>
      </c>
      <c r="C1887" s="2" t="s">
        <v>101</v>
      </c>
      <c r="D1887" s="2" t="n">
        <v>2</v>
      </c>
      <c r="E1887" s="14" t="s">
        <v>1672</v>
      </c>
      <c r="F1887" s="7" t="n">
        <v>18000</v>
      </c>
    </row>
    <row r="1888" customFormat="false" ht="15" hidden="false" customHeight="false" outlineLevel="0" collapsed="false">
      <c r="A1888" s="2" t="s">
        <v>1787</v>
      </c>
      <c r="B1888" s="13" t="n">
        <v>46289</v>
      </c>
      <c r="C1888" s="2" t="s">
        <v>132</v>
      </c>
      <c r="D1888" s="2" t="n">
        <v>1</v>
      </c>
      <c r="E1888" s="14" t="s">
        <v>1672</v>
      </c>
      <c r="F1888" s="7" t="n">
        <v>15000</v>
      </c>
    </row>
    <row r="1889" customFormat="false" ht="15" hidden="false" customHeight="false" outlineLevel="0" collapsed="false">
      <c r="A1889" s="2" t="s">
        <v>1788</v>
      </c>
      <c r="B1889" s="13" t="n">
        <v>46289</v>
      </c>
      <c r="C1889" s="2" t="s">
        <v>81</v>
      </c>
      <c r="D1889" s="2" t="n">
        <v>1</v>
      </c>
      <c r="E1889" s="14" t="s">
        <v>1537</v>
      </c>
      <c r="F1889" s="7" t="n">
        <v>15000</v>
      </c>
    </row>
    <row r="1890" customFormat="false" ht="15" hidden="false" customHeight="false" outlineLevel="0" collapsed="false">
      <c r="A1890" s="2" t="s">
        <v>1789</v>
      </c>
      <c r="B1890" s="13" t="n">
        <v>46289</v>
      </c>
      <c r="C1890" s="2" t="s">
        <v>108</v>
      </c>
      <c r="D1890" s="2" t="n">
        <v>1</v>
      </c>
      <c r="E1890" s="14" t="s">
        <v>129</v>
      </c>
      <c r="F1890" s="7" t="n">
        <v>20000</v>
      </c>
    </row>
    <row r="1891" customFormat="false" ht="15" hidden="false" customHeight="false" outlineLevel="0" collapsed="false">
      <c r="A1891" s="2" t="s">
        <v>1790</v>
      </c>
      <c r="B1891" s="13" t="n">
        <v>46289</v>
      </c>
      <c r="C1891" s="2" t="s">
        <v>101</v>
      </c>
      <c r="D1891" s="2" t="n">
        <v>1</v>
      </c>
      <c r="E1891" s="14" t="s">
        <v>803</v>
      </c>
      <c r="F1891" s="7" t="n">
        <v>18000</v>
      </c>
    </row>
    <row r="1892" customFormat="false" ht="15" hidden="false" customHeight="false" outlineLevel="0" collapsed="false">
      <c r="A1892" s="2" t="s">
        <v>1790</v>
      </c>
      <c r="B1892" s="13" t="n">
        <v>46289</v>
      </c>
      <c r="C1892" s="2" t="s">
        <v>186</v>
      </c>
      <c r="D1892" s="2" t="n">
        <v>2</v>
      </c>
      <c r="E1892" s="14" t="s">
        <v>803</v>
      </c>
      <c r="F1892" s="7" t="n">
        <v>7000</v>
      </c>
    </row>
    <row r="1893" customFormat="false" ht="15" hidden="false" customHeight="false" outlineLevel="0" collapsed="false">
      <c r="A1893" s="2" t="s">
        <v>1790</v>
      </c>
      <c r="B1893" s="13" t="n">
        <v>46289</v>
      </c>
      <c r="C1893" s="2" t="s">
        <v>89</v>
      </c>
      <c r="D1893" s="2" t="n">
        <v>3</v>
      </c>
      <c r="E1893" s="14" t="s">
        <v>803</v>
      </c>
      <c r="F1893" s="7" t="n">
        <v>14000</v>
      </c>
    </row>
    <row r="1894" customFormat="false" ht="15" hidden="false" customHeight="false" outlineLevel="0" collapsed="false">
      <c r="A1894" s="2" t="s">
        <v>1791</v>
      </c>
      <c r="B1894" s="13" t="n">
        <v>46289</v>
      </c>
      <c r="C1894" s="2" t="s">
        <v>101</v>
      </c>
      <c r="D1894" s="2" t="n">
        <v>1</v>
      </c>
      <c r="E1894" s="14" t="s">
        <v>138</v>
      </c>
      <c r="F1894" s="7" t="n">
        <v>18000</v>
      </c>
    </row>
    <row r="1895" customFormat="false" ht="15" hidden="false" customHeight="false" outlineLevel="0" collapsed="false">
      <c r="A1895" s="2" t="s">
        <v>1792</v>
      </c>
      <c r="B1895" s="13" t="n">
        <v>46289</v>
      </c>
      <c r="C1895" s="2" t="s">
        <v>132</v>
      </c>
      <c r="D1895" s="2" t="n">
        <v>1</v>
      </c>
      <c r="E1895" s="14" t="s">
        <v>1793</v>
      </c>
      <c r="F1895" s="7" t="n">
        <v>15000</v>
      </c>
    </row>
    <row r="1896" customFormat="false" ht="15" hidden="false" customHeight="false" outlineLevel="0" collapsed="false">
      <c r="A1896" s="2" t="s">
        <v>1792</v>
      </c>
      <c r="B1896" s="13" t="n">
        <v>46289</v>
      </c>
      <c r="C1896" s="2" t="s">
        <v>101</v>
      </c>
      <c r="D1896" s="2" t="n">
        <v>2</v>
      </c>
      <c r="E1896" s="14" t="s">
        <v>1793</v>
      </c>
      <c r="F1896" s="7" t="n">
        <v>18000</v>
      </c>
    </row>
    <row r="1897" customFormat="false" ht="15" hidden="false" customHeight="false" outlineLevel="0" collapsed="false">
      <c r="A1897" s="2" t="s">
        <v>1794</v>
      </c>
      <c r="B1897" s="13" t="n">
        <v>46289</v>
      </c>
      <c r="C1897" s="2" t="s">
        <v>186</v>
      </c>
      <c r="D1897" s="2" t="n">
        <v>1</v>
      </c>
      <c r="E1897" s="14" t="s">
        <v>505</v>
      </c>
      <c r="F1897" s="7" t="n">
        <v>7000</v>
      </c>
    </row>
    <row r="1898" customFormat="false" ht="15" hidden="false" customHeight="false" outlineLevel="0" collapsed="false">
      <c r="A1898" s="2" t="s">
        <v>1794</v>
      </c>
      <c r="B1898" s="13" t="n">
        <v>46289</v>
      </c>
      <c r="C1898" s="2" t="s">
        <v>101</v>
      </c>
      <c r="D1898" s="2" t="n">
        <v>1</v>
      </c>
      <c r="E1898" s="14" t="s">
        <v>505</v>
      </c>
      <c r="F1898" s="7" t="n">
        <v>18000</v>
      </c>
    </row>
    <row r="1899" customFormat="false" ht="15" hidden="false" customHeight="false" outlineLevel="0" collapsed="false">
      <c r="A1899" s="2" t="s">
        <v>1794</v>
      </c>
      <c r="B1899" s="13" t="n">
        <v>46289</v>
      </c>
      <c r="C1899" s="2" t="s">
        <v>84</v>
      </c>
      <c r="D1899" s="2" t="n">
        <v>1</v>
      </c>
      <c r="E1899" s="14" t="s">
        <v>505</v>
      </c>
      <c r="F1899" s="7" t="n">
        <v>5000</v>
      </c>
    </row>
    <row r="1900" customFormat="false" ht="15" hidden="false" customHeight="false" outlineLevel="0" collapsed="false">
      <c r="A1900" s="2" t="s">
        <v>1795</v>
      </c>
      <c r="B1900" s="13" t="n">
        <v>46289</v>
      </c>
      <c r="C1900" s="2" t="s">
        <v>89</v>
      </c>
      <c r="D1900" s="2" t="n">
        <v>2</v>
      </c>
      <c r="E1900" s="14" t="s">
        <v>1399</v>
      </c>
      <c r="F1900" s="7" t="n">
        <v>14000</v>
      </c>
    </row>
    <row r="1901" customFormat="false" ht="15" hidden="false" customHeight="false" outlineLevel="0" collapsed="false">
      <c r="A1901" s="2" t="s">
        <v>1795</v>
      </c>
      <c r="B1901" s="13" t="n">
        <v>46289</v>
      </c>
      <c r="C1901" s="2" t="s">
        <v>101</v>
      </c>
      <c r="D1901" s="2" t="n">
        <v>1</v>
      </c>
      <c r="E1901" s="14" t="s">
        <v>1399</v>
      </c>
      <c r="F1901" s="7" t="n">
        <v>18000</v>
      </c>
    </row>
    <row r="1902" customFormat="false" ht="15" hidden="false" customHeight="false" outlineLevel="0" collapsed="false">
      <c r="A1902" s="2" t="s">
        <v>1795</v>
      </c>
      <c r="B1902" s="13" t="n">
        <v>46289</v>
      </c>
      <c r="C1902" s="2" t="s">
        <v>112</v>
      </c>
      <c r="D1902" s="2" t="n">
        <v>2</v>
      </c>
      <c r="E1902" s="14" t="s">
        <v>1399</v>
      </c>
      <c r="F1902" s="7" t="n">
        <v>10000</v>
      </c>
    </row>
    <row r="1903" customFormat="false" ht="15" hidden="false" customHeight="false" outlineLevel="0" collapsed="false">
      <c r="A1903" s="2" t="s">
        <v>1796</v>
      </c>
      <c r="B1903" s="13" t="n">
        <v>46289</v>
      </c>
      <c r="C1903" s="2" t="s">
        <v>132</v>
      </c>
      <c r="D1903" s="2" t="n">
        <v>1</v>
      </c>
      <c r="E1903" s="14" t="s">
        <v>235</v>
      </c>
      <c r="F1903" s="7" t="n">
        <v>15000</v>
      </c>
    </row>
    <row r="1904" customFormat="false" ht="15" hidden="false" customHeight="false" outlineLevel="0" collapsed="false">
      <c r="A1904" s="2" t="s">
        <v>1796</v>
      </c>
      <c r="B1904" s="13" t="n">
        <v>46289</v>
      </c>
      <c r="C1904" s="2" t="s">
        <v>1797</v>
      </c>
      <c r="D1904" s="2" t="n">
        <v>1</v>
      </c>
      <c r="E1904" s="14" t="s">
        <v>235</v>
      </c>
      <c r="F1904" s="7" t="n">
        <v>7000</v>
      </c>
    </row>
    <row r="1905" customFormat="false" ht="15" hidden="false" customHeight="false" outlineLevel="0" collapsed="false">
      <c r="A1905" s="2" t="s">
        <v>1798</v>
      </c>
      <c r="B1905" s="13" t="n">
        <v>46289</v>
      </c>
      <c r="C1905" s="2" t="s">
        <v>89</v>
      </c>
      <c r="D1905" s="2" t="n">
        <v>1</v>
      </c>
      <c r="E1905" s="14" t="s">
        <v>908</v>
      </c>
      <c r="F1905" s="7" t="n">
        <v>14000</v>
      </c>
    </row>
    <row r="1906" customFormat="false" ht="15" hidden="false" customHeight="false" outlineLevel="0" collapsed="false">
      <c r="A1906" s="2" t="s">
        <v>1799</v>
      </c>
      <c r="B1906" s="13" t="n">
        <v>46289</v>
      </c>
      <c r="C1906" s="2" t="s">
        <v>101</v>
      </c>
      <c r="D1906" s="2" t="n">
        <v>1</v>
      </c>
      <c r="E1906" s="14" t="s">
        <v>826</v>
      </c>
      <c r="F1906" s="7" t="n">
        <v>18000</v>
      </c>
    </row>
    <row r="1907" customFormat="false" ht="15" hidden="false" customHeight="false" outlineLevel="0" collapsed="false">
      <c r="A1907" s="2" t="s">
        <v>1799</v>
      </c>
      <c r="B1907" s="13" t="n">
        <v>46289</v>
      </c>
      <c r="C1907" s="2" t="s">
        <v>186</v>
      </c>
      <c r="D1907" s="2" t="n">
        <v>1</v>
      </c>
      <c r="E1907" s="14" t="s">
        <v>826</v>
      </c>
      <c r="F1907" s="7" t="n">
        <v>7000</v>
      </c>
    </row>
    <row r="1908" customFormat="false" ht="15" hidden="false" customHeight="false" outlineLevel="0" collapsed="false">
      <c r="A1908" s="2" t="s">
        <v>1800</v>
      </c>
      <c r="B1908" s="13" t="n">
        <v>46289</v>
      </c>
      <c r="C1908" s="2" t="s">
        <v>79</v>
      </c>
      <c r="D1908" s="2" t="n">
        <v>1</v>
      </c>
      <c r="E1908" s="14" t="s">
        <v>1625</v>
      </c>
      <c r="F1908" s="7" t="n">
        <v>16000</v>
      </c>
    </row>
    <row r="1909" customFormat="false" ht="15" hidden="false" customHeight="false" outlineLevel="0" collapsed="false">
      <c r="A1909" s="2" t="s">
        <v>1800</v>
      </c>
      <c r="B1909" s="13" t="n">
        <v>46289</v>
      </c>
      <c r="C1909" s="2" t="s">
        <v>186</v>
      </c>
      <c r="D1909" s="2" t="n">
        <v>1</v>
      </c>
      <c r="E1909" s="14" t="s">
        <v>1625</v>
      </c>
      <c r="F1909" s="7" t="n">
        <v>7000</v>
      </c>
    </row>
    <row r="1910" customFormat="false" ht="15" hidden="false" customHeight="false" outlineLevel="0" collapsed="false">
      <c r="A1910" s="2" t="s">
        <v>1801</v>
      </c>
      <c r="B1910" s="13" t="n">
        <v>46289</v>
      </c>
      <c r="C1910" s="2" t="s">
        <v>132</v>
      </c>
      <c r="D1910" s="2" t="n">
        <v>1</v>
      </c>
      <c r="E1910" s="14" t="s">
        <v>156</v>
      </c>
      <c r="F1910" s="7" t="n">
        <v>15000</v>
      </c>
    </row>
    <row r="1911" customFormat="false" ht="15" hidden="false" customHeight="false" outlineLevel="0" collapsed="false">
      <c r="A1911" s="2" t="s">
        <v>1801</v>
      </c>
      <c r="B1911" s="13" t="n">
        <v>46289</v>
      </c>
      <c r="C1911" s="2" t="s">
        <v>84</v>
      </c>
      <c r="D1911" s="2" t="n">
        <v>1</v>
      </c>
      <c r="E1911" s="14" t="s">
        <v>156</v>
      </c>
      <c r="F1911" s="7" t="n">
        <v>5000</v>
      </c>
    </row>
    <row r="1912" customFormat="false" ht="15" hidden="false" customHeight="false" outlineLevel="0" collapsed="false">
      <c r="A1912" s="2" t="s">
        <v>1802</v>
      </c>
      <c r="B1912" s="13" t="n">
        <v>46289</v>
      </c>
      <c r="C1912" s="2" t="s">
        <v>84</v>
      </c>
      <c r="D1912" s="2" t="n">
        <v>1</v>
      </c>
      <c r="E1912" s="14" t="s">
        <v>683</v>
      </c>
      <c r="F1912" s="7" t="n">
        <v>5000</v>
      </c>
    </row>
    <row r="1913" customFormat="false" ht="15" hidden="false" customHeight="false" outlineLevel="0" collapsed="false">
      <c r="A1913" s="2" t="s">
        <v>1803</v>
      </c>
      <c r="B1913" s="13" t="n">
        <v>46289</v>
      </c>
      <c r="C1913" s="2" t="s">
        <v>186</v>
      </c>
      <c r="D1913" s="2" t="n">
        <v>1</v>
      </c>
      <c r="E1913" s="14" t="s">
        <v>913</v>
      </c>
      <c r="F1913" s="7" t="n">
        <v>7000</v>
      </c>
    </row>
    <row r="1914" customFormat="false" ht="15" hidden="false" customHeight="false" outlineLevel="0" collapsed="false">
      <c r="A1914" s="2" t="s">
        <v>1803</v>
      </c>
      <c r="B1914" s="13" t="n">
        <v>46289</v>
      </c>
      <c r="C1914" s="2" t="s">
        <v>101</v>
      </c>
      <c r="D1914" s="2" t="n">
        <v>1</v>
      </c>
      <c r="E1914" s="14" t="s">
        <v>913</v>
      </c>
      <c r="F1914" s="7" t="n">
        <v>18000</v>
      </c>
    </row>
    <row r="1915" customFormat="false" ht="15" hidden="false" customHeight="false" outlineLevel="0" collapsed="false">
      <c r="A1915" s="2" t="s">
        <v>1804</v>
      </c>
      <c r="B1915" s="13" t="n">
        <v>46289</v>
      </c>
      <c r="C1915" s="2" t="s">
        <v>186</v>
      </c>
      <c r="D1915" s="2" t="n">
        <v>2</v>
      </c>
      <c r="E1915" s="14" t="s">
        <v>917</v>
      </c>
      <c r="F1915" s="7" t="n">
        <v>7000</v>
      </c>
    </row>
    <row r="1916" customFormat="false" ht="15" hidden="false" customHeight="false" outlineLevel="0" collapsed="false">
      <c r="A1916" s="2" t="s">
        <v>1804</v>
      </c>
      <c r="B1916" s="13" t="n">
        <v>46289</v>
      </c>
      <c r="C1916" s="2" t="s">
        <v>186</v>
      </c>
      <c r="D1916" s="2" t="n">
        <v>2</v>
      </c>
      <c r="E1916" s="14" t="s">
        <v>917</v>
      </c>
      <c r="F1916" s="7" t="n">
        <v>7000</v>
      </c>
    </row>
    <row r="1917" customFormat="false" ht="15" hidden="false" customHeight="false" outlineLevel="0" collapsed="false">
      <c r="A1917" s="2" t="s">
        <v>1805</v>
      </c>
      <c r="B1917" s="13" t="n">
        <v>46289</v>
      </c>
      <c r="C1917" s="2" t="s">
        <v>108</v>
      </c>
      <c r="D1917" s="2" t="n">
        <v>1</v>
      </c>
      <c r="E1917" s="14" t="s">
        <v>1806</v>
      </c>
      <c r="F1917" s="7" t="n">
        <v>20000</v>
      </c>
    </row>
    <row r="1918" customFormat="false" ht="15" hidden="false" customHeight="false" outlineLevel="0" collapsed="false">
      <c r="A1918" s="2" t="s">
        <v>1805</v>
      </c>
      <c r="B1918" s="13" t="n">
        <v>46289</v>
      </c>
      <c r="C1918" s="2" t="s">
        <v>84</v>
      </c>
      <c r="D1918" s="2" t="n">
        <v>1</v>
      </c>
      <c r="E1918" s="14" t="s">
        <v>1806</v>
      </c>
      <c r="F1918" s="7" t="n">
        <v>5000</v>
      </c>
    </row>
    <row r="1919" customFormat="false" ht="15" hidden="false" customHeight="false" outlineLevel="0" collapsed="false">
      <c r="A1919" s="2" t="s">
        <v>1807</v>
      </c>
      <c r="B1919" s="13" t="n">
        <v>46289</v>
      </c>
      <c r="C1919" s="2" t="s">
        <v>84</v>
      </c>
      <c r="D1919" s="2" t="n">
        <v>1</v>
      </c>
      <c r="E1919" s="14" t="s">
        <v>758</v>
      </c>
      <c r="F1919" s="7" t="n">
        <v>5000</v>
      </c>
    </row>
    <row r="1920" customFormat="false" ht="15" hidden="false" customHeight="false" outlineLevel="0" collapsed="false">
      <c r="A1920" s="2" t="s">
        <v>1807</v>
      </c>
      <c r="B1920" s="13" t="n">
        <v>46289</v>
      </c>
      <c r="C1920" s="2" t="s">
        <v>101</v>
      </c>
      <c r="D1920" s="2" t="n">
        <v>3</v>
      </c>
      <c r="E1920" s="14" t="s">
        <v>758</v>
      </c>
      <c r="F1920" s="7" t="n">
        <v>18000</v>
      </c>
    </row>
    <row r="1921" customFormat="false" ht="15" hidden="false" customHeight="false" outlineLevel="0" collapsed="false">
      <c r="A1921" s="2" t="s">
        <v>1807</v>
      </c>
      <c r="B1921" s="13" t="n">
        <v>46289</v>
      </c>
      <c r="C1921" s="2" t="s">
        <v>132</v>
      </c>
      <c r="D1921" s="2" t="n">
        <v>2</v>
      </c>
      <c r="E1921" s="14" t="s">
        <v>758</v>
      </c>
      <c r="F1921" s="7" t="n">
        <v>15000</v>
      </c>
    </row>
    <row r="1922" customFormat="false" ht="15" hidden="false" customHeight="false" outlineLevel="0" collapsed="false">
      <c r="A1922" s="2" t="s">
        <v>1808</v>
      </c>
      <c r="B1922" s="13" t="n">
        <v>46289</v>
      </c>
      <c r="C1922" s="2" t="s">
        <v>101</v>
      </c>
      <c r="D1922" s="2" t="n">
        <v>1</v>
      </c>
      <c r="E1922" s="14" t="s">
        <v>1809</v>
      </c>
      <c r="F1922" s="7" t="n">
        <v>18000</v>
      </c>
    </row>
    <row r="1923" customFormat="false" ht="15" hidden="false" customHeight="false" outlineLevel="0" collapsed="false">
      <c r="A1923" s="2" t="s">
        <v>1808</v>
      </c>
      <c r="B1923" s="13" t="n">
        <v>46289</v>
      </c>
      <c r="C1923" s="2" t="s">
        <v>81</v>
      </c>
      <c r="D1923" s="2" t="n">
        <v>1</v>
      </c>
      <c r="E1923" s="14" t="s">
        <v>1809</v>
      </c>
      <c r="F1923" s="7" t="n">
        <v>15000</v>
      </c>
    </row>
    <row r="1924" customFormat="false" ht="15" hidden="false" customHeight="false" outlineLevel="0" collapsed="false">
      <c r="A1924" s="2" t="s">
        <v>1808</v>
      </c>
      <c r="B1924" s="13" t="n">
        <v>46289</v>
      </c>
      <c r="C1924" s="2" t="s">
        <v>186</v>
      </c>
      <c r="D1924" s="2" t="n">
        <v>2</v>
      </c>
      <c r="E1924" s="14" t="s">
        <v>1809</v>
      </c>
      <c r="F1924" s="7" t="n">
        <v>7000</v>
      </c>
    </row>
    <row r="1925" customFormat="false" ht="15" hidden="false" customHeight="false" outlineLevel="0" collapsed="false">
      <c r="A1925" s="2" t="s">
        <v>1810</v>
      </c>
      <c r="B1925" s="13" t="n">
        <v>46289</v>
      </c>
      <c r="C1925" s="2" t="s">
        <v>186</v>
      </c>
      <c r="D1925" s="2" t="n">
        <v>1</v>
      </c>
      <c r="E1925" s="14" t="s">
        <v>1257</v>
      </c>
      <c r="F1925" s="7" t="n">
        <v>7000</v>
      </c>
    </row>
    <row r="1926" customFormat="false" ht="15" hidden="false" customHeight="false" outlineLevel="0" collapsed="false">
      <c r="A1926" s="2" t="s">
        <v>1811</v>
      </c>
      <c r="B1926" s="13" t="n">
        <v>46289</v>
      </c>
      <c r="C1926" s="2" t="s">
        <v>101</v>
      </c>
      <c r="D1926" s="2" t="n">
        <v>2</v>
      </c>
      <c r="E1926" s="14" t="s">
        <v>167</v>
      </c>
      <c r="F1926" s="7" t="n">
        <v>18000</v>
      </c>
    </row>
    <row r="1927" customFormat="false" ht="15" hidden="false" customHeight="false" outlineLevel="0" collapsed="false">
      <c r="A1927" s="2" t="s">
        <v>1812</v>
      </c>
      <c r="B1927" s="13" t="n">
        <v>46289</v>
      </c>
      <c r="C1927" s="2" t="s">
        <v>84</v>
      </c>
      <c r="D1927" s="2" t="n">
        <v>2</v>
      </c>
      <c r="E1927" s="14" t="s">
        <v>167</v>
      </c>
      <c r="F1927" s="7" t="n">
        <v>5000</v>
      </c>
    </row>
    <row r="1928" customFormat="false" ht="15" hidden="false" customHeight="false" outlineLevel="0" collapsed="false">
      <c r="A1928" s="2" t="s">
        <v>1813</v>
      </c>
      <c r="B1928" s="13" t="n">
        <v>46289</v>
      </c>
      <c r="C1928" s="2" t="s">
        <v>101</v>
      </c>
      <c r="D1928" s="2" t="n">
        <v>1</v>
      </c>
      <c r="E1928" s="14" t="s">
        <v>1141</v>
      </c>
      <c r="F1928" s="7" t="n">
        <v>18000</v>
      </c>
    </row>
    <row r="1929" customFormat="false" ht="15" hidden="false" customHeight="false" outlineLevel="0" collapsed="false">
      <c r="A1929" s="2" t="s">
        <v>1813</v>
      </c>
      <c r="B1929" s="13" t="n">
        <v>46289</v>
      </c>
      <c r="C1929" s="2" t="s">
        <v>79</v>
      </c>
      <c r="D1929" s="2" t="n">
        <v>1</v>
      </c>
      <c r="E1929" s="14" t="s">
        <v>1141</v>
      </c>
      <c r="F1929" s="7" t="n">
        <v>16000</v>
      </c>
    </row>
    <row r="1930" customFormat="false" ht="15" hidden="false" customHeight="false" outlineLevel="0" collapsed="false">
      <c r="A1930" s="2" t="s">
        <v>1814</v>
      </c>
      <c r="B1930" s="13" t="n">
        <v>46290</v>
      </c>
      <c r="C1930" s="2" t="s">
        <v>79</v>
      </c>
      <c r="D1930" s="2" t="n">
        <v>1</v>
      </c>
      <c r="E1930" s="14" t="s">
        <v>1815</v>
      </c>
      <c r="F1930" s="7" t="n">
        <v>16000</v>
      </c>
    </row>
    <row r="1931" customFormat="false" ht="15" hidden="false" customHeight="false" outlineLevel="0" collapsed="false">
      <c r="A1931" s="2" t="s">
        <v>1816</v>
      </c>
      <c r="B1931" s="13" t="n">
        <v>46290</v>
      </c>
      <c r="C1931" s="2" t="s">
        <v>101</v>
      </c>
      <c r="D1931" s="2" t="n">
        <v>1</v>
      </c>
      <c r="E1931" s="14" t="s">
        <v>432</v>
      </c>
      <c r="F1931" s="7" t="n">
        <v>18000</v>
      </c>
    </row>
    <row r="1932" customFormat="false" ht="15" hidden="false" customHeight="false" outlineLevel="0" collapsed="false">
      <c r="A1932" s="2" t="s">
        <v>1816</v>
      </c>
      <c r="B1932" s="13" t="n">
        <v>46290</v>
      </c>
      <c r="C1932" s="2" t="s">
        <v>84</v>
      </c>
      <c r="D1932" s="2" t="n">
        <v>1</v>
      </c>
      <c r="E1932" s="14" t="s">
        <v>432</v>
      </c>
      <c r="F1932" s="7" t="n">
        <v>5000</v>
      </c>
    </row>
    <row r="1933" customFormat="false" ht="15" hidden="false" customHeight="false" outlineLevel="0" collapsed="false">
      <c r="A1933" s="2" t="s">
        <v>1816</v>
      </c>
      <c r="B1933" s="13" t="n">
        <v>46290</v>
      </c>
      <c r="C1933" s="2" t="s">
        <v>89</v>
      </c>
      <c r="D1933" s="2" t="n">
        <v>1</v>
      </c>
      <c r="E1933" s="14" t="s">
        <v>432</v>
      </c>
      <c r="F1933" s="7" t="n">
        <v>14000</v>
      </c>
    </row>
    <row r="1934" customFormat="false" ht="15" hidden="false" customHeight="false" outlineLevel="0" collapsed="false">
      <c r="A1934" s="2" t="s">
        <v>1817</v>
      </c>
      <c r="B1934" s="13" t="n">
        <v>46290</v>
      </c>
      <c r="C1934" s="2" t="s">
        <v>81</v>
      </c>
      <c r="D1934" s="2" t="n">
        <v>1</v>
      </c>
      <c r="E1934" s="14" t="s">
        <v>1818</v>
      </c>
      <c r="F1934" s="7" t="n">
        <v>15000</v>
      </c>
    </row>
    <row r="1935" customFormat="false" ht="15" hidden="false" customHeight="false" outlineLevel="0" collapsed="false">
      <c r="A1935" s="2" t="s">
        <v>1819</v>
      </c>
      <c r="B1935" s="13" t="n">
        <v>46290</v>
      </c>
      <c r="C1935" s="2" t="s">
        <v>92</v>
      </c>
      <c r="D1935" s="2" t="n">
        <v>2</v>
      </c>
      <c r="E1935" s="14" t="s">
        <v>1820</v>
      </c>
      <c r="F1935" s="7" t="n">
        <v>4000</v>
      </c>
    </row>
    <row r="1936" customFormat="false" ht="15" hidden="false" customHeight="false" outlineLevel="0" collapsed="false">
      <c r="A1936" s="2" t="s">
        <v>1821</v>
      </c>
      <c r="B1936" s="13" t="n">
        <v>46290</v>
      </c>
      <c r="C1936" s="2" t="s">
        <v>84</v>
      </c>
      <c r="D1936" s="2" t="n">
        <v>1</v>
      </c>
      <c r="E1936" s="14" t="s">
        <v>850</v>
      </c>
      <c r="F1936" s="7" t="n">
        <v>5000</v>
      </c>
    </row>
    <row r="1937" customFormat="false" ht="15" hidden="false" customHeight="false" outlineLevel="0" collapsed="false">
      <c r="A1937" s="2" t="s">
        <v>1822</v>
      </c>
      <c r="B1937" s="13" t="n">
        <v>46290</v>
      </c>
      <c r="C1937" s="2" t="s">
        <v>108</v>
      </c>
      <c r="D1937" s="2" t="n">
        <v>3</v>
      </c>
      <c r="E1937" s="14" t="s">
        <v>1014</v>
      </c>
      <c r="F1937" s="7" t="n">
        <v>20000</v>
      </c>
    </row>
    <row r="1938" customFormat="false" ht="15" hidden="false" customHeight="false" outlineLevel="0" collapsed="false">
      <c r="A1938" s="2" t="s">
        <v>1822</v>
      </c>
      <c r="B1938" s="13" t="n">
        <v>46290</v>
      </c>
      <c r="C1938" s="2" t="s">
        <v>132</v>
      </c>
      <c r="D1938" s="2" t="n">
        <v>1</v>
      </c>
      <c r="E1938" s="14" t="s">
        <v>1014</v>
      </c>
      <c r="F1938" s="7" t="n">
        <v>15000</v>
      </c>
    </row>
    <row r="1939" customFormat="false" ht="15" hidden="false" customHeight="false" outlineLevel="0" collapsed="false">
      <c r="A1939" s="2" t="s">
        <v>1823</v>
      </c>
      <c r="B1939" s="13" t="n">
        <v>46290</v>
      </c>
      <c r="C1939" s="2" t="s">
        <v>84</v>
      </c>
      <c r="D1939" s="2" t="n">
        <v>1</v>
      </c>
      <c r="E1939" s="14" t="s">
        <v>1824</v>
      </c>
      <c r="F1939" s="7" t="n">
        <v>5000</v>
      </c>
    </row>
    <row r="1940" customFormat="false" ht="15" hidden="false" customHeight="false" outlineLevel="0" collapsed="false">
      <c r="A1940" s="2" t="s">
        <v>1823</v>
      </c>
      <c r="B1940" s="13" t="n">
        <v>46290</v>
      </c>
      <c r="C1940" s="2" t="s">
        <v>112</v>
      </c>
      <c r="D1940" s="2" t="n">
        <v>2</v>
      </c>
      <c r="E1940" s="14" t="s">
        <v>1824</v>
      </c>
      <c r="F1940" s="7" t="n">
        <v>10000</v>
      </c>
    </row>
    <row r="1941" customFormat="false" ht="15" hidden="false" customHeight="false" outlineLevel="0" collapsed="false">
      <c r="A1941" s="2" t="s">
        <v>1825</v>
      </c>
      <c r="B1941" s="13" t="n">
        <v>46290</v>
      </c>
      <c r="C1941" s="2" t="s">
        <v>84</v>
      </c>
      <c r="D1941" s="2" t="n">
        <v>1</v>
      </c>
      <c r="E1941" s="14" t="s">
        <v>936</v>
      </c>
      <c r="F1941" s="7" t="n">
        <v>5000</v>
      </c>
    </row>
    <row r="1942" customFormat="false" ht="15" hidden="false" customHeight="false" outlineLevel="0" collapsed="false">
      <c r="A1942" s="2" t="s">
        <v>1826</v>
      </c>
      <c r="B1942" s="13" t="n">
        <v>46290</v>
      </c>
      <c r="C1942" s="2" t="s">
        <v>79</v>
      </c>
      <c r="D1942" s="2" t="n">
        <v>1</v>
      </c>
      <c r="E1942" s="14" t="s">
        <v>545</v>
      </c>
      <c r="F1942" s="7" t="n">
        <v>16000</v>
      </c>
    </row>
    <row r="1943" customFormat="false" ht="15" hidden="false" customHeight="false" outlineLevel="0" collapsed="false">
      <c r="A1943" s="2" t="s">
        <v>1826</v>
      </c>
      <c r="B1943" s="13" t="n">
        <v>46290</v>
      </c>
      <c r="C1943" s="2" t="s">
        <v>81</v>
      </c>
      <c r="D1943" s="2" t="n">
        <v>1</v>
      </c>
      <c r="E1943" s="14" t="s">
        <v>545</v>
      </c>
      <c r="F1943" s="7" t="n">
        <v>15000</v>
      </c>
    </row>
    <row r="1944" customFormat="false" ht="15" hidden="false" customHeight="false" outlineLevel="0" collapsed="false">
      <c r="A1944" s="2" t="s">
        <v>1827</v>
      </c>
      <c r="B1944" s="13" t="n">
        <v>46290</v>
      </c>
      <c r="C1944" s="2" t="s">
        <v>81</v>
      </c>
      <c r="D1944" s="2" t="n">
        <v>2</v>
      </c>
      <c r="E1944" s="14" t="s">
        <v>281</v>
      </c>
      <c r="F1944" s="7" t="n">
        <v>15000</v>
      </c>
    </row>
    <row r="1945" customFormat="false" ht="15" hidden="false" customHeight="false" outlineLevel="0" collapsed="false">
      <c r="A1945" s="2" t="s">
        <v>1828</v>
      </c>
      <c r="B1945" s="13" t="n">
        <v>46290</v>
      </c>
      <c r="C1945" s="2" t="s">
        <v>101</v>
      </c>
      <c r="D1945" s="2" t="n">
        <v>1</v>
      </c>
      <c r="E1945" s="14" t="s">
        <v>455</v>
      </c>
      <c r="F1945" s="7" t="n">
        <v>18000</v>
      </c>
    </row>
    <row r="1946" customFormat="false" ht="15" hidden="false" customHeight="false" outlineLevel="0" collapsed="false">
      <c r="A1946" s="2" t="s">
        <v>1828</v>
      </c>
      <c r="B1946" s="13" t="n">
        <v>46290</v>
      </c>
      <c r="C1946" s="2" t="s">
        <v>81</v>
      </c>
      <c r="D1946" s="2" t="n">
        <v>1</v>
      </c>
      <c r="E1946" s="14" t="s">
        <v>455</v>
      </c>
      <c r="F1946" s="7" t="n">
        <v>15000</v>
      </c>
    </row>
    <row r="1947" customFormat="false" ht="15" hidden="false" customHeight="false" outlineLevel="0" collapsed="false">
      <c r="A1947" s="2" t="s">
        <v>1829</v>
      </c>
      <c r="B1947" s="13" t="n">
        <v>46290</v>
      </c>
      <c r="C1947" s="2" t="s">
        <v>186</v>
      </c>
      <c r="D1947" s="2" t="n">
        <v>1</v>
      </c>
      <c r="E1947" s="14" t="s">
        <v>866</v>
      </c>
      <c r="F1947" s="7" t="n">
        <v>7000</v>
      </c>
    </row>
    <row r="1948" customFormat="false" ht="15" hidden="false" customHeight="false" outlineLevel="0" collapsed="false">
      <c r="A1948" s="2" t="s">
        <v>1829</v>
      </c>
      <c r="B1948" s="13" t="n">
        <v>46290</v>
      </c>
      <c r="C1948" s="2" t="s">
        <v>81</v>
      </c>
      <c r="D1948" s="2" t="n">
        <v>1</v>
      </c>
      <c r="E1948" s="14" t="s">
        <v>866</v>
      </c>
      <c r="F1948" s="7" t="n">
        <v>15000</v>
      </c>
    </row>
    <row r="1949" customFormat="false" ht="15" hidden="false" customHeight="false" outlineLevel="0" collapsed="false">
      <c r="A1949" s="2" t="s">
        <v>1830</v>
      </c>
      <c r="B1949" s="13" t="n">
        <v>46290</v>
      </c>
      <c r="C1949" s="2" t="s">
        <v>101</v>
      </c>
      <c r="D1949" s="2" t="n">
        <v>1</v>
      </c>
      <c r="E1949" s="14" t="s">
        <v>368</v>
      </c>
      <c r="F1949" s="7" t="n">
        <v>18000</v>
      </c>
    </row>
    <row r="1950" customFormat="false" ht="15" hidden="false" customHeight="false" outlineLevel="0" collapsed="false">
      <c r="A1950" s="2" t="s">
        <v>1830</v>
      </c>
      <c r="B1950" s="13" t="n">
        <v>46290</v>
      </c>
      <c r="C1950" s="2" t="s">
        <v>84</v>
      </c>
      <c r="D1950" s="2" t="n">
        <v>2</v>
      </c>
      <c r="E1950" s="14" t="s">
        <v>368</v>
      </c>
      <c r="F1950" s="7" t="n">
        <v>5000</v>
      </c>
    </row>
    <row r="1951" customFormat="false" ht="15" hidden="false" customHeight="false" outlineLevel="0" collapsed="false">
      <c r="A1951" s="2" t="s">
        <v>1831</v>
      </c>
      <c r="B1951" s="13" t="n">
        <v>46290</v>
      </c>
      <c r="C1951" s="2" t="s">
        <v>84</v>
      </c>
      <c r="D1951" s="2" t="n">
        <v>1</v>
      </c>
      <c r="E1951" s="14" t="s">
        <v>368</v>
      </c>
      <c r="F1951" s="7" t="n">
        <v>5000</v>
      </c>
    </row>
    <row r="1952" customFormat="false" ht="15" hidden="false" customHeight="false" outlineLevel="0" collapsed="false">
      <c r="A1952" s="2" t="s">
        <v>1831</v>
      </c>
      <c r="B1952" s="13" t="n">
        <v>46290</v>
      </c>
      <c r="C1952" s="2" t="s">
        <v>84</v>
      </c>
      <c r="D1952" s="2" t="n">
        <v>1</v>
      </c>
      <c r="E1952" s="14" t="s">
        <v>368</v>
      </c>
      <c r="F1952" s="7" t="n">
        <v>5000</v>
      </c>
    </row>
    <row r="1953" customFormat="false" ht="15" hidden="false" customHeight="false" outlineLevel="0" collapsed="false">
      <c r="A1953" s="2" t="s">
        <v>1831</v>
      </c>
      <c r="B1953" s="13" t="n">
        <v>46290</v>
      </c>
      <c r="C1953" s="2" t="s">
        <v>81</v>
      </c>
      <c r="D1953" s="2" t="n">
        <v>1</v>
      </c>
      <c r="E1953" s="14" t="s">
        <v>368</v>
      </c>
      <c r="F1953" s="7" t="n">
        <v>15000</v>
      </c>
    </row>
    <row r="1954" customFormat="false" ht="15" hidden="false" customHeight="false" outlineLevel="0" collapsed="false">
      <c r="A1954" s="2" t="s">
        <v>1832</v>
      </c>
      <c r="B1954" s="13" t="n">
        <v>46290</v>
      </c>
      <c r="C1954" s="2" t="s">
        <v>89</v>
      </c>
      <c r="D1954" s="2" t="n">
        <v>1</v>
      </c>
      <c r="E1954" s="14" t="s">
        <v>466</v>
      </c>
      <c r="F1954" s="7" t="n">
        <v>14000</v>
      </c>
    </row>
    <row r="1955" customFormat="false" ht="15" hidden="false" customHeight="false" outlineLevel="0" collapsed="false">
      <c r="A1955" s="2" t="s">
        <v>1832</v>
      </c>
      <c r="B1955" s="13" t="n">
        <v>46290</v>
      </c>
      <c r="C1955" s="2" t="s">
        <v>132</v>
      </c>
      <c r="D1955" s="2" t="n">
        <v>1</v>
      </c>
      <c r="E1955" s="14" t="s">
        <v>466</v>
      </c>
      <c r="F1955" s="7" t="n">
        <v>15000</v>
      </c>
    </row>
    <row r="1956" customFormat="false" ht="15" hidden="false" customHeight="false" outlineLevel="0" collapsed="false">
      <c r="A1956" s="2" t="s">
        <v>1833</v>
      </c>
      <c r="B1956" s="13" t="n">
        <v>46290</v>
      </c>
      <c r="C1956" s="2" t="s">
        <v>108</v>
      </c>
      <c r="D1956" s="2" t="n">
        <v>3</v>
      </c>
      <c r="E1956" s="14" t="s">
        <v>872</v>
      </c>
      <c r="F1956" s="7" t="n">
        <v>20000</v>
      </c>
    </row>
    <row r="1957" customFormat="false" ht="15" hidden="false" customHeight="false" outlineLevel="0" collapsed="false">
      <c r="A1957" s="2" t="s">
        <v>1833</v>
      </c>
      <c r="B1957" s="13" t="n">
        <v>46290</v>
      </c>
      <c r="C1957" s="2" t="s">
        <v>79</v>
      </c>
      <c r="D1957" s="2" t="n">
        <v>3</v>
      </c>
      <c r="E1957" s="14" t="s">
        <v>872</v>
      </c>
      <c r="F1957" s="7" t="n">
        <v>16000</v>
      </c>
    </row>
    <row r="1958" customFormat="false" ht="15" hidden="false" customHeight="false" outlineLevel="0" collapsed="false">
      <c r="A1958" s="2" t="s">
        <v>1833</v>
      </c>
      <c r="B1958" s="13" t="n">
        <v>46290</v>
      </c>
      <c r="C1958" s="2" t="s">
        <v>84</v>
      </c>
      <c r="D1958" s="2" t="n">
        <v>1</v>
      </c>
      <c r="E1958" s="14" t="s">
        <v>872</v>
      </c>
      <c r="F1958" s="7" t="n">
        <v>5000</v>
      </c>
    </row>
    <row r="1959" customFormat="false" ht="15" hidden="false" customHeight="false" outlineLevel="0" collapsed="false">
      <c r="A1959" s="2" t="s">
        <v>1834</v>
      </c>
      <c r="B1959" s="13" t="n">
        <v>46290</v>
      </c>
      <c r="C1959" s="2" t="s">
        <v>79</v>
      </c>
      <c r="D1959" s="2" t="n">
        <v>2</v>
      </c>
      <c r="E1959" s="14" t="s">
        <v>1024</v>
      </c>
      <c r="F1959" s="7" t="n">
        <v>16000</v>
      </c>
    </row>
    <row r="1960" customFormat="false" ht="15" hidden="false" customHeight="false" outlineLevel="0" collapsed="false">
      <c r="A1960" s="2" t="s">
        <v>1835</v>
      </c>
      <c r="B1960" s="13" t="n">
        <v>46290</v>
      </c>
      <c r="C1960" s="2" t="s">
        <v>84</v>
      </c>
      <c r="D1960" s="2" t="n">
        <v>1</v>
      </c>
      <c r="E1960" s="14" t="s">
        <v>470</v>
      </c>
      <c r="F1960" s="7" t="n">
        <v>5000</v>
      </c>
    </row>
    <row r="1961" customFormat="false" ht="15" hidden="false" customHeight="false" outlineLevel="0" collapsed="false">
      <c r="A1961" s="2" t="s">
        <v>1836</v>
      </c>
      <c r="B1961" s="13" t="n">
        <v>46290</v>
      </c>
      <c r="C1961" s="2" t="s">
        <v>81</v>
      </c>
      <c r="D1961" s="2" t="n">
        <v>3</v>
      </c>
      <c r="E1961" s="14" t="s">
        <v>199</v>
      </c>
      <c r="F1961" s="7" t="n">
        <v>15000</v>
      </c>
    </row>
    <row r="1962" customFormat="false" ht="15" hidden="false" customHeight="false" outlineLevel="0" collapsed="false">
      <c r="A1962" s="2" t="s">
        <v>1836</v>
      </c>
      <c r="B1962" s="13" t="n">
        <v>46290</v>
      </c>
      <c r="C1962" s="2" t="s">
        <v>81</v>
      </c>
      <c r="D1962" s="2" t="n">
        <v>3</v>
      </c>
      <c r="E1962" s="14" t="s">
        <v>199</v>
      </c>
      <c r="F1962" s="7" t="n">
        <v>15000</v>
      </c>
    </row>
    <row r="1963" customFormat="false" ht="15" hidden="false" customHeight="false" outlineLevel="0" collapsed="false">
      <c r="A1963" s="2" t="s">
        <v>1836</v>
      </c>
      <c r="B1963" s="13" t="n">
        <v>46290</v>
      </c>
      <c r="C1963" s="2" t="s">
        <v>101</v>
      </c>
      <c r="D1963" s="2" t="n">
        <v>1</v>
      </c>
      <c r="E1963" s="14" t="s">
        <v>199</v>
      </c>
      <c r="F1963" s="7" t="n">
        <v>18000</v>
      </c>
    </row>
    <row r="1964" customFormat="false" ht="15" hidden="false" customHeight="false" outlineLevel="0" collapsed="false">
      <c r="A1964" s="2" t="s">
        <v>1837</v>
      </c>
      <c r="B1964" s="13" t="n">
        <v>46290</v>
      </c>
      <c r="C1964" s="2" t="s">
        <v>81</v>
      </c>
      <c r="D1964" s="2" t="n">
        <v>1</v>
      </c>
      <c r="E1964" s="14" t="s">
        <v>1465</v>
      </c>
      <c r="F1964" s="7" t="n">
        <v>15000</v>
      </c>
    </row>
    <row r="1965" customFormat="false" ht="15" hidden="false" customHeight="false" outlineLevel="0" collapsed="false">
      <c r="A1965" s="2" t="s">
        <v>1838</v>
      </c>
      <c r="B1965" s="13" t="n">
        <v>46290</v>
      </c>
      <c r="C1965" s="2" t="s">
        <v>84</v>
      </c>
      <c r="D1965" s="2" t="n">
        <v>1</v>
      </c>
      <c r="E1965" s="14" t="s">
        <v>1383</v>
      </c>
      <c r="F1965" s="7" t="n">
        <v>5000</v>
      </c>
    </row>
    <row r="1966" customFormat="false" ht="15" hidden="false" customHeight="false" outlineLevel="0" collapsed="false">
      <c r="A1966" s="2" t="s">
        <v>1839</v>
      </c>
      <c r="B1966" s="13" t="n">
        <v>46290</v>
      </c>
      <c r="C1966" s="2" t="s">
        <v>81</v>
      </c>
      <c r="D1966" s="2" t="n">
        <v>1</v>
      </c>
      <c r="E1966" s="14" t="s">
        <v>1840</v>
      </c>
      <c r="F1966" s="7" t="n">
        <v>15000</v>
      </c>
    </row>
    <row r="1967" customFormat="false" ht="15" hidden="false" customHeight="false" outlineLevel="0" collapsed="false">
      <c r="A1967" s="2" t="s">
        <v>1839</v>
      </c>
      <c r="B1967" s="13" t="n">
        <v>46290</v>
      </c>
      <c r="C1967" s="2" t="s">
        <v>84</v>
      </c>
      <c r="D1967" s="2" t="n">
        <v>1</v>
      </c>
      <c r="E1967" s="14" t="s">
        <v>1840</v>
      </c>
      <c r="F1967" s="7" t="n">
        <v>5000</v>
      </c>
    </row>
    <row r="1968" customFormat="false" ht="15" hidden="false" customHeight="false" outlineLevel="0" collapsed="false">
      <c r="A1968" s="2" t="s">
        <v>1841</v>
      </c>
      <c r="B1968" s="13" t="n">
        <v>46290</v>
      </c>
      <c r="C1968" s="2" t="s">
        <v>79</v>
      </c>
      <c r="D1968" s="2" t="n">
        <v>1</v>
      </c>
      <c r="E1968" s="14" t="s">
        <v>1842</v>
      </c>
      <c r="F1968" s="7" t="n">
        <v>16000</v>
      </c>
    </row>
    <row r="1969" customFormat="false" ht="15" hidden="false" customHeight="false" outlineLevel="0" collapsed="false">
      <c r="A1969" s="2" t="s">
        <v>1841</v>
      </c>
      <c r="B1969" s="13" t="n">
        <v>46290</v>
      </c>
      <c r="C1969" s="2" t="s">
        <v>84</v>
      </c>
      <c r="D1969" s="2" t="n">
        <v>1</v>
      </c>
      <c r="E1969" s="14" t="s">
        <v>1842</v>
      </c>
      <c r="F1969" s="7" t="n">
        <v>5000</v>
      </c>
    </row>
    <row r="1970" customFormat="false" ht="15" hidden="false" customHeight="false" outlineLevel="0" collapsed="false">
      <c r="A1970" s="2" t="s">
        <v>1843</v>
      </c>
      <c r="B1970" s="13" t="n">
        <v>46290</v>
      </c>
      <c r="C1970" s="2" t="s">
        <v>81</v>
      </c>
      <c r="D1970" s="2" t="n">
        <v>1</v>
      </c>
      <c r="E1970" s="14" t="s">
        <v>1844</v>
      </c>
      <c r="F1970" s="7" t="n">
        <v>15000</v>
      </c>
    </row>
    <row r="1971" customFormat="false" ht="15" hidden="false" customHeight="false" outlineLevel="0" collapsed="false">
      <c r="A1971" s="2" t="s">
        <v>1843</v>
      </c>
      <c r="B1971" s="13" t="n">
        <v>46290</v>
      </c>
      <c r="C1971" s="2" t="s">
        <v>84</v>
      </c>
      <c r="D1971" s="2" t="n">
        <v>1</v>
      </c>
      <c r="E1971" s="14" t="s">
        <v>1844</v>
      </c>
      <c r="F1971" s="7" t="n">
        <v>5000</v>
      </c>
    </row>
    <row r="1972" customFormat="false" ht="15" hidden="false" customHeight="false" outlineLevel="0" collapsed="false">
      <c r="A1972" s="2" t="s">
        <v>1845</v>
      </c>
      <c r="B1972" s="13" t="n">
        <v>46290</v>
      </c>
      <c r="C1972" s="2" t="s">
        <v>126</v>
      </c>
      <c r="D1972" s="2" t="n">
        <v>1</v>
      </c>
      <c r="E1972" s="14" t="s">
        <v>798</v>
      </c>
      <c r="F1972" s="7" t="n">
        <v>3000</v>
      </c>
    </row>
    <row r="1973" customFormat="false" ht="15" hidden="false" customHeight="false" outlineLevel="0" collapsed="false">
      <c r="A1973" s="2" t="s">
        <v>1845</v>
      </c>
      <c r="B1973" s="13" t="n">
        <v>46290</v>
      </c>
      <c r="C1973" s="2" t="s">
        <v>132</v>
      </c>
      <c r="D1973" s="2" t="n">
        <v>1</v>
      </c>
      <c r="E1973" s="14" t="s">
        <v>798</v>
      </c>
      <c r="F1973" s="7" t="n">
        <v>15000</v>
      </c>
    </row>
    <row r="1974" customFormat="false" ht="15" hidden="false" customHeight="false" outlineLevel="0" collapsed="false">
      <c r="A1974" s="2" t="s">
        <v>1845</v>
      </c>
      <c r="B1974" s="13" t="n">
        <v>46290</v>
      </c>
      <c r="C1974" s="2" t="s">
        <v>89</v>
      </c>
      <c r="D1974" s="2" t="n">
        <v>1</v>
      </c>
      <c r="E1974" s="14" t="s">
        <v>798</v>
      </c>
      <c r="F1974" s="7" t="n">
        <v>14000</v>
      </c>
    </row>
    <row r="1975" customFormat="false" ht="15" hidden="false" customHeight="false" outlineLevel="0" collapsed="false">
      <c r="A1975" s="2" t="s">
        <v>1846</v>
      </c>
      <c r="B1975" s="13" t="n">
        <v>46290</v>
      </c>
      <c r="C1975" s="2" t="s">
        <v>92</v>
      </c>
      <c r="D1975" s="2" t="n">
        <v>1</v>
      </c>
      <c r="E1975" s="14" t="s">
        <v>651</v>
      </c>
      <c r="F1975" s="7" t="n">
        <v>4000</v>
      </c>
    </row>
    <row r="1976" customFormat="false" ht="15" hidden="false" customHeight="false" outlineLevel="0" collapsed="false">
      <c r="A1976" s="2" t="s">
        <v>1846</v>
      </c>
      <c r="B1976" s="13" t="n">
        <v>46290</v>
      </c>
      <c r="C1976" s="2" t="s">
        <v>84</v>
      </c>
      <c r="D1976" s="2" t="n">
        <v>1</v>
      </c>
      <c r="E1976" s="14" t="s">
        <v>651</v>
      </c>
      <c r="F1976" s="7" t="n">
        <v>5000</v>
      </c>
    </row>
    <row r="1977" customFormat="false" ht="15" hidden="false" customHeight="false" outlineLevel="0" collapsed="false">
      <c r="A1977" s="2" t="s">
        <v>1847</v>
      </c>
      <c r="B1977" s="13" t="n">
        <v>46290</v>
      </c>
      <c r="C1977" s="2" t="s">
        <v>84</v>
      </c>
      <c r="D1977" s="2" t="n">
        <v>2</v>
      </c>
      <c r="E1977" s="14" t="s">
        <v>211</v>
      </c>
      <c r="F1977" s="7" t="n">
        <v>5000</v>
      </c>
    </row>
    <row r="1978" customFormat="false" ht="15" hidden="false" customHeight="false" outlineLevel="0" collapsed="false">
      <c r="A1978" s="2" t="s">
        <v>1847</v>
      </c>
      <c r="B1978" s="13" t="n">
        <v>46290</v>
      </c>
      <c r="C1978" s="2" t="s">
        <v>126</v>
      </c>
      <c r="D1978" s="2" t="n">
        <v>1</v>
      </c>
      <c r="E1978" s="14" t="s">
        <v>211</v>
      </c>
      <c r="F1978" s="7" t="n">
        <v>3000</v>
      </c>
    </row>
    <row r="1979" customFormat="false" ht="15" hidden="false" customHeight="false" outlineLevel="0" collapsed="false">
      <c r="A1979" s="2" t="s">
        <v>1848</v>
      </c>
      <c r="B1979" s="13" t="n">
        <v>46290</v>
      </c>
      <c r="C1979" s="2" t="s">
        <v>92</v>
      </c>
      <c r="D1979" s="2" t="n">
        <v>1</v>
      </c>
      <c r="E1979" s="14" t="s">
        <v>213</v>
      </c>
      <c r="F1979" s="7" t="n">
        <v>4000</v>
      </c>
    </row>
    <row r="1980" customFormat="false" ht="15" hidden="false" customHeight="false" outlineLevel="0" collapsed="false">
      <c r="A1980" s="2" t="s">
        <v>1848</v>
      </c>
      <c r="B1980" s="13" t="n">
        <v>46290</v>
      </c>
      <c r="C1980" s="2" t="s">
        <v>101</v>
      </c>
      <c r="D1980" s="2" t="n">
        <v>1</v>
      </c>
      <c r="E1980" s="14" t="s">
        <v>213</v>
      </c>
      <c r="F1980" s="7" t="n">
        <v>18000</v>
      </c>
    </row>
    <row r="1981" customFormat="false" ht="15" hidden="false" customHeight="false" outlineLevel="0" collapsed="false">
      <c r="A1981" s="2" t="s">
        <v>1849</v>
      </c>
      <c r="B1981" s="13" t="n">
        <v>46290</v>
      </c>
      <c r="C1981" s="2" t="s">
        <v>101</v>
      </c>
      <c r="D1981" s="2" t="n">
        <v>1</v>
      </c>
      <c r="E1981" s="14" t="s">
        <v>801</v>
      </c>
      <c r="F1981" s="7" t="n">
        <v>18000</v>
      </c>
    </row>
    <row r="1982" customFormat="false" ht="15" hidden="false" customHeight="false" outlineLevel="0" collapsed="false">
      <c r="A1982" s="2" t="s">
        <v>1850</v>
      </c>
      <c r="B1982" s="13" t="n">
        <v>46290</v>
      </c>
      <c r="C1982" s="2" t="s">
        <v>92</v>
      </c>
      <c r="D1982" s="2" t="n">
        <v>1</v>
      </c>
      <c r="E1982" s="14" t="s">
        <v>495</v>
      </c>
      <c r="F1982" s="7" t="n">
        <v>4000</v>
      </c>
    </row>
    <row r="1983" customFormat="false" ht="15" hidden="false" customHeight="false" outlineLevel="0" collapsed="false">
      <c r="A1983" s="2" t="s">
        <v>1850</v>
      </c>
      <c r="B1983" s="13" t="n">
        <v>46290</v>
      </c>
      <c r="C1983" s="2" t="s">
        <v>84</v>
      </c>
      <c r="D1983" s="2" t="n">
        <v>1</v>
      </c>
      <c r="E1983" s="14" t="s">
        <v>495</v>
      </c>
      <c r="F1983" s="7" t="n">
        <v>5000</v>
      </c>
    </row>
    <row r="1984" customFormat="false" ht="15" hidden="false" customHeight="false" outlineLevel="0" collapsed="false">
      <c r="A1984" s="2" t="s">
        <v>1850</v>
      </c>
      <c r="B1984" s="13" t="n">
        <v>46290</v>
      </c>
      <c r="C1984" s="2" t="s">
        <v>132</v>
      </c>
      <c r="D1984" s="2" t="n">
        <v>1</v>
      </c>
      <c r="E1984" s="14" t="s">
        <v>495</v>
      </c>
      <c r="F1984" s="7" t="n">
        <v>15000</v>
      </c>
    </row>
    <row r="1985" customFormat="false" ht="15" hidden="false" customHeight="false" outlineLevel="0" collapsed="false">
      <c r="A1985" s="2" t="s">
        <v>1851</v>
      </c>
      <c r="B1985" s="13" t="n">
        <v>46290</v>
      </c>
      <c r="C1985" s="2" t="s">
        <v>92</v>
      </c>
      <c r="D1985" s="2" t="n">
        <v>1</v>
      </c>
      <c r="E1985" s="14" t="s">
        <v>1059</v>
      </c>
      <c r="F1985" s="7" t="n">
        <v>4000</v>
      </c>
    </row>
    <row r="1986" customFormat="false" ht="15" hidden="false" customHeight="false" outlineLevel="0" collapsed="false">
      <c r="A1986" s="2" t="s">
        <v>1851</v>
      </c>
      <c r="B1986" s="13" t="n">
        <v>46290</v>
      </c>
      <c r="C1986" s="2" t="s">
        <v>84</v>
      </c>
      <c r="D1986" s="2" t="n">
        <v>1</v>
      </c>
      <c r="E1986" s="14" t="s">
        <v>1059</v>
      </c>
      <c r="F1986" s="7" t="n">
        <v>5000</v>
      </c>
    </row>
    <row r="1987" customFormat="false" ht="15" hidden="false" customHeight="false" outlineLevel="0" collapsed="false">
      <c r="A1987" s="2" t="s">
        <v>1852</v>
      </c>
      <c r="B1987" s="13" t="n">
        <v>46290</v>
      </c>
      <c r="C1987" s="2" t="s">
        <v>112</v>
      </c>
      <c r="D1987" s="2" t="n">
        <v>1</v>
      </c>
      <c r="E1987" s="14" t="s">
        <v>501</v>
      </c>
      <c r="F1987" s="7" t="n">
        <v>10000</v>
      </c>
    </row>
    <row r="1988" customFormat="false" ht="15" hidden="false" customHeight="false" outlineLevel="0" collapsed="false">
      <c r="A1988" s="2" t="s">
        <v>1852</v>
      </c>
      <c r="B1988" s="13" t="n">
        <v>46290</v>
      </c>
      <c r="C1988" s="2" t="s">
        <v>126</v>
      </c>
      <c r="D1988" s="2" t="n">
        <v>1</v>
      </c>
      <c r="E1988" s="14" t="s">
        <v>501</v>
      </c>
      <c r="F1988" s="7" t="n">
        <v>3000</v>
      </c>
    </row>
    <row r="1989" customFormat="false" ht="15" hidden="false" customHeight="false" outlineLevel="0" collapsed="false">
      <c r="A1989" s="2" t="s">
        <v>1853</v>
      </c>
      <c r="B1989" s="13" t="n">
        <v>46290</v>
      </c>
      <c r="C1989" s="2" t="s">
        <v>81</v>
      </c>
      <c r="D1989" s="2" t="n">
        <v>2</v>
      </c>
      <c r="E1989" s="14" t="s">
        <v>1854</v>
      </c>
      <c r="F1989" s="7" t="n">
        <v>15000</v>
      </c>
    </row>
    <row r="1990" customFormat="false" ht="15" hidden="false" customHeight="false" outlineLevel="0" collapsed="false">
      <c r="A1990" s="2" t="s">
        <v>1853</v>
      </c>
      <c r="B1990" s="13" t="n">
        <v>46290</v>
      </c>
      <c r="C1990" s="2" t="s">
        <v>112</v>
      </c>
      <c r="D1990" s="2" t="n">
        <v>2</v>
      </c>
      <c r="E1990" s="14" t="s">
        <v>1854</v>
      </c>
      <c r="F1990" s="7" t="n">
        <v>10000</v>
      </c>
    </row>
    <row r="1991" customFormat="false" ht="15" hidden="false" customHeight="false" outlineLevel="0" collapsed="false">
      <c r="A1991" s="2" t="s">
        <v>1855</v>
      </c>
      <c r="B1991" s="13" t="n">
        <v>46290</v>
      </c>
      <c r="C1991" s="2" t="s">
        <v>84</v>
      </c>
      <c r="D1991" s="2" t="n">
        <v>1</v>
      </c>
      <c r="E1991" s="14" t="s">
        <v>812</v>
      </c>
      <c r="F1991" s="7" t="n">
        <v>5000</v>
      </c>
    </row>
    <row r="1992" customFormat="false" ht="15" hidden="false" customHeight="false" outlineLevel="0" collapsed="false">
      <c r="A1992" s="2" t="s">
        <v>1855</v>
      </c>
      <c r="B1992" s="13" t="n">
        <v>46290</v>
      </c>
      <c r="C1992" s="2" t="s">
        <v>101</v>
      </c>
      <c r="D1992" s="2" t="n">
        <v>2</v>
      </c>
      <c r="E1992" s="14" t="s">
        <v>812</v>
      </c>
      <c r="F1992" s="7" t="n">
        <v>18000</v>
      </c>
    </row>
    <row r="1993" customFormat="false" ht="15" hidden="false" customHeight="false" outlineLevel="0" collapsed="false">
      <c r="A1993" s="2" t="s">
        <v>1856</v>
      </c>
      <c r="B1993" s="13" t="n">
        <v>46290</v>
      </c>
      <c r="C1993" s="2" t="s">
        <v>79</v>
      </c>
      <c r="D1993" s="2" t="n">
        <v>3</v>
      </c>
      <c r="E1993" s="14" t="s">
        <v>1410</v>
      </c>
      <c r="F1993" s="7" t="n">
        <v>16000</v>
      </c>
    </row>
    <row r="1994" customFormat="false" ht="15" hidden="false" customHeight="false" outlineLevel="0" collapsed="false">
      <c r="A1994" s="2" t="s">
        <v>1857</v>
      </c>
      <c r="B1994" s="13" t="n">
        <v>46290</v>
      </c>
      <c r="C1994" s="2" t="s">
        <v>81</v>
      </c>
      <c r="D1994" s="2" t="n">
        <v>1</v>
      </c>
      <c r="E1994" s="14" t="s">
        <v>256</v>
      </c>
      <c r="F1994" s="7" t="n">
        <v>15000</v>
      </c>
    </row>
    <row r="1995" customFormat="false" ht="15" hidden="false" customHeight="false" outlineLevel="0" collapsed="false">
      <c r="A1995" s="2" t="s">
        <v>1858</v>
      </c>
      <c r="B1995" s="13" t="n">
        <v>46290</v>
      </c>
      <c r="C1995" s="2" t="s">
        <v>132</v>
      </c>
      <c r="D1995" s="2" t="n">
        <v>1</v>
      </c>
      <c r="E1995" s="14" t="s">
        <v>913</v>
      </c>
      <c r="F1995" s="7" t="n">
        <v>15000</v>
      </c>
    </row>
    <row r="1996" customFormat="false" ht="15" hidden="false" customHeight="false" outlineLevel="0" collapsed="false">
      <c r="A1996" s="2" t="s">
        <v>1859</v>
      </c>
      <c r="B1996" s="13" t="n">
        <v>46290</v>
      </c>
      <c r="C1996" s="2" t="s">
        <v>132</v>
      </c>
      <c r="D1996" s="2" t="n">
        <v>1</v>
      </c>
      <c r="E1996" s="14" t="s">
        <v>162</v>
      </c>
      <c r="F1996" s="7" t="n">
        <v>15000</v>
      </c>
    </row>
    <row r="1997" customFormat="false" ht="15" hidden="false" customHeight="false" outlineLevel="0" collapsed="false">
      <c r="A1997" s="2" t="s">
        <v>1859</v>
      </c>
      <c r="B1997" s="13" t="n">
        <v>46290</v>
      </c>
      <c r="C1997" s="2" t="s">
        <v>101</v>
      </c>
      <c r="D1997" s="2" t="n">
        <v>1</v>
      </c>
      <c r="E1997" s="14" t="s">
        <v>162</v>
      </c>
      <c r="F1997" s="7" t="n">
        <v>18000</v>
      </c>
    </row>
    <row r="1998" customFormat="false" ht="15" hidden="false" customHeight="false" outlineLevel="0" collapsed="false">
      <c r="A1998" s="2" t="s">
        <v>1859</v>
      </c>
      <c r="B1998" s="13" t="n">
        <v>46290</v>
      </c>
      <c r="C1998" s="2" t="s">
        <v>89</v>
      </c>
      <c r="D1998" s="2" t="n">
        <v>1</v>
      </c>
      <c r="E1998" s="14" t="s">
        <v>162</v>
      </c>
      <c r="F1998" s="7" t="n">
        <v>14000</v>
      </c>
    </row>
    <row r="1999" customFormat="false" ht="15" hidden="false" customHeight="false" outlineLevel="0" collapsed="false">
      <c r="A1999" s="2" t="s">
        <v>1860</v>
      </c>
      <c r="B1999" s="13" t="n">
        <v>46290</v>
      </c>
      <c r="C1999" s="2" t="s">
        <v>81</v>
      </c>
      <c r="D1999" s="2" t="n">
        <v>2</v>
      </c>
      <c r="E1999" s="14" t="s">
        <v>1861</v>
      </c>
      <c r="F1999" s="7" t="n">
        <v>15000</v>
      </c>
    </row>
    <row r="2000" customFormat="false" ht="15" hidden="false" customHeight="false" outlineLevel="0" collapsed="false">
      <c r="A2000" s="2" t="s">
        <v>1862</v>
      </c>
      <c r="B2000" s="13" t="n">
        <v>46290</v>
      </c>
      <c r="C2000" s="2" t="s">
        <v>84</v>
      </c>
      <c r="D2000" s="2" t="n">
        <v>1</v>
      </c>
      <c r="E2000" s="14" t="s">
        <v>1631</v>
      </c>
      <c r="F2000" s="7" t="n">
        <v>5000</v>
      </c>
    </row>
    <row r="2001" customFormat="false" ht="15" hidden="false" customHeight="false" outlineLevel="0" collapsed="false">
      <c r="A2001" s="2" t="s">
        <v>1863</v>
      </c>
      <c r="B2001" s="13" t="n">
        <v>46290</v>
      </c>
      <c r="C2001" s="2" t="s">
        <v>112</v>
      </c>
      <c r="D2001" s="2" t="n">
        <v>3</v>
      </c>
      <c r="E2001" s="14" t="s">
        <v>1631</v>
      </c>
      <c r="F2001" s="7" t="n">
        <v>10000</v>
      </c>
    </row>
    <row r="2002" customFormat="false" ht="15" hidden="false" customHeight="false" outlineLevel="0" collapsed="false">
      <c r="A2002" s="2" t="s">
        <v>1863</v>
      </c>
      <c r="B2002" s="13" t="n">
        <v>46290</v>
      </c>
      <c r="C2002" s="2" t="s">
        <v>108</v>
      </c>
      <c r="D2002" s="2" t="n">
        <v>1</v>
      </c>
      <c r="E2002" s="14" t="s">
        <v>1631</v>
      </c>
      <c r="F2002" s="7" t="n">
        <v>20000</v>
      </c>
    </row>
    <row r="2003" customFormat="false" ht="15" hidden="false" customHeight="false" outlineLevel="0" collapsed="false">
      <c r="A2003" s="2" t="s">
        <v>1864</v>
      </c>
      <c r="B2003" s="13" t="n">
        <v>46290</v>
      </c>
      <c r="C2003" s="2" t="s">
        <v>132</v>
      </c>
      <c r="D2003" s="2" t="n">
        <v>2</v>
      </c>
      <c r="E2003" s="14" t="s">
        <v>1422</v>
      </c>
      <c r="F2003" s="7" t="n">
        <v>15000</v>
      </c>
    </row>
    <row r="2004" customFormat="false" ht="15" hidden="false" customHeight="false" outlineLevel="0" collapsed="false">
      <c r="A2004" s="2" t="s">
        <v>1864</v>
      </c>
      <c r="B2004" s="13" t="n">
        <v>46290</v>
      </c>
      <c r="C2004" s="2" t="s">
        <v>84</v>
      </c>
      <c r="D2004" s="2" t="n">
        <v>1</v>
      </c>
      <c r="E2004" s="14" t="s">
        <v>1422</v>
      </c>
      <c r="F2004" s="7" t="n">
        <v>5000</v>
      </c>
    </row>
    <row r="2005" customFormat="false" ht="15" hidden="false" customHeight="false" outlineLevel="0" collapsed="false">
      <c r="A2005" s="2" t="s">
        <v>1865</v>
      </c>
      <c r="B2005" s="13" t="n">
        <v>46291</v>
      </c>
      <c r="C2005" s="2" t="s">
        <v>82</v>
      </c>
      <c r="D2005" s="2" t="n">
        <v>1</v>
      </c>
      <c r="E2005" s="14" t="s">
        <v>1866</v>
      </c>
      <c r="F2005" s="7" t="n">
        <v>13000</v>
      </c>
    </row>
    <row r="2006" customFormat="false" ht="15" hidden="false" customHeight="false" outlineLevel="0" collapsed="false">
      <c r="A2006" s="2" t="s">
        <v>1867</v>
      </c>
      <c r="B2006" s="13" t="n">
        <v>46291</v>
      </c>
      <c r="C2006" s="2" t="s">
        <v>126</v>
      </c>
      <c r="D2006" s="2" t="n">
        <v>2</v>
      </c>
      <c r="E2006" s="14" t="s">
        <v>344</v>
      </c>
      <c r="F2006" s="7" t="n">
        <v>3000</v>
      </c>
    </row>
    <row r="2007" customFormat="false" ht="15" hidden="false" customHeight="false" outlineLevel="0" collapsed="false">
      <c r="A2007" s="2" t="s">
        <v>1867</v>
      </c>
      <c r="B2007" s="13" t="n">
        <v>46291</v>
      </c>
      <c r="C2007" s="2" t="s">
        <v>84</v>
      </c>
      <c r="D2007" s="2" t="n">
        <v>2</v>
      </c>
      <c r="E2007" s="14" t="s">
        <v>344</v>
      </c>
      <c r="F2007" s="7" t="n">
        <v>5000</v>
      </c>
    </row>
    <row r="2008" customFormat="false" ht="15" hidden="false" customHeight="false" outlineLevel="0" collapsed="false">
      <c r="A2008" s="2" t="s">
        <v>1868</v>
      </c>
      <c r="B2008" s="13" t="n">
        <v>46291</v>
      </c>
      <c r="C2008" s="2" t="s">
        <v>101</v>
      </c>
      <c r="D2008" s="2" t="n">
        <v>1</v>
      </c>
      <c r="E2008" s="14" t="s">
        <v>996</v>
      </c>
      <c r="F2008" s="7" t="n">
        <v>18000</v>
      </c>
    </row>
    <row r="2009" customFormat="false" ht="15" hidden="false" customHeight="false" outlineLevel="0" collapsed="false">
      <c r="A2009" s="2" t="s">
        <v>1869</v>
      </c>
      <c r="B2009" s="13" t="n">
        <v>46291</v>
      </c>
      <c r="C2009" s="2" t="s">
        <v>81</v>
      </c>
      <c r="D2009" s="2" t="n">
        <v>1</v>
      </c>
      <c r="E2009" s="14" t="s">
        <v>1870</v>
      </c>
      <c r="F2009" s="7" t="n">
        <v>15000</v>
      </c>
    </row>
    <row r="2010" customFormat="false" ht="15" hidden="false" customHeight="false" outlineLevel="0" collapsed="false">
      <c r="A2010" s="2" t="s">
        <v>1871</v>
      </c>
      <c r="B2010" s="13" t="n">
        <v>46291</v>
      </c>
      <c r="C2010" s="2" t="s">
        <v>81</v>
      </c>
      <c r="D2010" s="2" t="n">
        <v>1</v>
      </c>
      <c r="E2010" s="14" t="s">
        <v>267</v>
      </c>
      <c r="F2010" s="7" t="n">
        <v>15000</v>
      </c>
    </row>
    <row r="2011" customFormat="false" ht="15" hidden="false" customHeight="false" outlineLevel="0" collapsed="false">
      <c r="A2011" s="2" t="s">
        <v>1871</v>
      </c>
      <c r="B2011" s="13" t="n">
        <v>46291</v>
      </c>
      <c r="C2011" s="2" t="s">
        <v>92</v>
      </c>
      <c r="D2011" s="2" t="n">
        <v>1</v>
      </c>
      <c r="E2011" s="14" t="s">
        <v>267</v>
      </c>
      <c r="F2011" s="7" t="n">
        <v>4000</v>
      </c>
    </row>
    <row r="2012" customFormat="false" ht="15" hidden="false" customHeight="false" outlineLevel="0" collapsed="false">
      <c r="A2012" s="2" t="s">
        <v>1871</v>
      </c>
      <c r="B2012" s="13" t="n">
        <v>46291</v>
      </c>
      <c r="C2012" s="2" t="s">
        <v>112</v>
      </c>
      <c r="D2012" s="2" t="n">
        <v>1</v>
      </c>
      <c r="E2012" s="14" t="s">
        <v>267</v>
      </c>
      <c r="F2012" s="7" t="n">
        <v>10000</v>
      </c>
    </row>
    <row r="2013" customFormat="false" ht="15" hidden="false" customHeight="false" outlineLevel="0" collapsed="false">
      <c r="A2013" s="2" t="s">
        <v>1872</v>
      </c>
      <c r="B2013" s="13" t="n">
        <v>46291</v>
      </c>
      <c r="C2013" s="2" t="s">
        <v>89</v>
      </c>
      <c r="D2013" s="2" t="n">
        <v>2</v>
      </c>
      <c r="E2013" s="14" t="s">
        <v>1873</v>
      </c>
      <c r="F2013" s="7" t="n">
        <v>14000</v>
      </c>
    </row>
    <row r="2014" customFormat="false" ht="15" hidden="false" customHeight="false" outlineLevel="0" collapsed="false">
      <c r="A2014" s="2" t="s">
        <v>1872</v>
      </c>
      <c r="B2014" s="13" t="n">
        <v>46291</v>
      </c>
      <c r="C2014" s="2" t="s">
        <v>186</v>
      </c>
      <c r="D2014" s="2" t="n">
        <v>1</v>
      </c>
      <c r="E2014" s="14" t="s">
        <v>1000</v>
      </c>
      <c r="F2014" s="7" t="n">
        <v>7000</v>
      </c>
    </row>
    <row r="2015" customFormat="false" ht="15" hidden="false" customHeight="false" outlineLevel="0" collapsed="false">
      <c r="A2015" s="2" t="s">
        <v>1872</v>
      </c>
      <c r="B2015" s="13" t="n">
        <v>46291</v>
      </c>
      <c r="C2015" s="2" t="s">
        <v>84</v>
      </c>
      <c r="D2015" s="2" t="n">
        <v>1</v>
      </c>
      <c r="E2015" s="14" t="s">
        <v>1000</v>
      </c>
      <c r="F2015" s="7" t="n">
        <v>5000</v>
      </c>
    </row>
    <row r="2016" customFormat="false" ht="15" hidden="false" customHeight="false" outlineLevel="0" collapsed="false">
      <c r="A2016" s="2" t="s">
        <v>1874</v>
      </c>
      <c r="B2016" s="13" t="n">
        <v>46291</v>
      </c>
      <c r="C2016" s="2" t="s">
        <v>84</v>
      </c>
      <c r="D2016" s="2" t="n">
        <v>1</v>
      </c>
      <c r="E2016" s="14" t="s">
        <v>1578</v>
      </c>
      <c r="F2016" s="7" t="n">
        <v>5000</v>
      </c>
    </row>
    <row r="2017" customFormat="false" ht="15" hidden="false" customHeight="false" outlineLevel="0" collapsed="false">
      <c r="A2017" s="2" t="s">
        <v>1875</v>
      </c>
      <c r="B2017" s="13" t="n">
        <v>46291</v>
      </c>
      <c r="C2017" s="2" t="s">
        <v>81</v>
      </c>
      <c r="D2017" s="2" t="n">
        <v>1</v>
      </c>
      <c r="E2017" s="14" t="s">
        <v>1642</v>
      </c>
      <c r="F2017" s="7" t="n">
        <v>15000</v>
      </c>
    </row>
    <row r="2018" customFormat="false" ht="15" hidden="false" customHeight="false" outlineLevel="0" collapsed="false">
      <c r="A2018" s="2" t="s">
        <v>1876</v>
      </c>
      <c r="B2018" s="13" t="n">
        <v>46291</v>
      </c>
      <c r="C2018" s="2" t="s">
        <v>81</v>
      </c>
      <c r="D2018" s="2" t="n">
        <v>1</v>
      </c>
      <c r="E2018" s="14" t="s">
        <v>928</v>
      </c>
      <c r="F2018" s="7" t="n">
        <v>15000</v>
      </c>
    </row>
    <row r="2019" customFormat="false" ht="15" hidden="false" customHeight="false" outlineLevel="0" collapsed="false">
      <c r="A2019" s="2" t="s">
        <v>1876</v>
      </c>
      <c r="B2019" s="13" t="n">
        <v>46291</v>
      </c>
      <c r="C2019" s="2" t="s">
        <v>126</v>
      </c>
      <c r="D2019" s="2" t="n">
        <v>1</v>
      </c>
      <c r="E2019" s="14" t="s">
        <v>928</v>
      </c>
      <c r="F2019" s="7" t="n">
        <v>3000</v>
      </c>
    </row>
    <row r="2020" customFormat="false" ht="15" hidden="false" customHeight="false" outlineLevel="0" collapsed="false">
      <c r="A2020" s="2" t="s">
        <v>1876</v>
      </c>
      <c r="B2020" s="13" t="n">
        <v>46291</v>
      </c>
      <c r="C2020" s="2" t="s">
        <v>84</v>
      </c>
      <c r="D2020" s="2" t="n">
        <v>3</v>
      </c>
      <c r="E2020" s="14" t="s">
        <v>928</v>
      </c>
      <c r="F2020" s="7" t="n">
        <v>5000</v>
      </c>
    </row>
    <row r="2021" customFormat="false" ht="15" hidden="false" customHeight="false" outlineLevel="0" collapsed="false">
      <c r="A2021" s="2" t="s">
        <v>1877</v>
      </c>
      <c r="B2021" s="13" t="n">
        <v>46291</v>
      </c>
      <c r="C2021" s="2" t="s">
        <v>92</v>
      </c>
      <c r="D2021" s="2" t="n">
        <v>1</v>
      </c>
      <c r="E2021" s="14" t="s">
        <v>1513</v>
      </c>
      <c r="F2021" s="7" t="n">
        <v>4000</v>
      </c>
    </row>
    <row r="2022" customFormat="false" ht="15" hidden="false" customHeight="false" outlineLevel="0" collapsed="false">
      <c r="A2022" s="2" t="s">
        <v>1877</v>
      </c>
      <c r="B2022" s="13" t="n">
        <v>46291</v>
      </c>
      <c r="C2022" s="2" t="s">
        <v>132</v>
      </c>
      <c r="D2022" s="2" t="n">
        <v>1</v>
      </c>
      <c r="E2022" s="14" t="s">
        <v>1513</v>
      </c>
      <c r="F2022" s="7" t="n">
        <v>15000</v>
      </c>
    </row>
    <row r="2023" customFormat="false" ht="15" hidden="false" customHeight="false" outlineLevel="0" collapsed="false">
      <c r="A2023" s="2" t="s">
        <v>1878</v>
      </c>
      <c r="B2023" s="13" t="n">
        <v>46291</v>
      </c>
      <c r="C2023" s="2" t="s">
        <v>126</v>
      </c>
      <c r="D2023" s="2" t="n">
        <v>1</v>
      </c>
      <c r="E2023" s="14" t="s">
        <v>1222</v>
      </c>
      <c r="F2023" s="7" t="n">
        <v>3000</v>
      </c>
    </row>
    <row r="2024" customFormat="false" ht="15" hidden="false" customHeight="false" outlineLevel="0" collapsed="false">
      <c r="A2024" s="2" t="s">
        <v>1879</v>
      </c>
      <c r="B2024" s="13" t="n">
        <v>46291</v>
      </c>
      <c r="C2024" s="2" t="s">
        <v>82</v>
      </c>
      <c r="D2024" s="2" t="n">
        <v>1</v>
      </c>
      <c r="E2024" s="14" t="s">
        <v>1880</v>
      </c>
      <c r="F2024" s="7" t="n">
        <v>13000</v>
      </c>
    </row>
    <row r="2025" customFormat="false" ht="15" hidden="false" customHeight="false" outlineLevel="0" collapsed="false">
      <c r="A2025" s="2" t="s">
        <v>1881</v>
      </c>
      <c r="B2025" s="13" t="n">
        <v>46291</v>
      </c>
      <c r="C2025" s="2" t="s">
        <v>81</v>
      </c>
      <c r="D2025" s="2" t="n">
        <v>1</v>
      </c>
      <c r="E2025" s="14" t="s">
        <v>1722</v>
      </c>
      <c r="F2025" s="7" t="n">
        <v>15000</v>
      </c>
    </row>
    <row r="2026" customFormat="false" ht="15" hidden="false" customHeight="false" outlineLevel="0" collapsed="false">
      <c r="A2026" s="2" t="s">
        <v>1882</v>
      </c>
      <c r="B2026" s="13" t="n">
        <v>46291</v>
      </c>
      <c r="C2026" s="2" t="s">
        <v>84</v>
      </c>
      <c r="D2026" s="2" t="n">
        <v>1</v>
      </c>
      <c r="E2026" s="14" t="s">
        <v>197</v>
      </c>
      <c r="F2026" s="7" t="n">
        <v>5000</v>
      </c>
    </row>
    <row r="2027" customFormat="false" ht="15" hidden="false" customHeight="false" outlineLevel="0" collapsed="false">
      <c r="A2027" s="2" t="s">
        <v>1883</v>
      </c>
      <c r="B2027" s="13" t="n">
        <v>46291</v>
      </c>
      <c r="C2027" s="2" t="s">
        <v>186</v>
      </c>
      <c r="D2027" s="2" t="n">
        <v>1</v>
      </c>
      <c r="E2027" s="14" t="s">
        <v>1383</v>
      </c>
      <c r="F2027" s="7" t="n">
        <v>7000</v>
      </c>
    </row>
    <row r="2028" customFormat="false" ht="15" hidden="false" customHeight="false" outlineLevel="0" collapsed="false">
      <c r="A2028" s="2" t="s">
        <v>1884</v>
      </c>
      <c r="B2028" s="13" t="n">
        <v>46291</v>
      </c>
      <c r="C2028" s="2" t="s">
        <v>101</v>
      </c>
      <c r="D2028" s="2" t="n">
        <v>1</v>
      </c>
      <c r="E2028" s="14" t="s">
        <v>1383</v>
      </c>
      <c r="F2028" s="7" t="n">
        <v>18000</v>
      </c>
    </row>
    <row r="2029" customFormat="false" ht="15" hidden="false" customHeight="false" outlineLevel="0" collapsed="false">
      <c r="A2029" s="2" t="s">
        <v>1885</v>
      </c>
      <c r="B2029" s="13" t="n">
        <v>46291</v>
      </c>
      <c r="C2029" s="2" t="s">
        <v>101</v>
      </c>
      <c r="D2029" s="2" t="n">
        <v>1</v>
      </c>
      <c r="E2029" s="14" t="s">
        <v>104</v>
      </c>
      <c r="F2029" s="7" t="n">
        <v>18000</v>
      </c>
    </row>
    <row r="2030" customFormat="false" ht="15" hidden="false" customHeight="false" outlineLevel="0" collapsed="false">
      <c r="A2030" s="2" t="s">
        <v>1885</v>
      </c>
      <c r="B2030" s="13" t="n">
        <v>46291</v>
      </c>
      <c r="C2030" s="2" t="s">
        <v>82</v>
      </c>
      <c r="D2030" s="2" t="n">
        <v>1</v>
      </c>
      <c r="E2030" s="14" t="s">
        <v>104</v>
      </c>
      <c r="F2030" s="7" t="n">
        <v>13000</v>
      </c>
    </row>
    <row r="2031" customFormat="false" ht="15" hidden="false" customHeight="false" outlineLevel="0" collapsed="false">
      <c r="A2031" s="2" t="s">
        <v>1886</v>
      </c>
      <c r="B2031" s="13" t="n">
        <v>46291</v>
      </c>
      <c r="C2031" s="2" t="s">
        <v>84</v>
      </c>
      <c r="D2031" s="2" t="n">
        <v>2</v>
      </c>
      <c r="E2031" s="14" t="s">
        <v>213</v>
      </c>
      <c r="F2031" s="7" t="n">
        <v>5000</v>
      </c>
    </row>
    <row r="2032" customFormat="false" ht="15" hidden="false" customHeight="false" outlineLevel="0" collapsed="false">
      <c r="A2032" s="2" t="s">
        <v>1886</v>
      </c>
      <c r="B2032" s="13" t="n">
        <v>46291</v>
      </c>
      <c r="C2032" s="2" t="s">
        <v>186</v>
      </c>
      <c r="D2032" s="2" t="n">
        <v>2</v>
      </c>
      <c r="E2032" s="14" t="s">
        <v>213</v>
      </c>
      <c r="F2032" s="7" t="n">
        <v>7000</v>
      </c>
    </row>
    <row r="2033" customFormat="false" ht="15" hidden="false" customHeight="false" outlineLevel="0" collapsed="false">
      <c r="A2033" s="2" t="s">
        <v>1887</v>
      </c>
      <c r="B2033" s="13" t="n">
        <v>46291</v>
      </c>
      <c r="C2033" s="2" t="s">
        <v>108</v>
      </c>
      <c r="D2033" s="2" t="n">
        <v>1</v>
      </c>
      <c r="E2033" s="14" t="s">
        <v>1599</v>
      </c>
      <c r="F2033" s="7" t="n">
        <v>20000</v>
      </c>
    </row>
    <row r="2034" customFormat="false" ht="15" hidden="false" customHeight="false" outlineLevel="0" collapsed="false">
      <c r="A2034" s="2" t="s">
        <v>1888</v>
      </c>
      <c r="B2034" s="13" t="n">
        <v>46291</v>
      </c>
      <c r="C2034" s="2" t="s">
        <v>101</v>
      </c>
      <c r="D2034" s="2" t="n">
        <v>2</v>
      </c>
      <c r="E2034" s="14" t="s">
        <v>294</v>
      </c>
      <c r="F2034" s="7" t="n">
        <v>18000</v>
      </c>
    </row>
    <row r="2035" customFormat="false" ht="15" hidden="false" customHeight="false" outlineLevel="0" collapsed="false">
      <c r="A2035" s="2" t="s">
        <v>1888</v>
      </c>
      <c r="B2035" s="13" t="n">
        <v>46291</v>
      </c>
      <c r="C2035" s="2" t="s">
        <v>132</v>
      </c>
      <c r="D2035" s="2" t="n">
        <v>1</v>
      </c>
      <c r="E2035" s="14" t="s">
        <v>294</v>
      </c>
      <c r="F2035" s="7" t="n">
        <v>15000</v>
      </c>
    </row>
    <row r="2036" customFormat="false" ht="15" hidden="false" customHeight="false" outlineLevel="0" collapsed="false">
      <c r="A2036" s="2" t="s">
        <v>1889</v>
      </c>
      <c r="B2036" s="13" t="n">
        <v>46291</v>
      </c>
      <c r="C2036" s="2" t="s">
        <v>81</v>
      </c>
      <c r="D2036" s="2" t="n">
        <v>1</v>
      </c>
      <c r="E2036" s="14" t="s">
        <v>1890</v>
      </c>
      <c r="F2036" s="7" t="n">
        <v>15000</v>
      </c>
    </row>
    <row r="2037" customFormat="false" ht="15" hidden="false" customHeight="false" outlineLevel="0" collapsed="false">
      <c r="A2037" s="2" t="s">
        <v>1889</v>
      </c>
      <c r="B2037" s="13" t="n">
        <v>46291</v>
      </c>
      <c r="C2037" s="2" t="s">
        <v>84</v>
      </c>
      <c r="D2037" s="2" t="n">
        <v>1</v>
      </c>
      <c r="E2037" s="14" t="s">
        <v>1890</v>
      </c>
      <c r="F2037" s="7" t="n">
        <v>5000</v>
      </c>
    </row>
    <row r="2038" customFormat="false" ht="15" hidden="false" customHeight="false" outlineLevel="0" collapsed="false">
      <c r="A2038" s="2" t="s">
        <v>1891</v>
      </c>
      <c r="B2038" s="13" t="n">
        <v>46291</v>
      </c>
      <c r="C2038" s="2" t="s">
        <v>92</v>
      </c>
      <c r="D2038" s="2" t="n">
        <v>1</v>
      </c>
      <c r="E2038" s="14" t="s">
        <v>1041</v>
      </c>
      <c r="F2038" s="7" t="n">
        <v>4000</v>
      </c>
    </row>
    <row r="2039" customFormat="false" ht="15" hidden="false" customHeight="false" outlineLevel="0" collapsed="false">
      <c r="A2039" s="2" t="s">
        <v>1892</v>
      </c>
      <c r="B2039" s="13" t="n">
        <v>46291</v>
      </c>
      <c r="C2039" s="2" t="s">
        <v>186</v>
      </c>
      <c r="D2039" s="2" t="n">
        <v>2</v>
      </c>
      <c r="E2039" s="14" t="s">
        <v>1604</v>
      </c>
      <c r="F2039" s="7" t="n">
        <v>7000</v>
      </c>
    </row>
    <row r="2040" customFormat="false" ht="15" hidden="false" customHeight="false" outlineLevel="0" collapsed="false">
      <c r="A2040" s="2" t="s">
        <v>1892</v>
      </c>
      <c r="B2040" s="13" t="n">
        <v>46291</v>
      </c>
      <c r="C2040" s="2" t="s">
        <v>81</v>
      </c>
      <c r="D2040" s="2" t="n">
        <v>2</v>
      </c>
      <c r="E2040" s="14" t="s">
        <v>1604</v>
      </c>
      <c r="F2040" s="7" t="n">
        <v>15000</v>
      </c>
    </row>
    <row r="2041" customFormat="false" ht="15" hidden="false" customHeight="false" outlineLevel="0" collapsed="false">
      <c r="A2041" s="2" t="s">
        <v>1892</v>
      </c>
      <c r="B2041" s="13" t="n">
        <v>46291</v>
      </c>
      <c r="C2041" s="2" t="s">
        <v>101</v>
      </c>
      <c r="D2041" s="2" t="n">
        <v>1</v>
      </c>
      <c r="E2041" s="14" t="s">
        <v>1604</v>
      </c>
      <c r="F2041" s="7" t="n">
        <v>18000</v>
      </c>
    </row>
    <row r="2042" customFormat="false" ht="15" hidden="false" customHeight="false" outlineLevel="0" collapsed="false">
      <c r="A2042" s="2" t="s">
        <v>1893</v>
      </c>
      <c r="B2042" s="13" t="n">
        <v>46291</v>
      </c>
      <c r="C2042" s="2" t="s">
        <v>89</v>
      </c>
      <c r="D2042" s="2" t="n">
        <v>2</v>
      </c>
      <c r="E2042" s="14" t="s">
        <v>1047</v>
      </c>
      <c r="F2042" s="7" t="n">
        <v>14000</v>
      </c>
    </row>
    <row r="2043" customFormat="false" ht="15" hidden="false" customHeight="false" outlineLevel="0" collapsed="false">
      <c r="A2043" s="2" t="s">
        <v>1893</v>
      </c>
      <c r="B2043" s="13" t="n">
        <v>46291</v>
      </c>
      <c r="C2043" s="2" t="s">
        <v>81</v>
      </c>
      <c r="D2043" s="2" t="n">
        <v>1</v>
      </c>
      <c r="E2043" s="14" t="s">
        <v>1047</v>
      </c>
      <c r="F2043" s="7" t="n">
        <v>15000</v>
      </c>
    </row>
    <row r="2044" customFormat="false" ht="15" hidden="false" customHeight="false" outlineLevel="0" collapsed="false">
      <c r="A2044" s="2" t="s">
        <v>1893</v>
      </c>
      <c r="B2044" s="13" t="n">
        <v>46291</v>
      </c>
      <c r="C2044" s="2" t="s">
        <v>112</v>
      </c>
      <c r="D2044" s="2" t="n">
        <v>1</v>
      </c>
      <c r="E2044" s="14" t="s">
        <v>1047</v>
      </c>
      <c r="F2044" s="7" t="n">
        <v>10000</v>
      </c>
    </row>
    <row r="2045" customFormat="false" ht="15" hidden="false" customHeight="false" outlineLevel="0" collapsed="false">
      <c r="A2045" s="2" t="s">
        <v>1894</v>
      </c>
      <c r="B2045" s="13" t="n">
        <v>46291</v>
      </c>
      <c r="C2045" s="2" t="s">
        <v>112</v>
      </c>
      <c r="D2045" s="2" t="n">
        <v>1</v>
      </c>
      <c r="E2045" s="14" t="s">
        <v>1607</v>
      </c>
      <c r="F2045" s="7" t="n">
        <v>10000</v>
      </c>
    </row>
    <row r="2046" customFormat="false" ht="15" hidden="false" customHeight="false" outlineLevel="0" collapsed="false">
      <c r="A2046" s="2" t="s">
        <v>1895</v>
      </c>
      <c r="B2046" s="13" t="n">
        <v>46291</v>
      </c>
      <c r="C2046" s="2" t="s">
        <v>81</v>
      </c>
      <c r="D2046" s="2" t="n">
        <v>1</v>
      </c>
      <c r="E2046" s="14" t="s">
        <v>1896</v>
      </c>
      <c r="F2046" s="7" t="n">
        <v>15000</v>
      </c>
    </row>
    <row r="2047" customFormat="false" ht="15" hidden="false" customHeight="false" outlineLevel="0" collapsed="false">
      <c r="A2047" s="2" t="s">
        <v>1897</v>
      </c>
      <c r="B2047" s="13" t="n">
        <v>46291</v>
      </c>
      <c r="C2047" s="2" t="s">
        <v>132</v>
      </c>
      <c r="D2047" s="2" t="n">
        <v>1</v>
      </c>
      <c r="E2047" s="14" t="s">
        <v>1541</v>
      </c>
      <c r="F2047" s="7" t="n">
        <v>15000</v>
      </c>
    </row>
    <row r="2048" customFormat="false" ht="15" hidden="false" customHeight="false" outlineLevel="0" collapsed="false">
      <c r="A2048" s="2" t="s">
        <v>1897</v>
      </c>
      <c r="B2048" s="13" t="n">
        <v>46291</v>
      </c>
      <c r="C2048" s="2" t="s">
        <v>89</v>
      </c>
      <c r="D2048" s="2" t="n">
        <v>1</v>
      </c>
      <c r="E2048" s="14" t="s">
        <v>1541</v>
      </c>
      <c r="F2048" s="7" t="n">
        <v>14000</v>
      </c>
    </row>
    <row r="2049" customFormat="false" ht="15" hidden="false" customHeight="false" outlineLevel="0" collapsed="false">
      <c r="A2049" s="2" t="s">
        <v>1897</v>
      </c>
      <c r="B2049" s="13" t="n">
        <v>46291</v>
      </c>
      <c r="C2049" s="2" t="s">
        <v>81</v>
      </c>
      <c r="D2049" s="2" t="n">
        <v>1</v>
      </c>
      <c r="E2049" s="14" t="s">
        <v>1541</v>
      </c>
      <c r="F2049" s="7" t="n">
        <v>15000</v>
      </c>
    </row>
    <row r="2050" customFormat="false" ht="15" hidden="false" customHeight="false" outlineLevel="0" collapsed="false">
      <c r="A2050" s="2" t="s">
        <v>1898</v>
      </c>
      <c r="B2050" s="13" t="n">
        <v>46291</v>
      </c>
      <c r="C2050" s="2" t="s">
        <v>101</v>
      </c>
      <c r="D2050" s="2" t="n">
        <v>2</v>
      </c>
      <c r="E2050" s="14" t="s">
        <v>140</v>
      </c>
      <c r="F2050" s="7" t="n">
        <v>18000</v>
      </c>
    </row>
    <row r="2051" customFormat="false" ht="15" hidden="false" customHeight="false" outlineLevel="0" collapsed="false">
      <c r="A2051" s="2" t="s">
        <v>1898</v>
      </c>
      <c r="B2051" s="13" t="n">
        <v>46291</v>
      </c>
      <c r="C2051" s="2" t="s">
        <v>81</v>
      </c>
      <c r="D2051" s="2" t="n">
        <v>1</v>
      </c>
      <c r="E2051" s="14" t="s">
        <v>140</v>
      </c>
      <c r="F2051" s="7" t="n">
        <v>15000</v>
      </c>
    </row>
    <row r="2052" customFormat="false" ht="15" hidden="false" customHeight="false" outlineLevel="0" collapsed="false">
      <c r="A2052" s="2" t="s">
        <v>1899</v>
      </c>
      <c r="B2052" s="13" t="n">
        <v>46291</v>
      </c>
      <c r="C2052" s="2" t="s">
        <v>89</v>
      </c>
      <c r="D2052" s="2" t="n">
        <v>1</v>
      </c>
      <c r="E2052" s="14" t="s">
        <v>1900</v>
      </c>
      <c r="F2052" s="7" t="n">
        <v>14000</v>
      </c>
    </row>
    <row r="2053" customFormat="false" ht="15" hidden="false" customHeight="false" outlineLevel="0" collapsed="false">
      <c r="A2053" s="2" t="s">
        <v>1899</v>
      </c>
      <c r="B2053" s="13" t="n">
        <v>46291</v>
      </c>
      <c r="C2053" s="2" t="s">
        <v>81</v>
      </c>
      <c r="D2053" s="2" t="n">
        <v>1</v>
      </c>
      <c r="E2053" s="14" t="s">
        <v>1900</v>
      </c>
      <c r="F2053" s="7" t="n">
        <v>15000</v>
      </c>
    </row>
    <row r="2054" customFormat="false" ht="15" hidden="false" customHeight="false" outlineLevel="0" collapsed="false">
      <c r="A2054" s="2" t="s">
        <v>1901</v>
      </c>
      <c r="B2054" s="13" t="n">
        <v>46291</v>
      </c>
      <c r="C2054" s="2" t="s">
        <v>92</v>
      </c>
      <c r="D2054" s="2" t="n">
        <v>2</v>
      </c>
      <c r="E2054" s="14" t="s">
        <v>499</v>
      </c>
      <c r="F2054" s="7" t="n">
        <v>4000</v>
      </c>
    </row>
    <row r="2055" customFormat="false" ht="15" hidden="false" customHeight="false" outlineLevel="0" collapsed="false">
      <c r="A2055" s="2" t="s">
        <v>1902</v>
      </c>
      <c r="B2055" s="13" t="n">
        <v>46291</v>
      </c>
      <c r="C2055" s="2" t="s">
        <v>84</v>
      </c>
      <c r="D2055" s="2" t="n">
        <v>2</v>
      </c>
      <c r="E2055" s="14" t="s">
        <v>900</v>
      </c>
      <c r="F2055" s="7" t="n">
        <v>5000</v>
      </c>
    </row>
    <row r="2056" customFormat="false" ht="15" hidden="false" customHeight="false" outlineLevel="0" collapsed="false">
      <c r="A2056" s="2" t="s">
        <v>1903</v>
      </c>
      <c r="B2056" s="13" t="n">
        <v>46291</v>
      </c>
      <c r="C2056" s="2" t="s">
        <v>81</v>
      </c>
      <c r="D2056" s="2" t="n">
        <v>1</v>
      </c>
      <c r="E2056" s="14" t="s">
        <v>1904</v>
      </c>
      <c r="F2056" s="7" t="n">
        <v>15000</v>
      </c>
    </row>
    <row r="2057" customFormat="false" ht="15" hidden="false" customHeight="false" outlineLevel="0" collapsed="false">
      <c r="A2057" s="2" t="s">
        <v>1905</v>
      </c>
      <c r="B2057" s="13" t="n">
        <v>46291</v>
      </c>
      <c r="C2057" s="2" t="s">
        <v>81</v>
      </c>
      <c r="D2057" s="2" t="n">
        <v>1</v>
      </c>
      <c r="E2057" s="14" t="s">
        <v>592</v>
      </c>
      <c r="F2057" s="7" t="n">
        <v>15000</v>
      </c>
    </row>
    <row r="2058" customFormat="false" ht="15" hidden="false" customHeight="false" outlineLevel="0" collapsed="false">
      <c r="A2058" s="2" t="s">
        <v>1906</v>
      </c>
      <c r="B2058" s="13" t="n">
        <v>46291</v>
      </c>
      <c r="C2058" s="2" t="s">
        <v>84</v>
      </c>
      <c r="D2058" s="2" t="n">
        <v>2</v>
      </c>
      <c r="E2058" s="14" t="s">
        <v>1907</v>
      </c>
      <c r="F2058" s="7" t="n">
        <v>5000</v>
      </c>
    </row>
    <row r="2059" customFormat="false" ht="15" hidden="false" customHeight="false" outlineLevel="0" collapsed="false">
      <c r="A2059" s="2" t="s">
        <v>1906</v>
      </c>
      <c r="B2059" s="13" t="n">
        <v>46291</v>
      </c>
      <c r="C2059" s="2" t="s">
        <v>132</v>
      </c>
      <c r="D2059" s="2" t="n">
        <v>1</v>
      </c>
      <c r="E2059" s="14" t="s">
        <v>1907</v>
      </c>
      <c r="F2059" s="7" t="n">
        <v>15000</v>
      </c>
    </row>
    <row r="2060" customFormat="false" ht="15" hidden="false" customHeight="false" outlineLevel="0" collapsed="false">
      <c r="A2060" s="2" t="s">
        <v>1908</v>
      </c>
      <c r="B2060" s="13" t="n">
        <v>46291</v>
      </c>
      <c r="C2060" s="2" t="s">
        <v>101</v>
      </c>
      <c r="D2060" s="2" t="n">
        <v>2</v>
      </c>
      <c r="E2060" s="14" t="s">
        <v>398</v>
      </c>
      <c r="F2060" s="7" t="n">
        <v>18000</v>
      </c>
    </row>
    <row r="2061" customFormat="false" ht="15" hidden="false" customHeight="false" outlineLevel="0" collapsed="false">
      <c r="A2061" s="2" t="s">
        <v>1909</v>
      </c>
      <c r="B2061" s="13" t="n">
        <v>46291</v>
      </c>
      <c r="C2061" s="2" t="s">
        <v>112</v>
      </c>
      <c r="D2061" s="2" t="n">
        <v>2</v>
      </c>
      <c r="E2061" s="14" t="s">
        <v>1910</v>
      </c>
      <c r="F2061" s="7" t="n">
        <v>10000</v>
      </c>
    </row>
    <row r="2062" customFormat="false" ht="15" hidden="false" customHeight="false" outlineLevel="0" collapsed="false">
      <c r="A2062" s="2" t="s">
        <v>1909</v>
      </c>
      <c r="B2062" s="13" t="n">
        <v>46291</v>
      </c>
      <c r="C2062" s="2" t="s">
        <v>84</v>
      </c>
      <c r="D2062" s="2" t="n">
        <v>2</v>
      </c>
      <c r="E2062" s="14" t="s">
        <v>1910</v>
      </c>
      <c r="F2062" s="7" t="n">
        <v>5000</v>
      </c>
    </row>
    <row r="2063" customFormat="false" ht="15" hidden="false" customHeight="false" outlineLevel="0" collapsed="false">
      <c r="A2063" s="2" t="s">
        <v>1909</v>
      </c>
      <c r="B2063" s="13" t="n">
        <v>46291</v>
      </c>
      <c r="C2063" s="2" t="s">
        <v>186</v>
      </c>
      <c r="D2063" s="2" t="n">
        <v>1</v>
      </c>
      <c r="E2063" s="14" t="s">
        <v>1910</v>
      </c>
      <c r="F2063" s="7" t="n">
        <v>7000</v>
      </c>
    </row>
    <row r="2064" customFormat="false" ht="15" hidden="false" customHeight="false" outlineLevel="0" collapsed="false">
      <c r="A2064" s="2" t="s">
        <v>1911</v>
      </c>
      <c r="B2064" s="13" t="n">
        <v>46291</v>
      </c>
      <c r="C2064" s="2" t="s">
        <v>84</v>
      </c>
      <c r="D2064" s="2" t="n">
        <v>1</v>
      </c>
      <c r="E2064" s="14" t="s">
        <v>745</v>
      </c>
      <c r="F2064" s="7" t="n">
        <v>5000</v>
      </c>
    </row>
    <row r="2065" customFormat="false" ht="15" hidden="false" customHeight="false" outlineLevel="0" collapsed="false">
      <c r="A2065" s="2" t="s">
        <v>1911</v>
      </c>
      <c r="B2065" s="13" t="n">
        <v>46291</v>
      </c>
      <c r="C2065" s="2" t="s">
        <v>79</v>
      </c>
      <c r="D2065" s="2" t="n">
        <v>1</v>
      </c>
      <c r="E2065" s="14" t="s">
        <v>745</v>
      </c>
      <c r="F2065" s="7" t="n">
        <v>16000</v>
      </c>
    </row>
    <row r="2066" customFormat="false" ht="15" hidden="false" customHeight="false" outlineLevel="0" collapsed="false">
      <c r="A2066" s="2" t="s">
        <v>1912</v>
      </c>
      <c r="B2066" s="13" t="n">
        <v>46291</v>
      </c>
      <c r="C2066" s="2" t="s">
        <v>101</v>
      </c>
      <c r="D2066" s="2" t="n">
        <v>1</v>
      </c>
      <c r="E2066" s="14" t="s">
        <v>232</v>
      </c>
      <c r="F2066" s="7" t="n">
        <v>18000</v>
      </c>
    </row>
    <row r="2067" customFormat="false" ht="15" hidden="false" customHeight="false" outlineLevel="0" collapsed="false">
      <c r="A2067" s="2" t="s">
        <v>1912</v>
      </c>
      <c r="B2067" s="13" t="n">
        <v>46291</v>
      </c>
      <c r="C2067" s="2" t="s">
        <v>186</v>
      </c>
      <c r="D2067" s="2" t="n">
        <v>1</v>
      </c>
      <c r="E2067" s="14" t="s">
        <v>232</v>
      </c>
      <c r="F2067" s="7" t="n">
        <v>7000</v>
      </c>
    </row>
    <row r="2068" customFormat="false" ht="15" hidden="false" customHeight="false" outlineLevel="0" collapsed="false">
      <c r="A2068" s="2" t="s">
        <v>1912</v>
      </c>
      <c r="B2068" s="13" t="n">
        <v>46291</v>
      </c>
      <c r="C2068" s="2" t="s">
        <v>108</v>
      </c>
      <c r="D2068" s="2" t="n">
        <v>1</v>
      </c>
      <c r="E2068" s="14" t="s">
        <v>232</v>
      </c>
      <c r="F2068" s="7" t="n">
        <v>20000</v>
      </c>
    </row>
    <row r="2069" customFormat="false" ht="15" hidden="false" customHeight="false" outlineLevel="0" collapsed="false">
      <c r="A2069" s="2" t="s">
        <v>1913</v>
      </c>
      <c r="B2069" s="13" t="n">
        <v>46291</v>
      </c>
      <c r="C2069" s="2" t="s">
        <v>84</v>
      </c>
      <c r="D2069" s="2" t="n">
        <v>1</v>
      </c>
      <c r="E2069" s="14" t="s">
        <v>1413</v>
      </c>
      <c r="F2069" s="7" t="n">
        <v>5000</v>
      </c>
    </row>
    <row r="2070" customFormat="false" ht="15" hidden="false" customHeight="false" outlineLevel="0" collapsed="false">
      <c r="A2070" s="2" t="s">
        <v>1913</v>
      </c>
      <c r="B2070" s="13" t="n">
        <v>46291</v>
      </c>
      <c r="C2070" s="2" t="s">
        <v>112</v>
      </c>
      <c r="D2070" s="2" t="n">
        <v>1</v>
      </c>
      <c r="E2070" s="14" t="s">
        <v>1914</v>
      </c>
      <c r="F2070" s="7" t="n">
        <v>10000</v>
      </c>
    </row>
    <row r="2071" customFormat="false" ht="15" hidden="false" customHeight="false" outlineLevel="0" collapsed="false">
      <c r="A2071" s="2" t="s">
        <v>1915</v>
      </c>
      <c r="B2071" s="13" t="n">
        <v>46291</v>
      </c>
      <c r="C2071" s="2" t="s">
        <v>84</v>
      </c>
      <c r="D2071" s="2" t="n">
        <v>1</v>
      </c>
      <c r="E2071" s="14" t="s">
        <v>325</v>
      </c>
      <c r="F2071" s="7" t="n">
        <v>5000</v>
      </c>
    </row>
    <row r="2072" customFormat="false" ht="15" hidden="false" customHeight="false" outlineLevel="0" collapsed="false">
      <c r="A2072" s="2" t="s">
        <v>1915</v>
      </c>
      <c r="B2072" s="13" t="n">
        <v>46291</v>
      </c>
      <c r="C2072" s="2" t="s">
        <v>126</v>
      </c>
      <c r="D2072" s="2" t="n">
        <v>1</v>
      </c>
      <c r="E2072" s="14" t="s">
        <v>325</v>
      </c>
      <c r="F2072" s="7" t="n">
        <v>3000</v>
      </c>
    </row>
    <row r="2073" customFormat="false" ht="15" hidden="false" customHeight="false" outlineLevel="0" collapsed="false">
      <c r="A2073" s="2" t="s">
        <v>1916</v>
      </c>
      <c r="B2073" s="13" t="n">
        <v>46291</v>
      </c>
      <c r="C2073" s="2" t="s">
        <v>79</v>
      </c>
      <c r="D2073" s="2" t="n">
        <v>1</v>
      </c>
      <c r="E2073" s="14" t="s">
        <v>1361</v>
      </c>
      <c r="F2073" s="7" t="n">
        <v>16000</v>
      </c>
    </row>
    <row r="2074" customFormat="false" ht="15" hidden="false" customHeight="false" outlineLevel="0" collapsed="false">
      <c r="A2074" s="2" t="s">
        <v>1916</v>
      </c>
      <c r="B2074" s="13" t="n">
        <v>46291</v>
      </c>
      <c r="C2074" s="2" t="s">
        <v>89</v>
      </c>
      <c r="D2074" s="2" t="n">
        <v>2</v>
      </c>
      <c r="E2074" s="14" t="s">
        <v>1917</v>
      </c>
      <c r="F2074" s="7" t="n">
        <v>14000</v>
      </c>
    </row>
    <row r="2075" customFormat="false" ht="15" hidden="false" customHeight="false" outlineLevel="0" collapsed="false">
      <c r="A2075" s="2" t="s">
        <v>1918</v>
      </c>
      <c r="B2075" s="13" t="n">
        <v>46291</v>
      </c>
      <c r="C2075" s="2" t="s">
        <v>81</v>
      </c>
      <c r="D2075" s="2" t="n">
        <v>1</v>
      </c>
      <c r="E2075" s="14" t="s">
        <v>413</v>
      </c>
      <c r="F2075" s="7" t="n">
        <v>15000</v>
      </c>
    </row>
    <row r="2076" customFormat="false" ht="15" hidden="false" customHeight="false" outlineLevel="0" collapsed="false">
      <c r="A2076" s="2" t="s">
        <v>1918</v>
      </c>
      <c r="B2076" s="13" t="n">
        <v>46291</v>
      </c>
      <c r="C2076" s="2" t="s">
        <v>79</v>
      </c>
      <c r="D2076" s="2" t="n">
        <v>2</v>
      </c>
      <c r="E2076" s="14" t="s">
        <v>413</v>
      </c>
      <c r="F2076" s="7" t="n">
        <v>16000</v>
      </c>
    </row>
    <row r="2077" customFormat="false" ht="15" hidden="false" customHeight="false" outlineLevel="0" collapsed="false">
      <c r="A2077" s="2" t="s">
        <v>1919</v>
      </c>
      <c r="B2077" s="13" t="n">
        <v>46291</v>
      </c>
      <c r="C2077" s="2" t="s">
        <v>84</v>
      </c>
      <c r="D2077" s="2" t="n">
        <v>1</v>
      </c>
      <c r="E2077" s="14" t="s">
        <v>1920</v>
      </c>
      <c r="F2077" s="7" t="n">
        <v>5000</v>
      </c>
    </row>
    <row r="2078" customFormat="false" ht="15" hidden="false" customHeight="false" outlineLevel="0" collapsed="false">
      <c r="A2078" s="2" t="s">
        <v>1919</v>
      </c>
      <c r="B2078" s="13" t="n">
        <v>46291</v>
      </c>
      <c r="C2078" s="2" t="s">
        <v>186</v>
      </c>
      <c r="D2078" s="2" t="n">
        <v>2</v>
      </c>
      <c r="E2078" s="14" t="s">
        <v>1920</v>
      </c>
      <c r="F2078" s="7" t="n">
        <v>7000</v>
      </c>
    </row>
    <row r="2079" customFormat="false" ht="15" hidden="false" customHeight="false" outlineLevel="0" collapsed="false">
      <c r="A2079" s="2" t="s">
        <v>1921</v>
      </c>
      <c r="B2079" s="13" t="n">
        <v>46291</v>
      </c>
      <c r="C2079" s="2" t="s">
        <v>112</v>
      </c>
      <c r="D2079" s="2" t="n">
        <v>2</v>
      </c>
      <c r="E2079" s="14" t="s">
        <v>1134</v>
      </c>
      <c r="F2079" s="7" t="n">
        <v>10000</v>
      </c>
    </row>
    <row r="2080" customFormat="false" ht="15" hidden="false" customHeight="false" outlineLevel="0" collapsed="false">
      <c r="A2080" s="2" t="s">
        <v>1921</v>
      </c>
      <c r="B2080" s="13" t="n">
        <v>46291</v>
      </c>
      <c r="C2080" s="2" t="s">
        <v>84</v>
      </c>
      <c r="D2080" s="2" t="n">
        <v>2</v>
      </c>
      <c r="E2080" s="14" t="s">
        <v>1134</v>
      </c>
      <c r="F2080" s="7" t="n">
        <v>5000</v>
      </c>
    </row>
    <row r="2081" customFormat="false" ht="15" hidden="false" customHeight="false" outlineLevel="0" collapsed="false">
      <c r="A2081" s="2" t="s">
        <v>1921</v>
      </c>
      <c r="B2081" s="13" t="n">
        <v>46291</v>
      </c>
      <c r="C2081" s="2" t="s">
        <v>132</v>
      </c>
      <c r="D2081" s="2" t="n">
        <v>1</v>
      </c>
      <c r="E2081" s="14" t="s">
        <v>1134</v>
      </c>
      <c r="F2081" s="7" t="n">
        <v>150000</v>
      </c>
    </row>
    <row r="2082" customFormat="false" ht="15" hidden="false" customHeight="false" outlineLevel="0" collapsed="false">
      <c r="A2082" s="2" t="s">
        <v>1922</v>
      </c>
      <c r="B2082" s="13" t="n">
        <v>46291</v>
      </c>
      <c r="C2082" s="2" t="s">
        <v>81</v>
      </c>
      <c r="D2082" s="2" t="n">
        <v>1</v>
      </c>
      <c r="E2082" s="14" t="s">
        <v>917</v>
      </c>
      <c r="F2082" s="7" t="n">
        <v>15000</v>
      </c>
    </row>
    <row r="2083" customFormat="false" ht="15" hidden="false" customHeight="false" outlineLevel="0" collapsed="false">
      <c r="A2083" s="2" t="s">
        <v>1922</v>
      </c>
      <c r="B2083" s="13" t="n">
        <v>46291</v>
      </c>
      <c r="C2083" s="2" t="s">
        <v>132</v>
      </c>
      <c r="D2083" s="2" t="n">
        <v>1</v>
      </c>
      <c r="E2083" s="14" t="s">
        <v>917</v>
      </c>
      <c r="F2083" s="7" t="n">
        <v>15000</v>
      </c>
    </row>
    <row r="2084" customFormat="false" ht="15" hidden="false" customHeight="false" outlineLevel="0" collapsed="false">
      <c r="A2084" s="2" t="s">
        <v>1923</v>
      </c>
      <c r="B2084" s="13" t="n">
        <v>46291</v>
      </c>
      <c r="C2084" s="2" t="s">
        <v>132</v>
      </c>
      <c r="D2084" s="2" t="n">
        <v>1</v>
      </c>
      <c r="E2084" s="14" t="s">
        <v>1924</v>
      </c>
      <c r="F2084" s="7" t="n">
        <v>15000</v>
      </c>
    </row>
    <row r="2085" customFormat="false" ht="15" hidden="false" customHeight="false" outlineLevel="0" collapsed="false">
      <c r="A2085" s="2" t="s">
        <v>1923</v>
      </c>
      <c r="B2085" s="13" t="n">
        <v>46291</v>
      </c>
      <c r="C2085" s="2" t="s">
        <v>84</v>
      </c>
      <c r="D2085" s="2" t="n">
        <v>1</v>
      </c>
      <c r="E2085" s="14" t="s">
        <v>1924</v>
      </c>
      <c r="F2085" s="7" t="n">
        <v>5000</v>
      </c>
    </row>
    <row r="2086" customFormat="false" ht="15" hidden="false" customHeight="false" outlineLevel="0" collapsed="false">
      <c r="A2086" s="2" t="s">
        <v>1925</v>
      </c>
      <c r="B2086" s="13" t="n">
        <v>46291</v>
      </c>
      <c r="C2086" s="2" t="s">
        <v>81</v>
      </c>
      <c r="D2086" s="2" t="n">
        <v>2</v>
      </c>
      <c r="E2086" s="14" t="s">
        <v>1809</v>
      </c>
      <c r="F2086" s="7" t="n">
        <v>15000</v>
      </c>
    </row>
    <row r="2087" customFormat="false" ht="15" hidden="false" customHeight="false" outlineLevel="0" collapsed="false">
      <c r="A2087" s="2" t="s">
        <v>1926</v>
      </c>
      <c r="B2087" s="13" t="n">
        <v>46291</v>
      </c>
      <c r="C2087" s="2" t="s">
        <v>132</v>
      </c>
      <c r="D2087" s="2" t="n">
        <v>3</v>
      </c>
      <c r="E2087" s="14" t="s">
        <v>1257</v>
      </c>
      <c r="F2087" s="7" t="n">
        <v>15000</v>
      </c>
    </row>
    <row r="2088" customFormat="false" ht="15" hidden="false" customHeight="false" outlineLevel="0" collapsed="false">
      <c r="A2088" s="2" t="s">
        <v>1927</v>
      </c>
      <c r="B2088" s="13" t="n">
        <v>46291</v>
      </c>
      <c r="C2088" s="2" t="s">
        <v>79</v>
      </c>
      <c r="D2088" s="2" t="n">
        <v>1</v>
      </c>
      <c r="E2088" s="14" t="s">
        <v>1315</v>
      </c>
      <c r="F2088" s="7" t="n">
        <v>16000</v>
      </c>
    </row>
    <row r="2089" customFormat="false" ht="15" hidden="false" customHeight="false" outlineLevel="0" collapsed="false">
      <c r="A2089" s="2" t="s">
        <v>1928</v>
      </c>
      <c r="B2089" s="13" t="n">
        <v>46291</v>
      </c>
      <c r="C2089" s="2" t="s">
        <v>84</v>
      </c>
      <c r="D2089" s="2" t="n">
        <v>1</v>
      </c>
      <c r="E2089" s="14" t="s">
        <v>258</v>
      </c>
      <c r="F2089" s="7" t="n">
        <v>5000</v>
      </c>
    </row>
    <row r="2090" customFormat="false" ht="15" hidden="false" customHeight="false" outlineLevel="0" collapsed="false">
      <c r="A2090" s="2" t="s">
        <v>1928</v>
      </c>
      <c r="B2090" s="13" t="n">
        <v>46291</v>
      </c>
      <c r="C2090" s="2" t="s">
        <v>81</v>
      </c>
      <c r="D2090" s="2" t="n">
        <v>2</v>
      </c>
      <c r="E2090" s="14" t="s">
        <v>258</v>
      </c>
      <c r="F2090" s="7" t="n">
        <v>15000</v>
      </c>
    </row>
    <row r="2091" customFormat="false" ht="15" hidden="false" customHeight="false" outlineLevel="0" collapsed="false">
      <c r="A2091" s="2" t="s">
        <v>1928</v>
      </c>
      <c r="B2091" s="13" t="n">
        <v>46291</v>
      </c>
      <c r="C2091" s="2" t="s">
        <v>79</v>
      </c>
      <c r="D2091" s="2" t="n">
        <v>1</v>
      </c>
      <c r="E2091" s="14" t="s">
        <v>258</v>
      </c>
      <c r="F2091" s="7" t="n">
        <v>16000</v>
      </c>
    </row>
    <row r="2092" customFormat="false" ht="15" hidden="false" customHeight="false" outlineLevel="0" collapsed="false">
      <c r="A2092" s="2" t="s">
        <v>1929</v>
      </c>
      <c r="B2092" s="13" t="n">
        <v>46291</v>
      </c>
      <c r="C2092" s="2" t="s">
        <v>92</v>
      </c>
      <c r="D2092" s="2" t="n">
        <v>1</v>
      </c>
      <c r="E2092" s="14" t="s">
        <v>1930</v>
      </c>
      <c r="F2092" s="7" t="n">
        <v>4000</v>
      </c>
    </row>
    <row r="2093" customFormat="false" ht="15" hidden="false" customHeight="false" outlineLevel="0" collapsed="false">
      <c r="A2093" s="2" t="s">
        <v>1929</v>
      </c>
      <c r="B2093" s="13" t="n">
        <v>46291</v>
      </c>
      <c r="C2093" s="2" t="s">
        <v>89</v>
      </c>
      <c r="D2093" s="2" t="n">
        <v>2</v>
      </c>
      <c r="E2093" s="14" t="s">
        <v>1930</v>
      </c>
      <c r="F2093" s="7" t="n">
        <v>14000</v>
      </c>
    </row>
    <row r="2094" customFormat="false" ht="15" hidden="false" customHeight="false" outlineLevel="0" collapsed="false">
      <c r="A2094" s="2" t="s">
        <v>1931</v>
      </c>
      <c r="B2094" s="13" t="n">
        <v>46292</v>
      </c>
      <c r="C2094" s="2" t="s">
        <v>84</v>
      </c>
      <c r="D2094" s="2" t="n">
        <v>1</v>
      </c>
      <c r="E2094" s="14" t="s">
        <v>992</v>
      </c>
      <c r="F2094" s="7" t="n">
        <v>5000</v>
      </c>
    </row>
    <row r="2095" customFormat="false" ht="15" hidden="false" customHeight="false" outlineLevel="0" collapsed="false">
      <c r="A2095" s="2" t="s">
        <v>1931</v>
      </c>
      <c r="B2095" s="13" t="n">
        <v>46292</v>
      </c>
      <c r="C2095" s="2" t="s">
        <v>101</v>
      </c>
      <c r="D2095" s="2" t="n">
        <v>3</v>
      </c>
      <c r="E2095" s="14" t="s">
        <v>992</v>
      </c>
      <c r="F2095" s="7" t="n">
        <v>18000</v>
      </c>
    </row>
    <row r="2096" customFormat="false" ht="15" hidden="false" customHeight="false" outlineLevel="0" collapsed="false">
      <c r="A2096" s="2" t="s">
        <v>1932</v>
      </c>
      <c r="B2096" s="13" t="n">
        <v>46292</v>
      </c>
      <c r="C2096" s="2" t="s">
        <v>84</v>
      </c>
      <c r="D2096" s="2" t="n">
        <v>1</v>
      </c>
      <c r="E2096" s="14" t="s">
        <v>1933</v>
      </c>
      <c r="F2096" s="7" t="n">
        <v>5000</v>
      </c>
    </row>
    <row r="2097" customFormat="false" ht="15" hidden="false" customHeight="false" outlineLevel="0" collapsed="false">
      <c r="A2097" s="2" t="s">
        <v>1932</v>
      </c>
      <c r="B2097" s="13" t="n">
        <v>46292</v>
      </c>
      <c r="C2097" s="2" t="s">
        <v>79</v>
      </c>
      <c r="D2097" s="2" t="n">
        <v>2</v>
      </c>
      <c r="E2097" s="14" t="s">
        <v>1933</v>
      </c>
      <c r="F2097" s="7" t="n">
        <v>16000</v>
      </c>
    </row>
    <row r="2098" customFormat="false" ht="15" hidden="false" customHeight="false" outlineLevel="0" collapsed="false">
      <c r="A2098" s="2" t="s">
        <v>1934</v>
      </c>
      <c r="B2098" s="13" t="n">
        <v>46292</v>
      </c>
      <c r="C2098" s="2" t="s">
        <v>81</v>
      </c>
      <c r="D2098" s="2" t="n">
        <v>1</v>
      </c>
      <c r="E2098" s="14" t="s">
        <v>1935</v>
      </c>
      <c r="F2098" s="7" t="n">
        <v>15000</v>
      </c>
    </row>
    <row r="2099" customFormat="false" ht="15" hidden="false" customHeight="false" outlineLevel="0" collapsed="false">
      <c r="A2099" s="2" t="s">
        <v>1934</v>
      </c>
      <c r="B2099" s="13" t="n">
        <v>46292</v>
      </c>
      <c r="C2099" s="2" t="s">
        <v>132</v>
      </c>
      <c r="D2099" s="2" t="n">
        <v>1</v>
      </c>
      <c r="E2099" s="14" t="s">
        <v>1935</v>
      </c>
      <c r="F2099" s="7" t="n">
        <v>15000</v>
      </c>
    </row>
    <row r="2100" customFormat="false" ht="15" hidden="false" customHeight="false" outlineLevel="0" collapsed="false">
      <c r="A2100" s="2" t="s">
        <v>1934</v>
      </c>
      <c r="B2100" s="13" t="n">
        <v>46292</v>
      </c>
      <c r="C2100" s="2" t="s">
        <v>92</v>
      </c>
      <c r="D2100" s="2" t="n">
        <v>1</v>
      </c>
      <c r="E2100" s="14" t="s">
        <v>1935</v>
      </c>
      <c r="F2100" s="7" t="n">
        <v>4000</v>
      </c>
    </row>
    <row r="2101" customFormat="false" ht="15" hidden="false" customHeight="false" outlineLevel="0" collapsed="false">
      <c r="A2101" s="2" t="s">
        <v>1936</v>
      </c>
      <c r="B2101" s="13" t="n">
        <v>46292</v>
      </c>
      <c r="C2101" s="2" t="s">
        <v>112</v>
      </c>
      <c r="D2101" s="2" t="n">
        <v>1</v>
      </c>
      <c r="E2101" s="14" t="s">
        <v>1818</v>
      </c>
      <c r="F2101" s="7" t="n">
        <v>10000</v>
      </c>
    </row>
    <row r="2102" customFormat="false" ht="15" hidden="false" customHeight="false" outlineLevel="0" collapsed="false">
      <c r="A2102" s="2" t="s">
        <v>1936</v>
      </c>
      <c r="B2102" s="13" t="n">
        <v>46292</v>
      </c>
      <c r="C2102" s="2" t="s">
        <v>132</v>
      </c>
      <c r="D2102" s="2" t="n">
        <v>3</v>
      </c>
      <c r="E2102" s="14" t="s">
        <v>1818</v>
      </c>
      <c r="F2102" s="7" t="n">
        <v>15000</v>
      </c>
    </row>
    <row r="2103" customFormat="false" ht="15" hidden="false" customHeight="false" outlineLevel="0" collapsed="false">
      <c r="A2103" s="2" t="s">
        <v>1937</v>
      </c>
      <c r="B2103" s="13" t="n">
        <v>46292</v>
      </c>
      <c r="C2103" s="2" t="s">
        <v>81</v>
      </c>
      <c r="D2103" s="2" t="n">
        <v>2</v>
      </c>
      <c r="E2103" s="14" t="s">
        <v>85</v>
      </c>
      <c r="F2103" s="7" t="n">
        <v>15000</v>
      </c>
    </row>
    <row r="2104" customFormat="false" ht="15" hidden="false" customHeight="false" outlineLevel="0" collapsed="false">
      <c r="A2104" s="2" t="s">
        <v>1938</v>
      </c>
      <c r="B2104" s="13" t="n">
        <v>46292</v>
      </c>
      <c r="C2104" s="2" t="s">
        <v>132</v>
      </c>
      <c r="D2104" s="2" t="n">
        <v>1</v>
      </c>
      <c r="E2104" s="14" t="s">
        <v>184</v>
      </c>
      <c r="F2104" s="7" t="n">
        <v>15000</v>
      </c>
    </row>
    <row r="2105" customFormat="false" ht="15" hidden="false" customHeight="false" outlineLevel="0" collapsed="false">
      <c r="A2105" s="2" t="s">
        <v>1938</v>
      </c>
      <c r="B2105" s="13" t="n">
        <v>46292</v>
      </c>
      <c r="C2105" s="2" t="s">
        <v>79</v>
      </c>
      <c r="D2105" s="2" t="n">
        <v>1</v>
      </c>
      <c r="E2105" s="14" t="s">
        <v>184</v>
      </c>
      <c r="F2105" s="7" t="n">
        <v>16000</v>
      </c>
    </row>
    <row r="2106" customFormat="false" ht="15" hidden="false" customHeight="false" outlineLevel="0" collapsed="false">
      <c r="A2106" s="2" t="s">
        <v>1939</v>
      </c>
      <c r="B2106" s="13" t="n">
        <v>46292</v>
      </c>
      <c r="C2106" s="2" t="s">
        <v>84</v>
      </c>
      <c r="D2106" s="2" t="n">
        <v>1</v>
      </c>
      <c r="E2106" s="14" t="s">
        <v>449</v>
      </c>
      <c r="F2106" s="7" t="n">
        <v>5000</v>
      </c>
    </row>
    <row r="2107" customFormat="false" ht="15" hidden="false" customHeight="false" outlineLevel="0" collapsed="false">
      <c r="A2107" s="2" t="s">
        <v>1940</v>
      </c>
      <c r="B2107" s="13" t="n">
        <v>46292</v>
      </c>
      <c r="C2107" s="2" t="s">
        <v>79</v>
      </c>
      <c r="D2107" s="2" t="n">
        <v>1</v>
      </c>
      <c r="E2107" s="14" t="s">
        <v>453</v>
      </c>
      <c r="F2107" s="7" t="n">
        <v>16000</v>
      </c>
    </row>
    <row r="2108" customFormat="false" ht="15" hidden="false" customHeight="false" outlineLevel="0" collapsed="false">
      <c r="A2108" s="2" t="s">
        <v>1941</v>
      </c>
      <c r="B2108" s="13" t="n">
        <v>46292</v>
      </c>
      <c r="C2108" s="2" t="s">
        <v>81</v>
      </c>
      <c r="D2108" s="2" t="n">
        <v>2</v>
      </c>
      <c r="E2108" s="14" t="s">
        <v>366</v>
      </c>
      <c r="F2108" s="7" t="n">
        <v>15000</v>
      </c>
    </row>
    <row r="2109" customFormat="false" ht="15" hidden="false" customHeight="false" outlineLevel="0" collapsed="false">
      <c r="A2109" s="2" t="s">
        <v>1942</v>
      </c>
      <c r="B2109" s="13" t="n">
        <v>46292</v>
      </c>
      <c r="C2109" s="2" t="s">
        <v>101</v>
      </c>
      <c r="D2109" s="2" t="n">
        <v>2</v>
      </c>
      <c r="E2109" s="14" t="s">
        <v>625</v>
      </c>
      <c r="F2109" s="7" t="n">
        <v>18000</v>
      </c>
    </row>
    <row r="2110" customFormat="false" ht="15" hidden="false" customHeight="false" outlineLevel="0" collapsed="false">
      <c r="A2110" s="2" t="s">
        <v>1943</v>
      </c>
      <c r="B2110" s="13" t="n">
        <v>46292</v>
      </c>
      <c r="C2110" s="2" t="s">
        <v>101</v>
      </c>
      <c r="D2110" s="2" t="n">
        <v>1</v>
      </c>
      <c r="E2110" s="14" t="s">
        <v>466</v>
      </c>
      <c r="F2110" s="7" t="n">
        <v>18000</v>
      </c>
    </row>
    <row r="2111" customFormat="false" ht="15" hidden="false" customHeight="false" outlineLevel="0" collapsed="false">
      <c r="A2111" s="2" t="s">
        <v>1944</v>
      </c>
      <c r="B2111" s="13" t="n">
        <v>46292</v>
      </c>
      <c r="C2111" s="2" t="s">
        <v>81</v>
      </c>
      <c r="D2111" s="2" t="n">
        <v>1</v>
      </c>
      <c r="E2111" s="14" t="s">
        <v>628</v>
      </c>
      <c r="F2111" s="7" t="n">
        <v>15000</v>
      </c>
    </row>
    <row r="2112" customFormat="false" ht="15" hidden="false" customHeight="false" outlineLevel="0" collapsed="false">
      <c r="A2112" s="2" t="s">
        <v>1944</v>
      </c>
      <c r="B2112" s="13" t="n">
        <v>46292</v>
      </c>
      <c r="C2112" s="2" t="s">
        <v>132</v>
      </c>
      <c r="D2112" s="2" t="n">
        <v>-1</v>
      </c>
      <c r="E2112" s="14" t="s">
        <v>628</v>
      </c>
      <c r="F2112" s="7" t="n">
        <v>15000</v>
      </c>
    </row>
    <row r="2113" customFormat="false" ht="15" hidden="false" customHeight="false" outlineLevel="0" collapsed="false">
      <c r="A2113" s="2" t="s">
        <v>1944</v>
      </c>
      <c r="B2113" s="13" t="n">
        <v>46292</v>
      </c>
      <c r="C2113" s="2" t="s">
        <v>186</v>
      </c>
      <c r="D2113" s="2" t="n">
        <v>1</v>
      </c>
      <c r="E2113" s="14" t="s">
        <v>628</v>
      </c>
      <c r="F2113" s="7" t="n">
        <v>7000</v>
      </c>
    </row>
    <row r="2114" customFormat="false" ht="15" hidden="false" customHeight="false" outlineLevel="0" collapsed="false">
      <c r="A2114" s="2" t="s">
        <v>1945</v>
      </c>
      <c r="B2114" s="13" t="n">
        <v>46292</v>
      </c>
      <c r="C2114" s="2" t="s">
        <v>101</v>
      </c>
      <c r="D2114" s="2" t="n">
        <v>1</v>
      </c>
      <c r="E2114" s="14" t="s">
        <v>635</v>
      </c>
      <c r="F2114" s="7" t="n">
        <v>18000</v>
      </c>
    </row>
    <row r="2115" customFormat="false" ht="15" hidden="false" customHeight="false" outlineLevel="0" collapsed="false">
      <c r="A2115" s="2" t="s">
        <v>1946</v>
      </c>
      <c r="B2115" s="13" t="n">
        <v>46292</v>
      </c>
      <c r="C2115" s="2" t="s">
        <v>112</v>
      </c>
      <c r="D2115" s="2" t="n">
        <v>1</v>
      </c>
      <c r="E2115" s="14" t="s">
        <v>716</v>
      </c>
      <c r="F2115" s="7" t="n">
        <v>10000</v>
      </c>
    </row>
    <row r="2116" customFormat="false" ht="15" hidden="false" customHeight="false" outlineLevel="0" collapsed="false">
      <c r="A2116" s="2" t="s">
        <v>1947</v>
      </c>
      <c r="B2116" s="13" t="n">
        <v>46292</v>
      </c>
      <c r="C2116" s="2" t="s">
        <v>92</v>
      </c>
      <c r="D2116" s="2" t="n">
        <v>1</v>
      </c>
      <c r="E2116" s="14" t="s">
        <v>1948</v>
      </c>
      <c r="F2116" s="7" t="n">
        <v>4000</v>
      </c>
    </row>
    <row r="2117" customFormat="false" ht="15" hidden="false" customHeight="false" outlineLevel="0" collapsed="false">
      <c r="A2117" s="2" t="s">
        <v>1949</v>
      </c>
      <c r="B2117" s="13" t="n">
        <v>46292</v>
      </c>
      <c r="C2117" s="2" t="s">
        <v>101</v>
      </c>
      <c r="D2117" s="2" t="n">
        <v>1</v>
      </c>
      <c r="E2117" s="14" t="s">
        <v>99</v>
      </c>
      <c r="F2117" s="7"/>
    </row>
    <row r="2118" customFormat="false" ht="15" hidden="false" customHeight="false" outlineLevel="0" collapsed="false">
      <c r="A2118" s="2" t="s">
        <v>1949</v>
      </c>
      <c r="B2118" s="13" t="n">
        <v>46292</v>
      </c>
      <c r="C2118" s="2" t="s">
        <v>79</v>
      </c>
      <c r="D2118" s="2" t="n">
        <v>1</v>
      </c>
      <c r="E2118" s="14" t="s">
        <v>99</v>
      </c>
      <c r="F2118" s="7" t="n">
        <v>16000</v>
      </c>
    </row>
    <row r="2119" customFormat="false" ht="15" hidden="false" customHeight="false" outlineLevel="0" collapsed="false">
      <c r="A2119" s="2" t="s">
        <v>1950</v>
      </c>
      <c r="B2119" s="13" t="n">
        <v>46292</v>
      </c>
      <c r="C2119" s="2" t="s">
        <v>81</v>
      </c>
      <c r="D2119" s="2" t="n">
        <v>3</v>
      </c>
      <c r="E2119" s="14" t="s">
        <v>99</v>
      </c>
      <c r="F2119" s="7" t="n">
        <v>15000</v>
      </c>
    </row>
    <row r="2120" customFormat="false" ht="15" hidden="false" customHeight="false" outlineLevel="0" collapsed="false">
      <c r="A2120" s="2" t="s">
        <v>1950</v>
      </c>
      <c r="B2120" s="13" t="n">
        <v>46292</v>
      </c>
      <c r="C2120" s="2" t="s">
        <v>89</v>
      </c>
      <c r="D2120" s="2" t="n">
        <v>2</v>
      </c>
      <c r="E2120" s="14" t="s">
        <v>99</v>
      </c>
      <c r="F2120" s="7" t="n">
        <v>14000</v>
      </c>
    </row>
    <row r="2121" customFormat="false" ht="15" hidden="false" customHeight="false" outlineLevel="0" collapsed="false">
      <c r="A2121" s="2" t="s">
        <v>1951</v>
      </c>
      <c r="B2121" s="13" t="n">
        <v>46292</v>
      </c>
      <c r="C2121" s="2" t="s">
        <v>81</v>
      </c>
      <c r="D2121" s="2" t="n">
        <v>1</v>
      </c>
      <c r="E2121" s="14" t="s">
        <v>1034</v>
      </c>
      <c r="F2121" s="7" t="n">
        <v>15000</v>
      </c>
    </row>
    <row r="2122" customFormat="false" ht="15" hidden="false" customHeight="false" outlineLevel="0" collapsed="false">
      <c r="A2122" s="2" t="s">
        <v>1952</v>
      </c>
      <c r="B2122" s="13" t="n">
        <v>46292</v>
      </c>
      <c r="C2122" s="2" t="s">
        <v>1953</v>
      </c>
      <c r="D2122" s="2" t="n">
        <v>1</v>
      </c>
      <c r="E2122" s="14" t="s">
        <v>1180</v>
      </c>
      <c r="F2122" s="7" t="n">
        <v>15000</v>
      </c>
    </row>
    <row r="2123" customFormat="false" ht="15" hidden="false" customHeight="false" outlineLevel="0" collapsed="false">
      <c r="A2123" s="2" t="s">
        <v>1954</v>
      </c>
      <c r="B2123" s="13" t="n">
        <v>46292</v>
      </c>
      <c r="C2123" s="2" t="s">
        <v>81</v>
      </c>
      <c r="D2123" s="2" t="n">
        <v>1</v>
      </c>
      <c r="E2123" s="14" t="s">
        <v>1955</v>
      </c>
      <c r="F2123" s="7" t="n">
        <v>15000</v>
      </c>
    </row>
    <row r="2124" customFormat="false" ht="15" hidden="false" customHeight="false" outlineLevel="0" collapsed="false">
      <c r="A2124" s="2" t="s">
        <v>1956</v>
      </c>
      <c r="B2124" s="13" t="n">
        <v>46292</v>
      </c>
      <c r="C2124" s="2" t="s">
        <v>89</v>
      </c>
      <c r="D2124" s="2" t="n">
        <v>2</v>
      </c>
      <c r="E2124" s="14" t="s">
        <v>798</v>
      </c>
      <c r="F2124" s="7" t="n">
        <v>14000</v>
      </c>
    </row>
    <row r="2125" customFormat="false" ht="15" hidden="false" customHeight="false" outlineLevel="0" collapsed="false">
      <c r="A2125" s="2" t="s">
        <v>1957</v>
      </c>
      <c r="B2125" s="13" t="n">
        <v>46292</v>
      </c>
      <c r="C2125" s="2" t="s">
        <v>84</v>
      </c>
      <c r="D2125" s="2" t="n">
        <v>1</v>
      </c>
      <c r="E2125" s="14" t="s">
        <v>290</v>
      </c>
      <c r="F2125" s="7" t="n">
        <v>5000</v>
      </c>
    </row>
    <row r="2126" customFormat="false" ht="15" hidden="false" customHeight="false" outlineLevel="0" collapsed="false">
      <c r="A2126" s="2" t="s">
        <v>1957</v>
      </c>
      <c r="B2126" s="13" t="n">
        <v>46292</v>
      </c>
      <c r="C2126" s="2" t="s">
        <v>79</v>
      </c>
      <c r="D2126" s="2" t="n">
        <v>1</v>
      </c>
      <c r="E2126" s="14" t="s">
        <v>290</v>
      </c>
      <c r="F2126" s="7" t="n">
        <v>16000</v>
      </c>
    </row>
    <row r="2127" customFormat="false" ht="15" hidden="false" customHeight="false" outlineLevel="0" collapsed="false">
      <c r="A2127" s="2" t="s">
        <v>1958</v>
      </c>
      <c r="B2127" s="13" t="n">
        <v>46292</v>
      </c>
      <c r="C2127" s="2" t="s">
        <v>81</v>
      </c>
      <c r="D2127" s="2" t="n">
        <v>2</v>
      </c>
      <c r="E2127" s="14" t="s">
        <v>1468</v>
      </c>
      <c r="F2127" s="7" t="n">
        <v>15000</v>
      </c>
    </row>
    <row r="2128" customFormat="false" ht="15" hidden="false" customHeight="false" outlineLevel="0" collapsed="false">
      <c r="A2128" s="2" t="s">
        <v>1959</v>
      </c>
      <c r="B2128" s="13" t="n">
        <v>46292</v>
      </c>
      <c r="C2128" s="2" t="s">
        <v>81</v>
      </c>
      <c r="D2128" s="2" t="n">
        <v>1</v>
      </c>
      <c r="E2128" s="14" t="s">
        <v>1286</v>
      </c>
      <c r="F2128" s="7" t="n">
        <v>15000</v>
      </c>
    </row>
    <row r="2129" customFormat="false" ht="15" hidden="false" customHeight="false" outlineLevel="0" collapsed="false">
      <c r="A2129" s="2" t="s">
        <v>1960</v>
      </c>
      <c r="B2129" s="13" t="n">
        <v>46292</v>
      </c>
      <c r="C2129" s="2" t="s">
        <v>89</v>
      </c>
      <c r="D2129" s="2" t="n">
        <v>1</v>
      </c>
      <c r="E2129" s="14" t="s">
        <v>1672</v>
      </c>
      <c r="F2129" s="7" t="n">
        <v>14000</v>
      </c>
    </row>
    <row r="2130" customFormat="false" ht="15" hidden="false" customHeight="false" outlineLevel="0" collapsed="false">
      <c r="A2130" s="2" t="s">
        <v>1961</v>
      </c>
      <c r="B2130" s="13" t="n">
        <v>46292</v>
      </c>
      <c r="C2130" s="2" t="s">
        <v>92</v>
      </c>
      <c r="D2130" s="2" t="n">
        <v>3</v>
      </c>
      <c r="E2130" s="14" t="s">
        <v>1472</v>
      </c>
      <c r="F2130" s="7" t="n">
        <v>4000</v>
      </c>
    </row>
    <row r="2131" customFormat="false" ht="15" hidden="false" customHeight="false" outlineLevel="0" collapsed="false">
      <c r="A2131" s="2" t="s">
        <v>1962</v>
      </c>
      <c r="B2131" s="13" t="n">
        <v>46292</v>
      </c>
      <c r="C2131" s="2" t="s">
        <v>101</v>
      </c>
      <c r="D2131" s="2" t="n">
        <v>1</v>
      </c>
      <c r="E2131" s="14" t="s">
        <v>572</v>
      </c>
      <c r="F2131" s="7" t="n">
        <v>18000</v>
      </c>
    </row>
    <row r="2132" customFormat="false" ht="15" hidden="false" customHeight="false" outlineLevel="0" collapsed="false">
      <c r="A2132" s="2" t="s">
        <v>1962</v>
      </c>
      <c r="B2132" s="13" t="n">
        <v>46292</v>
      </c>
      <c r="C2132" s="2" t="s">
        <v>89</v>
      </c>
      <c r="D2132" s="2" t="n">
        <v>2</v>
      </c>
      <c r="E2132" s="14" t="s">
        <v>572</v>
      </c>
      <c r="F2132" s="7" t="n">
        <v>14000</v>
      </c>
    </row>
    <row r="2133" customFormat="false" ht="15" hidden="false" customHeight="false" outlineLevel="0" collapsed="false">
      <c r="A2133" s="2" t="s">
        <v>1962</v>
      </c>
      <c r="B2133" s="13" t="n">
        <v>46292</v>
      </c>
      <c r="C2133" s="2" t="s">
        <v>112</v>
      </c>
      <c r="D2133" s="2" t="n">
        <v>1</v>
      </c>
      <c r="E2133" s="14" t="s">
        <v>572</v>
      </c>
      <c r="F2133" s="7" t="n">
        <v>10000</v>
      </c>
    </row>
    <row r="2134" customFormat="false" ht="15" hidden="false" customHeight="false" outlineLevel="0" collapsed="false">
      <c r="A2134" s="2" t="s">
        <v>1963</v>
      </c>
      <c r="B2134" s="13" t="n">
        <v>46292</v>
      </c>
      <c r="C2134" s="2" t="s">
        <v>89</v>
      </c>
      <c r="D2134" s="2" t="n">
        <v>1</v>
      </c>
      <c r="E2134" s="14" t="s">
        <v>1964</v>
      </c>
      <c r="F2134" s="7" t="n">
        <v>14000</v>
      </c>
    </row>
    <row r="2135" customFormat="false" ht="15" hidden="false" customHeight="false" outlineLevel="0" collapsed="false">
      <c r="A2135" s="2" t="s">
        <v>1965</v>
      </c>
      <c r="B2135" s="13" t="n">
        <v>46292</v>
      </c>
      <c r="C2135" s="2" t="s">
        <v>82</v>
      </c>
      <c r="D2135" s="2" t="n">
        <v>2</v>
      </c>
      <c r="E2135" s="14" t="s">
        <v>1966</v>
      </c>
      <c r="F2135" s="7" t="n">
        <v>13000</v>
      </c>
    </row>
    <row r="2136" customFormat="false" ht="15" hidden="false" customHeight="false" outlineLevel="0" collapsed="false">
      <c r="A2136" s="2" t="s">
        <v>1965</v>
      </c>
      <c r="B2136" s="13" t="n">
        <v>46292</v>
      </c>
      <c r="C2136" s="2" t="s">
        <v>112</v>
      </c>
      <c r="D2136" s="2" t="n">
        <v>1</v>
      </c>
      <c r="E2136" s="14" t="s">
        <v>1966</v>
      </c>
      <c r="F2136" s="7" t="n">
        <v>10000</v>
      </c>
    </row>
    <row r="2137" customFormat="false" ht="15" hidden="false" customHeight="false" outlineLevel="0" collapsed="false">
      <c r="A2137" s="2" t="s">
        <v>1967</v>
      </c>
      <c r="B2137" s="13" t="n">
        <v>46292</v>
      </c>
      <c r="C2137" s="2" t="s">
        <v>79</v>
      </c>
      <c r="D2137" s="2" t="n">
        <v>1</v>
      </c>
      <c r="E2137" s="14" t="s">
        <v>1055</v>
      </c>
      <c r="F2137" s="7" t="n">
        <v>16000</v>
      </c>
    </row>
    <row r="2138" customFormat="false" ht="15" hidden="false" customHeight="false" outlineLevel="0" collapsed="false">
      <c r="A2138" s="2" t="s">
        <v>1967</v>
      </c>
      <c r="B2138" s="13" t="n">
        <v>46292</v>
      </c>
      <c r="C2138" s="2" t="s">
        <v>89</v>
      </c>
      <c r="D2138" s="2" t="n">
        <v>1</v>
      </c>
      <c r="E2138" s="14" t="s">
        <v>1055</v>
      </c>
      <c r="F2138" s="7" t="n">
        <v>14000</v>
      </c>
    </row>
    <row r="2139" customFormat="false" ht="15" hidden="false" customHeight="false" outlineLevel="0" collapsed="false">
      <c r="A2139" s="2" t="s">
        <v>1967</v>
      </c>
      <c r="B2139" s="13" t="n">
        <v>46292</v>
      </c>
      <c r="C2139" s="2" t="s">
        <v>132</v>
      </c>
      <c r="D2139" s="2" t="n">
        <v>1</v>
      </c>
      <c r="E2139" s="14" t="s">
        <v>1055</v>
      </c>
      <c r="F2139" s="7" t="n">
        <v>15000</v>
      </c>
    </row>
    <row r="2140" customFormat="false" ht="15" hidden="false" customHeight="false" outlineLevel="0" collapsed="false">
      <c r="A2140" s="2" t="s">
        <v>1968</v>
      </c>
      <c r="B2140" s="13" t="n">
        <v>46292</v>
      </c>
      <c r="C2140" s="2" t="s">
        <v>108</v>
      </c>
      <c r="D2140" s="2" t="n">
        <v>2</v>
      </c>
      <c r="E2140" s="14" t="s">
        <v>1969</v>
      </c>
      <c r="F2140" s="7" t="n">
        <v>20000</v>
      </c>
    </row>
    <row r="2141" customFormat="false" ht="15" hidden="false" customHeight="false" outlineLevel="0" collapsed="false">
      <c r="A2141" s="2" t="s">
        <v>1970</v>
      </c>
      <c r="B2141" s="13" t="n">
        <v>46292</v>
      </c>
      <c r="C2141" s="2" t="s">
        <v>84</v>
      </c>
      <c r="D2141" s="2" t="n">
        <v>2</v>
      </c>
      <c r="E2141" s="14" t="s">
        <v>666</v>
      </c>
      <c r="F2141" s="7" t="n">
        <v>5000</v>
      </c>
    </row>
    <row r="2142" customFormat="false" ht="15" hidden="false" customHeight="false" outlineLevel="0" collapsed="false">
      <c r="A2142" s="2" t="s">
        <v>1970</v>
      </c>
      <c r="B2142" s="13" t="n">
        <v>46292</v>
      </c>
      <c r="C2142" s="2" t="s">
        <v>108</v>
      </c>
      <c r="D2142" s="2" t="n">
        <v>1</v>
      </c>
      <c r="E2142" s="14" t="s">
        <v>666</v>
      </c>
      <c r="F2142" s="7" t="n">
        <v>20000</v>
      </c>
    </row>
    <row r="2143" customFormat="false" ht="15" hidden="false" customHeight="false" outlineLevel="0" collapsed="false">
      <c r="A2143" s="2" t="s">
        <v>1971</v>
      </c>
      <c r="B2143" s="13" t="n">
        <v>46292</v>
      </c>
      <c r="C2143" s="2" t="s">
        <v>112</v>
      </c>
      <c r="D2143" s="2" t="n">
        <v>1</v>
      </c>
      <c r="E2143" s="14" t="s">
        <v>499</v>
      </c>
      <c r="F2143" s="7" t="n">
        <v>10000</v>
      </c>
    </row>
    <row r="2144" customFormat="false" ht="15" hidden="false" customHeight="false" outlineLevel="0" collapsed="false">
      <c r="A2144" s="2" t="s">
        <v>1972</v>
      </c>
      <c r="B2144" s="13" t="n">
        <v>46292</v>
      </c>
      <c r="C2144" s="2" t="s">
        <v>84</v>
      </c>
      <c r="D2144" s="2" t="n">
        <v>2</v>
      </c>
      <c r="E2144" s="14" t="s">
        <v>499</v>
      </c>
      <c r="F2144" s="7" t="n">
        <v>5000</v>
      </c>
    </row>
    <row r="2145" customFormat="false" ht="15" hidden="false" customHeight="false" outlineLevel="0" collapsed="false">
      <c r="A2145" s="2" t="s">
        <v>1973</v>
      </c>
      <c r="B2145" s="13" t="n">
        <v>46292</v>
      </c>
      <c r="C2145" s="2" t="s">
        <v>84</v>
      </c>
      <c r="D2145" s="2" t="n">
        <v>1</v>
      </c>
      <c r="E2145" s="14" t="s">
        <v>499</v>
      </c>
      <c r="F2145" s="7" t="n">
        <v>5000</v>
      </c>
    </row>
    <row r="2146" customFormat="false" ht="15" hidden="false" customHeight="false" outlineLevel="0" collapsed="false">
      <c r="A2146" s="2" t="s">
        <v>1974</v>
      </c>
      <c r="B2146" s="13" t="n">
        <v>46292</v>
      </c>
      <c r="C2146" s="2" t="s">
        <v>81</v>
      </c>
      <c r="D2146" s="2" t="n">
        <v>1</v>
      </c>
      <c r="E2146" s="14" t="s">
        <v>903</v>
      </c>
      <c r="F2146" s="7" t="n">
        <v>15000</v>
      </c>
    </row>
    <row r="2147" customFormat="false" ht="15" hidden="false" customHeight="false" outlineLevel="0" collapsed="false">
      <c r="A2147" s="2" t="s">
        <v>1975</v>
      </c>
      <c r="B2147" s="13" t="n">
        <v>46292</v>
      </c>
      <c r="C2147" s="2" t="s">
        <v>81</v>
      </c>
      <c r="D2147" s="2" t="n">
        <v>1</v>
      </c>
      <c r="E2147" s="14" t="s">
        <v>1907</v>
      </c>
      <c r="F2147" s="7" t="n">
        <v>15000</v>
      </c>
    </row>
    <row r="2148" customFormat="false" ht="15" hidden="false" customHeight="false" outlineLevel="0" collapsed="false">
      <c r="A2148" s="2" t="s">
        <v>1976</v>
      </c>
      <c r="B2148" s="13" t="n">
        <v>46292</v>
      </c>
      <c r="C2148" s="2" t="s">
        <v>186</v>
      </c>
      <c r="D2148" s="2" t="n">
        <v>1</v>
      </c>
      <c r="E2148" s="14" t="s">
        <v>673</v>
      </c>
      <c r="F2148" s="7" t="n">
        <v>7000</v>
      </c>
    </row>
    <row r="2149" customFormat="false" ht="15" hidden="false" customHeight="false" outlineLevel="0" collapsed="false">
      <c r="A2149" s="2" t="s">
        <v>1977</v>
      </c>
      <c r="B2149" s="13" t="n">
        <v>46292</v>
      </c>
      <c r="C2149" s="2" t="s">
        <v>84</v>
      </c>
      <c r="D2149" s="2" t="n">
        <v>1</v>
      </c>
      <c r="E2149" s="14" t="s">
        <v>230</v>
      </c>
      <c r="F2149" s="7" t="n">
        <v>5000</v>
      </c>
    </row>
    <row r="2150" customFormat="false" ht="15" hidden="false" customHeight="false" outlineLevel="0" collapsed="false">
      <c r="A2150" s="2" t="s">
        <v>1977</v>
      </c>
      <c r="B2150" s="13" t="n">
        <v>46292</v>
      </c>
      <c r="C2150" s="2" t="s">
        <v>82</v>
      </c>
      <c r="D2150" s="2" t="n">
        <v>1</v>
      </c>
      <c r="E2150" s="14" t="s">
        <v>230</v>
      </c>
      <c r="F2150" s="7" t="n">
        <v>13000</v>
      </c>
    </row>
    <row r="2151" customFormat="false" ht="15" hidden="false" customHeight="false" outlineLevel="0" collapsed="false">
      <c r="A2151" s="2" t="s">
        <v>1977</v>
      </c>
      <c r="B2151" s="13" t="n">
        <v>46292</v>
      </c>
      <c r="C2151" s="2" t="s">
        <v>108</v>
      </c>
      <c r="D2151" s="2" t="n">
        <v>1</v>
      </c>
      <c r="E2151" s="14" t="s">
        <v>230</v>
      </c>
      <c r="F2151" s="7" t="n">
        <v>20000</v>
      </c>
    </row>
    <row r="2152" customFormat="false" ht="15" hidden="false" customHeight="false" outlineLevel="0" collapsed="false">
      <c r="A2152" s="2" t="s">
        <v>1978</v>
      </c>
      <c r="B2152" s="13" t="n">
        <v>46292</v>
      </c>
      <c r="C2152" s="2" t="s">
        <v>126</v>
      </c>
      <c r="D2152" s="2" t="n">
        <v>1</v>
      </c>
      <c r="E2152" s="14" t="s">
        <v>318</v>
      </c>
      <c r="F2152" s="7" t="n">
        <v>3000</v>
      </c>
    </row>
    <row r="2153" customFormat="false" ht="15" hidden="false" customHeight="false" outlineLevel="0" collapsed="false">
      <c r="A2153" s="2" t="s">
        <v>1978</v>
      </c>
      <c r="B2153" s="13" t="n">
        <v>46292</v>
      </c>
      <c r="C2153" s="2" t="s">
        <v>84</v>
      </c>
      <c r="D2153" s="2" t="n">
        <v>1</v>
      </c>
      <c r="E2153" s="14" t="s">
        <v>318</v>
      </c>
      <c r="F2153" s="7" t="n">
        <v>5000</v>
      </c>
    </row>
    <row r="2154" customFormat="false" ht="15" hidden="false" customHeight="false" outlineLevel="0" collapsed="false">
      <c r="A2154" s="2" t="s">
        <v>1979</v>
      </c>
      <c r="B2154" s="13" t="n">
        <v>46292</v>
      </c>
      <c r="C2154" s="2" t="s">
        <v>79</v>
      </c>
      <c r="D2154" s="2" t="n">
        <v>1</v>
      </c>
      <c r="E2154" s="14" t="s">
        <v>908</v>
      </c>
      <c r="F2154" s="7" t="n">
        <v>16000</v>
      </c>
    </row>
    <row r="2155" customFormat="false" ht="15" hidden="false" customHeight="false" outlineLevel="0" collapsed="false">
      <c r="A2155" s="2" t="s">
        <v>1979</v>
      </c>
      <c r="B2155" s="13" t="n">
        <v>46292</v>
      </c>
      <c r="C2155" s="2" t="s">
        <v>84</v>
      </c>
      <c r="D2155" s="2" t="n">
        <v>1</v>
      </c>
      <c r="E2155" s="14" t="s">
        <v>1980</v>
      </c>
      <c r="F2155" s="7" t="n">
        <v>5000</v>
      </c>
    </row>
    <row r="2156" customFormat="false" ht="15" hidden="false" customHeight="false" outlineLevel="0" collapsed="false">
      <c r="A2156" s="2" t="s">
        <v>1981</v>
      </c>
      <c r="B2156" s="13" t="n">
        <v>46292</v>
      </c>
      <c r="C2156" s="2" t="s">
        <v>81</v>
      </c>
      <c r="D2156" s="2" t="n">
        <v>2</v>
      </c>
      <c r="E2156" s="14" t="s">
        <v>677</v>
      </c>
      <c r="F2156" s="7" t="n">
        <v>15000</v>
      </c>
    </row>
    <row r="2157" customFormat="false" ht="15" hidden="false" customHeight="false" outlineLevel="0" collapsed="false">
      <c r="A2157" s="2" t="s">
        <v>1981</v>
      </c>
      <c r="B2157" s="13" t="n">
        <v>46292</v>
      </c>
      <c r="C2157" s="2" t="s">
        <v>92</v>
      </c>
      <c r="D2157" s="2" t="n">
        <v>2</v>
      </c>
      <c r="E2157" s="14" t="s">
        <v>677</v>
      </c>
      <c r="F2157" s="7" t="n">
        <v>4000</v>
      </c>
    </row>
    <row r="2158" customFormat="false" ht="15" hidden="false" customHeight="false" outlineLevel="0" collapsed="false">
      <c r="A2158" s="2" t="s">
        <v>1981</v>
      </c>
      <c r="B2158" s="13" t="n">
        <v>46292</v>
      </c>
      <c r="C2158" s="2" t="s">
        <v>84</v>
      </c>
      <c r="D2158" s="2" t="n">
        <v>1</v>
      </c>
      <c r="E2158" s="14" t="s">
        <v>677</v>
      </c>
      <c r="F2158" s="7" t="n">
        <v>5000</v>
      </c>
    </row>
    <row r="2159" customFormat="false" ht="15" hidden="false" customHeight="false" outlineLevel="0" collapsed="false">
      <c r="A2159" s="2" t="s">
        <v>1982</v>
      </c>
      <c r="B2159" s="13" t="n">
        <v>46292</v>
      </c>
      <c r="C2159" s="2" t="s">
        <v>186</v>
      </c>
      <c r="D2159" s="2" t="n">
        <v>2</v>
      </c>
      <c r="E2159" s="14" t="s">
        <v>1489</v>
      </c>
      <c r="F2159" s="7" t="n">
        <v>7000</v>
      </c>
    </row>
    <row r="2160" customFormat="false" ht="15" hidden="false" customHeight="false" outlineLevel="0" collapsed="false">
      <c r="A2160" s="2" t="s">
        <v>1983</v>
      </c>
      <c r="B2160" s="13" t="n">
        <v>46292</v>
      </c>
      <c r="C2160" s="2" t="s">
        <v>108</v>
      </c>
      <c r="D2160" s="2" t="n">
        <v>1</v>
      </c>
      <c r="E2160" s="14" t="s">
        <v>243</v>
      </c>
      <c r="F2160" s="7" t="n">
        <v>20000</v>
      </c>
    </row>
    <row r="2161" customFormat="false" ht="15" hidden="false" customHeight="false" outlineLevel="0" collapsed="false">
      <c r="A2161" s="2" t="s">
        <v>1983</v>
      </c>
      <c r="B2161" s="13" t="n">
        <v>46292</v>
      </c>
      <c r="C2161" s="2" t="s">
        <v>186</v>
      </c>
      <c r="D2161" s="2" t="n">
        <v>2</v>
      </c>
      <c r="E2161" s="14" t="s">
        <v>243</v>
      </c>
      <c r="F2161" s="7" t="n">
        <v>7000</v>
      </c>
    </row>
    <row r="2162" customFormat="false" ht="15" hidden="false" customHeight="false" outlineLevel="0" collapsed="false">
      <c r="A2162" s="2" t="s">
        <v>1984</v>
      </c>
      <c r="B2162" s="13" t="n">
        <v>46292</v>
      </c>
      <c r="C2162" s="2" t="s">
        <v>84</v>
      </c>
      <c r="D2162" s="2" t="n">
        <v>1</v>
      </c>
      <c r="E2162" s="14" t="s">
        <v>826</v>
      </c>
      <c r="F2162" s="7" t="n">
        <v>5000</v>
      </c>
    </row>
    <row r="2163" customFormat="false" ht="15" hidden="false" customHeight="false" outlineLevel="0" collapsed="false">
      <c r="A2163" s="2" t="s">
        <v>1984</v>
      </c>
      <c r="B2163" s="13" t="n">
        <v>46292</v>
      </c>
      <c r="C2163" s="2" t="s">
        <v>84</v>
      </c>
      <c r="D2163" s="2" t="n">
        <v>1</v>
      </c>
      <c r="E2163" s="14" t="s">
        <v>826</v>
      </c>
      <c r="F2163" s="7" t="n">
        <v>5000</v>
      </c>
    </row>
    <row r="2164" customFormat="false" ht="15" hidden="false" customHeight="false" outlineLevel="0" collapsed="false">
      <c r="A2164" s="2" t="s">
        <v>1985</v>
      </c>
      <c r="B2164" s="13" t="n">
        <v>46292</v>
      </c>
      <c r="C2164" s="2" t="s">
        <v>126</v>
      </c>
      <c r="D2164" s="2" t="n">
        <v>1</v>
      </c>
      <c r="E2164" s="14" t="s">
        <v>829</v>
      </c>
      <c r="F2164" s="7" t="n">
        <v>3000</v>
      </c>
    </row>
    <row r="2165" customFormat="false" ht="15" hidden="false" customHeight="false" outlineLevel="0" collapsed="false">
      <c r="A2165" s="2" t="s">
        <v>1985</v>
      </c>
      <c r="B2165" s="13" t="n">
        <v>46292</v>
      </c>
      <c r="C2165" s="2" t="s">
        <v>89</v>
      </c>
      <c r="D2165" s="2" t="n">
        <v>1</v>
      </c>
      <c r="E2165" s="14" t="s">
        <v>829</v>
      </c>
      <c r="F2165" s="7" t="n">
        <v>14000</v>
      </c>
    </row>
    <row r="2166" customFormat="false" ht="15" hidden="false" customHeight="false" outlineLevel="0" collapsed="false">
      <c r="A2166" s="2" t="s">
        <v>1986</v>
      </c>
      <c r="B2166" s="13" t="n">
        <v>46292</v>
      </c>
      <c r="C2166" s="2" t="s">
        <v>101</v>
      </c>
      <c r="D2166" s="2" t="n">
        <v>2</v>
      </c>
      <c r="E2166" s="14" t="s">
        <v>409</v>
      </c>
      <c r="F2166" s="7" t="n">
        <v>18000</v>
      </c>
    </row>
    <row r="2167" customFormat="false" ht="15" hidden="false" customHeight="false" outlineLevel="0" collapsed="false">
      <c r="A2167" s="2" t="s">
        <v>1987</v>
      </c>
      <c r="B2167" s="13" t="n">
        <v>46292</v>
      </c>
      <c r="C2167" s="2" t="s">
        <v>81</v>
      </c>
      <c r="D2167" s="2" t="n">
        <v>2</v>
      </c>
      <c r="E2167" s="14" t="s">
        <v>411</v>
      </c>
      <c r="F2167" s="7" t="n">
        <v>15000</v>
      </c>
    </row>
    <row r="2168" customFormat="false" ht="15" hidden="false" customHeight="false" outlineLevel="0" collapsed="false">
      <c r="A2168" s="2" t="s">
        <v>1987</v>
      </c>
      <c r="B2168" s="13" t="n">
        <v>46292</v>
      </c>
      <c r="C2168" s="2" t="s">
        <v>81</v>
      </c>
      <c r="D2168" s="2" t="n">
        <v>2</v>
      </c>
      <c r="E2168" s="14" t="s">
        <v>411</v>
      </c>
      <c r="F2168" s="7" t="n">
        <v>15000</v>
      </c>
    </row>
    <row r="2169" customFormat="false" ht="15" hidden="false" customHeight="false" outlineLevel="0" collapsed="false">
      <c r="A2169" s="2" t="s">
        <v>1987</v>
      </c>
      <c r="B2169" s="13" t="n">
        <v>46292</v>
      </c>
      <c r="C2169" s="2" t="s">
        <v>132</v>
      </c>
      <c r="D2169" s="2" t="n">
        <v>1</v>
      </c>
      <c r="E2169" s="14" t="s">
        <v>411</v>
      </c>
      <c r="F2169" s="7" t="n">
        <v>15000</v>
      </c>
    </row>
    <row r="2170" customFormat="false" ht="15" hidden="false" customHeight="false" outlineLevel="0" collapsed="false">
      <c r="A2170" s="2" t="s">
        <v>1987</v>
      </c>
      <c r="B2170" s="13" t="n">
        <v>46292</v>
      </c>
      <c r="C2170" s="2" t="s">
        <v>112</v>
      </c>
      <c r="D2170" s="2" t="n">
        <v>1</v>
      </c>
      <c r="E2170" s="14" t="s">
        <v>411</v>
      </c>
      <c r="F2170" s="7" t="n">
        <v>10000</v>
      </c>
    </row>
    <row r="2171" customFormat="false" ht="15" hidden="false" customHeight="false" outlineLevel="0" collapsed="false">
      <c r="A2171" s="2" t="s">
        <v>1988</v>
      </c>
      <c r="B2171" s="13" t="n">
        <v>46292</v>
      </c>
      <c r="C2171" s="2" t="s">
        <v>84</v>
      </c>
      <c r="D2171" s="2" t="n">
        <v>1</v>
      </c>
      <c r="E2171" s="14" t="s">
        <v>154</v>
      </c>
      <c r="F2171" s="7" t="n">
        <v>5000</v>
      </c>
    </row>
    <row r="2172" customFormat="false" ht="15" hidden="false" customHeight="false" outlineLevel="0" collapsed="false">
      <c r="A2172" s="2" t="s">
        <v>1989</v>
      </c>
      <c r="B2172" s="13" t="n">
        <v>46292</v>
      </c>
      <c r="C2172" s="2" t="s">
        <v>132</v>
      </c>
      <c r="D2172" s="2" t="n">
        <v>1</v>
      </c>
      <c r="E2172" s="14" t="s">
        <v>1134</v>
      </c>
      <c r="F2172" s="7" t="n">
        <v>15000</v>
      </c>
    </row>
    <row r="2173" customFormat="false" ht="15" hidden="false" customHeight="false" outlineLevel="0" collapsed="false">
      <c r="A2173" s="2" t="s">
        <v>1989</v>
      </c>
      <c r="B2173" s="13" t="n">
        <v>46292</v>
      </c>
      <c r="C2173" s="2" t="s">
        <v>84</v>
      </c>
      <c r="D2173" s="2" t="n">
        <v>1</v>
      </c>
      <c r="E2173" s="14" t="s">
        <v>1134</v>
      </c>
      <c r="F2173" s="7" t="n">
        <v>5000</v>
      </c>
    </row>
    <row r="2174" customFormat="false" ht="15" hidden="false" customHeight="false" outlineLevel="0" collapsed="false">
      <c r="A2174" s="2" t="s">
        <v>1989</v>
      </c>
      <c r="B2174" s="13" t="n">
        <v>46292</v>
      </c>
      <c r="C2174" s="2" t="s">
        <v>112</v>
      </c>
      <c r="D2174" s="2" t="n">
        <v>2</v>
      </c>
      <c r="E2174" s="14" t="s">
        <v>1134</v>
      </c>
      <c r="F2174" s="7" t="n">
        <v>10000</v>
      </c>
    </row>
    <row r="2175" customFormat="false" ht="15" hidden="false" customHeight="false" outlineLevel="0" collapsed="false">
      <c r="A2175" s="2" t="s">
        <v>1990</v>
      </c>
      <c r="B2175" s="13" t="n">
        <v>46292</v>
      </c>
      <c r="C2175" s="2" t="s">
        <v>84</v>
      </c>
      <c r="D2175" s="2" t="n">
        <v>1</v>
      </c>
      <c r="E2175" s="14" t="s">
        <v>523</v>
      </c>
      <c r="F2175" s="7" t="n">
        <v>5000</v>
      </c>
    </row>
    <row r="2176" customFormat="false" ht="15" hidden="false" customHeight="false" outlineLevel="0" collapsed="false">
      <c r="A2176" s="2" t="s">
        <v>1990</v>
      </c>
      <c r="B2176" s="13" t="n">
        <v>46292</v>
      </c>
      <c r="C2176" s="2" t="s">
        <v>89</v>
      </c>
      <c r="D2176" s="2" t="n">
        <v>1</v>
      </c>
      <c r="E2176" s="14" t="s">
        <v>523</v>
      </c>
      <c r="F2176" s="7" t="n">
        <v>14000</v>
      </c>
    </row>
    <row r="2177" customFormat="false" ht="15" hidden="false" customHeight="false" outlineLevel="0" collapsed="false">
      <c r="A2177" s="2" t="s">
        <v>1991</v>
      </c>
      <c r="B2177" s="13" t="n">
        <v>46292</v>
      </c>
      <c r="C2177" s="2" t="s">
        <v>81</v>
      </c>
      <c r="D2177" s="2" t="n">
        <v>1</v>
      </c>
      <c r="E2177" s="14" t="s">
        <v>162</v>
      </c>
      <c r="F2177" s="7" t="n">
        <v>15000</v>
      </c>
    </row>
    <row r="2178" customFormat="false" ht="15" hidden="false" customHeight="false" outlineLevel="0" collapsed="false">
      <c r="A2178" s="2" t="s">
        <v>1992</v>
      </c>
      <c r="B2178" s="13" t="n">
        <v>46292</v>
      </c>
      <c r="C2178" s="2" t="s">
        <v>101</v>
      </c>
      <c r="D2178" s="2" t="n">
        <v>2</v>
      </c>
      <c r="E2178" s="14" t="s">
        <v>1993</v>
      </c>
      <c r="F2178" s="7" t="n">
        <v>18000</v>
      </c>
    </row>
    <row r="2179" customFormat="false" ht="15" hidden="false" customHeight="false" outlineLevel="0" collapsed="false">
      <c r="A2179" s="2" t="s">
        <v>1992</v>
      </c>
      <c r="B2179" s="13" t="n">
        <v>46292</v>
      </c>
      <c r="C2179" s="2" t="s">
        <v>89</v>
      </c>
      <c r="D2179" s="2" t="n">
        <v>1</v>
      </c>
      <c r="E2179" s="14" t="s">
        <v>1993</v>
      </c>
      <c r="F2179" s="7" t="n">
        <v>14000</v>
      </c>
    </row>
    <row r="2180" customFormat="false" ht="15" hidden="false" customHeight="false" outlineLevel="0" collapsed="false">
      <c r="A2180" s="2" t="s">
        <v>1994</v>
      </c>
      <c r="B2180" s="13" t="n">
        <v>46292</v>
      </c>
      <c r="C2180" s="2" t="s">
        <v>84</v>
      </c>
      <c r="D2180" s="2" t="n">
        <v>1</v>
      </c>
      <c r="E2180" s="14" t="s">
        <v>1995</v>
      </c>
      <c r="F2180" s="7" t="n">
        <v>5000</v>
      </c>
    </row>
    <row r="2181" customFormat="false" ht="15" hidden="false" customHeight="false" outlineLevel="0" collapsed="false">
      <c r="A2181" s="2" t="s">
        <v>1994</v>
      </c>
      <c r="B2181" s="13" t="n">
        <v>46292</v>
      </c>
      <c r="C2181" s="2" t="s">
        <v>89</v>
      </c>
      <c r="D2181" s="2" t="n">
        <v>1</v>
      </c>
      <c r="E2181" s="14" t="s">
        <v>1995</v>
      </c>
      <c r="F2181" s="7" t="n">
        <v>14000</v>
      </c>
    </row>
    <row r="2182" customFormat="false" ht="15" hidden="false" customHeight="false" outlineLevel="0" collapsed="false">
      <c r="A2182" s="2" t="s">
        <v>1996</v>
      </c>
      <c r="B2182" s="13" t="n">
        <v>46292</v>
      </c>
      <c r="C2182" s="2" t="s">
        <v>82</v>
      </c>
      <c r="D2182" s="2" t="n">
        <v>1</v>
      </c>
      <c r="E2182" s="14" t="s">
        <v>1997</v>
      </c>
      <c r="F2182" s="7" t="n">
        <v>13000</v>
      </c>
    </row>
    <row r="2183" customFormat="false" ht="15" hidden="false" customHeight="false" outlineLevel="0" collapsed="false">
      <c r="A2183" s="2" t="s">
        <v>1998</v>
      </c>
      <c r="B2183" s="13" t="n">
        <v>46292</v>
      </c>
      <c r="C2183" s="2" t="s">
        <v>186</v>
      </c>
      <c r="D2183" s="2" t="n">
        <v>1</v>
      </c>
      <c r="E2183" s="14" t="s">
        <v>1999</v>
      </c>
      <c r="F2183" s="7" t="n">
        <v>7000</v>
      </c>
    </row>
    <row r="2184" customFormat="false" ht="15" hidden="false" customHeight="false" outlineLevel="0" collapsed="false">
      <c r="A2184" s="2" t="s">
        <v>2000</v>
      </c>
      <c r="B2184" s="13" t="n">
        <v>46293</v>
      </c>
      <c r="C2184" s="2" t="s">
        <v>81</v>
      </c>
      <c r="D2184" s="2" t="n">
        <v>1</v>
      </c>
      <c r="E2184" s="14" t="s">
        <v>2001</v>
      </c>
      <c r="F2184" s="7" t="n">
        <v>15000</v>
      </c>
    </row>
    <row r="2185" customFormat="false" ht="15" hidden="false" customHeight="false" outlineLevel="0" collapsed="false">
      <c r="A2185" s="2" t="s">
        <v>2002</v>
      </c>
      <c r="B2185" s="13" t="n">
        <v>46293</v>
      </c>
      <c r="C2185" s="2" t="s">
        <v>132</v>
      </c>
      <c r="D2185" s="2" t="n">
        <v>2</v>
      </c>
      <c r="E2185" s="14" t="s">
        <v>1705</v>
      </c>
      <c r="F2185" s="7" t="n">
        <v>15000</v>
      </c>
    </row>
    <row r="2186" customFormat="false" ht="15" hidden="false" customHeight="false" outlineLevel="0" collapsed="false">
      <c r="A2186" s="2" t="s">
        <v>2003</v>
      </c>
      <c r="B2186" s="13" t="n">
        <v>46293</v>
      </c>
      <c r="C2186" s="2" t="s">
        <v>186</v>
      </c>
      <c r="D2186" s="2" t="n">
        <v>1</v>
      </c>
      <c r="E2186" s="14" t="s">
        <v>843</v>
      </c>
      <c r="F2186" s="7" t="n">
        <v>7000</v>
      </c>
    </row>
    <row r="2187" customFormat="false" ht="15" hidden="false" customHeight="false" outlineLevel="0" collapsed="false">
      <c r="A2187" s="2" t="s">
        <v>2003</v>
      </c>
      <c r="B2187" s="13" t="n">
        <v>46293</v>
      </c>
      <c r="C2187" s="2" t="s">
        <v>79</v>
      </c>
      <c r="D2187" s="2" t="n">
        <v>1</v>
      </c>
      <c r="E2187" s="14" t="s">
        <v>843</v>
      </c>
      <c r="F2187" s="7" t="n">
        <v>16000</v>
      </c>
    </row>
    <row r="2188" customFormat="false" ht="15" hidden="false" customHeight="false" outlineLevel="0" collapsed="false">
      <c r="A2188" s="2" t="s">
        <v>2004</v>
      </c>
      <c r="B2188" s="13" t="n">
        <v>46293</v>
      </c>
      <c r="C2188" s="2" t="s">
        <v>89</v>
      </c>
      <c r="D2188" s="2" t="n">
        <v>1</v>
      </c>
      <c r="E2188" s="14" t="s">
        <v>173</v>
      </c>
      <c r="F2188" s="7" t="n">
        <v>14000</v>
      </c>
    </row>
    <row r="2189" customFormat="false" ht="15" hidden="false" customHeight="false" outlineLevel="0" collapsed="false">
      <c r="A2189" s="2" t="s">
        <v>2004</v>
      </c>
      <c r="B2189" s="13" t="n">
        <v>46293</v>
      </c>
      <c r="C2189" s="2" t="s">
        <v>101</v>
      </c>
      <c r="D2189" s="2" t="n">
        <v>1</v>
      </c>
      <c r="E2189" s="14" t="s">
        <v>173</v>
      </c>
      <c r="F2189" s="7" t="n">
        <v>18000</v>
      </c>
    </row>
    <row r="2190" customFormat="false" ht="15" hidden="false" customHeight="false" outlineLevel="0" collapsed="false">
      <c r="A2190" s="2" t="s">
        <v>2005</v>
      </c>
      <c r="B2190" s="13" t="n">
        <v>46293</v>
      </c>
      <c r="C2190" s="2" t="s">
        <v>101</v>
      </c>
      <c r="D2190" s="2" t="n">
        <v>1</v>
      </c>
      <c r="E2190" s="14" t="s">
        <v>2006</v>
      </c>
      <c r="F2190" s="7" t="n">
        <v>18000</v>
      </c>
    </row>
    <row r="2191" customFormat="false" ht="15" hidden="false" customHeight="false" outlineLevel="0" collapsed="false">
      <c r="A2191" s="2" t="s">
        <v>2005</v>
      </c>
      <c r="B2191" s="13" t="n">
        <v>46293</v>
      </c>
      <c r="C2191" s="2" t="s">
        <v>81</v>
      </c>
      <c r="D2191" s="2" t="n">
        <v>2</v>
      </c>
      <c r="E2191" s="14" t="s">
        <v>2006</v>
      </c>
      <c r="F2191" s="7" t="n">
        <v>15000</v>
      </c>
    </row>
    <row r="2192" customFormat="false" ht="15" hidden="false" customHeight="false" outlineLevel="0" collapsed="false">
      <c r="A2192" s="2" t="s">
        <v>2007</v>
      </c>
      <c r="B2192" s="13" t="n">
        <v>46293</v>
      </c>
      <c r="C2192" s="2" t="s">
        <v>89</v>
      </c>
      <c r="D2192" s="2" t="n">
        <v>1</v>
      </c>
      <c r="E2192" s="14" t="s">
        <v>2008</v>
      </c>
      <c r="F2192" s="7" t="n">
        <v>14000</v>
      </c>
    </row>
    <row r="2193" customFormat="false" ht="15" hidden="false" customHeight="false" outlineLevel="0" collapsed="false">
      <c r="A2193" s="2" t="s">
        <v>2007</v>
      </c>
      <c r="B2193" s="13" t="n">
        <v>46293</v>
      </c>
      <c r="C2193" s="2" t="s">
        <v>101</v>
      </c>
      <c r="D2193" s="2" t="n">
        <v>1</v>
      </c>
      <c r="E2193" s="14" t="s">
        <v>2008</v>
      </c>
      <c r="F2193" s="7" t="n">
        <v>18000</v>
      </c>
    </row>
    <row r="2194" customFormat="false" ht="15" hidden="false" customHeight="false" outlineLevel="0" collapsed="false">
      <c r="A2194" s="2" t="s">
        <v>2009</v>
      </c>
      <c r="B2194" s="13" t="n">
        <v>46293</v>
      </c>
      <c r="C2194" s="2" t="s">
        <v>89</v>
      </c>
      <c r="D2194" s="2" t="n">
        <v>1</v>
      </c>
      <c r="E2194" s="14" t="s">
        <v>1870</v>
      </c>
      <c r="F2194" s="7" t="n">
        <v>14000</v>
      </c>
    </row>
    <row r="2195" customFormat="false" ht="15" hidden="false" customHeight="false" outlineLevel="0" collapsed="false">
      <c r="A2195" s="2" t="s">
        <v>2009</v>
      </c>
      <c r="B2195" s="13" t="n">
        <v>46293</v>
      </c>
      <c r="C2195" s="2" t="s">
        <v>79</v>
      </c>
      <c r="D2195" s="2" t="n">
        <v>1</v>
      </c>
      <c r="E2195" s="14" t="s">
        <v>1870</v>
      </c>
      <c r="F2195" s="7" t="n">
        <v>16000</v>
      </c>
    </row>
    <row r="2196" customFormat="false" ht="15" hidden="false" customHeight="false" outlineLevel="0" collapsed="false">
      <c r="A2196" s="2" t="s">
        <v>2009</v>
      </c>
      <c r="B2196" s="13" t="n">
        <v>46293</v>
      </c>
      <c r="C2196" s="2" t="s">
        <v>186</v>
      </c>
      <c r="D2196" s="2" t="n">
        <v>2</v>
      </c>
      <c r="E2196" s="14" t="s">
        <v>1870</v>
      </c>
      <c r="F2196" s="7" t="n">
        <v>7000</v>
      </c>
    </row>
    <row r="2197" customFormat="false" ht="15" hidden="false" customHeight="false" outlineLevel="0" collapsed="false">
      <c r="A2197" s="2" t="s">
        <v>2010</v>
      </c>
      <c r="B2197" s="13" t="n">
        <v>46293</v>
      </c>
      <c r="C2197" s="2" t="s">
        <v>89</v>
      </c>
      <c r="D2197" s="2" t="n">
        <v>2</v>
      </c>
      <c r="E2197" s="14" t="s">
        <v>926</v>
      </c>
      <c r="F2197" s="7" t="n">
        <v>14000</v>
      </c>
    </row>
    <row r="2198" customFormat="false" ht="15" hidden="false" customHeight="false" outlineLevel="0" collapsed="false">
      <c r="A2198" s="2" t="s">
        <v>2011</v>
      </c>
      <c r="B2198" s="13" t="n">
        <v>46293</v>
      </c>
      <c r="C2198" s="2" t="s">
        <v>186</v>
      </c>
      <c r="D2198" s="2" t="n">
        <v>1</v>
      </c>
      <c r="E2198" s="14" t="s">
        <v>2012</v>
      </c>
      <c r="F2198" s="7" t="n">
        <v>7000</v>
      </c>
    </row>
    <row r="2199" customFormat="false" ht="15" hidden="false" customHeight="false" outlineLevel="0" collapsed="false">
      <c r="A2199" s="2" t="s">
        <v>2013</v>
      </c>
      <c r="B2199" s="13" t="n">
        <v>46293</v>
      </c>
      <c r="C2199" s="2" t="s">
        <v>132</v>
      </c>
      <c r="D2199" s="2" t="n">
        <v>1</v>
      </c>
      <c r="E2199" s="14" t="s">
        <v>2014</v>
      </c>
      <c r="F2199" s="7" t="n">
        <v>15000</v>
      </c>
    </row>
    <row r="2200" customFormat="false" ht="15" hidden="false" customHeight="false" outlineLevel="0" collapsed="false">
      <c r="A2200" s="2" t="s">
        <v>2015</v>
      </c>
      <c r="B2200" s="13" t="n">
        <v>46293</v>
      </c>
      <c r="C2200" s="2" t="s">
        <v>89</v>
      </c>
      <c r="D2200" s="2" t="n">
        <v>1</v>
      </c>
      <c r="E2200" s="14" t="s">
        <v>179</v>
      </c>
      <c r="F2200" s="7" t="n">
        <v>14000</v>
      </c>
    </row>
    <row r="2201" customFormat="false" ht="15" hidden="false" customHeight="false" outlineLevel="0" collapsed="false">
      <c r="A2201" s="2" t="s">
        <v>2016</v>
      </c>
      <c r="B2201" s="13" t="n">
        <v>46293</v>
      </c>
      <c r="C2201" s="2" t="s">
        <v>101</v>
      </c>
      <c r="D2201" s="2" t="n">
        <v>1</v>
      </c>
      <c r="E2201" s="14" t="s">
        <v>1087</v>
      </c>
      <c r="F2201" s="7" t="n">
        <v>18000</v>
      </c>
    </row>
    <row r="2202" customFormat="false" ht="15" hidden="false" customHeight="false" outlineLevel="0" collapsed="false">
      <c r="A2202" s="2" t="s">
        <v>2016</v>
      </c>
      <c r="B2202" s="13" t="n">
        <v>46293</v>
      </c>
      <c r="C2202" s="2" t="s">
        <v>112</v>
      </c>
      <c r="D2202" s="2" t="n">
        <v>2</v>
      </c>
      <c r="E2202" s="14" t="s">
        <v>1087</v>
      </c>
      <c r="F2202" s="7" t="n">
        <v>10000</v>
      </c>
    </row>
    <row r="2203" customFormat="false" ht="15" hidden="false" customHeight="false" outlineLevel="0" collapsed="false">
      <c r="A2203" s="2" t="s">
        <v>2017</v>
      </c>
      <c r="B2203" s="13" t="n">
        <v>46293</v>
      </c>
      <c r="C2203" s="2" t="s">
        <v>108</v>
      </c>
      <c r="D2203" s="2" t="n">
        <v>2</v>
      </c>
      <c r="E2203" s="14" t="s">
        <v>933</v>
      </c>
      <c r="F2203" s="7" t="n">
        <v>20000</v>
      </c>
    </row>
    <row r="2204" customFormat="false" ht="15" hidden="false" customHeight="false" outlineLevel="0" collapsed="false">
      <c r="A2204" s="2" t="s">
        <v>2017</v>
      </c>
      <c r="B2204" s="13" t="n">
        <v>46293</v>
      </c>
      <c r="C2204" s="2" t="s">
        <v>81</v>
      </c>
      <c r="D2204" s="2" t="n">
        <v>1</v>
      </c>
      <c r="E2204" s="14" t="s">
        <v>933</v>
      </c>
      <c r="F2204" s="7" t="n">
        <v>15000</v>
      </c>
    </row>
    <row r="2205" customFormat="false" ht="15" hidden="false" customHeight="false" outlineLevel="0" collapsed="false">
      <c r="A2205" s="2" t="s">
        <v>2017</v>
      </c>
      <c r="B2205" s="13" t="n">
        <v>46293</v>
      </c>
      <c r="C2205" s="2" t="s">
        <v>186</v>
      </c>
      <c r="D2205" s="2" t="n">
        <v>1</v>
      </c>
      <c r="E2205" s="14" t="s">
        <v>933</v>
      </c>
      <c r="F2205" s="7" t="n">
        <v>7000</v>
      </c>
    </row>
    <row r="2206" customFormat="false" ht="15" hidden="false" customHeight="false" outlineLevel="0" collapsed="false">
      <c r="A2206" s="2" t="s">
        <v>2018</v>
      </c>
      <c r="B2206" s="13" t="n">
        <v>46293</v>
      </c>
      <c r="C2206" s="2" t="s">
        <v>82</v>
      </c>
      <c r="D2206" s="2" t="n">
        <v>1</v>
      </c>
      <c r="E2206" s="14" t="s">
        <v>863</v>
      </c>
      <c r="F2206" s="7" t="n">
        <v>13000</v>
      </c>
    </row>
    <row r="2207" customFormat="false" ht="15" hidden="false" customHeight="false" outlineLevel="0" collapsed="false">
      <c r="A2207" s="2" t="s">
        <v>2018</v>
      </c>
      <c r="B2207" s="13" t="n">
        <v>46293</v>
      </c>
      <c r="C2207" s="2" t="s">
        <v>108</v>
      </c>
      <c r="D2207" s="2" t="n">
        <v>1</v>
      </c>
      <c r="E2207" s="14" t="s">
        <v>863</v>
      </c>
      <c r="F2207" s="7" t="n">
        <v>20000</v>
      </c>
    </row>
    <row r="2208" customFormat="false" ht="15" hidden="false" customHeight="false" outlineLevel="0" collapsed="false">
      <c r="A2208" s="2" t="s">
        <v>2019</v>
      </c>
      <c r="B2208" s="13" t="n">
        <v>46293</v>
      </c>
      <c r="C2208" s="2" t="s">
        <v>84</v>
      </c>
      <c r="D2208" s="2" t="n">
        <v>1</v>
      </c>
      <c r="E2208" s="14" t="s">
        <v>547</v>
      </c>
      <c r="F2208" s="7" t="n">
        <v>5000</v>
      </c>
    </row>
    <row r="2209" customFormat="false" ht="15" hidden="false" customHeight="false" outlineLevel="0" collapsed="false">
      <c r="A2209" s="2" t="s">
        <v>2019</v>
      </c>
      <c r="B2209" s="13" t="n">
        <v>46293</v>
      </c>
      <c r="C2209" s="2" t="s">
        <v>108</v>
      </c>
      <c r="D2209" s="2" t="n">
        <v>1</v>
      </c>
      <c r="E2209" s="14" t="s">
        <v>547</v>
      </c>
      <c r="F2209" s="7" t="n">
        <v>20000</v>
      </c>
    </row>
    <row r="2210" customFormat="false" ht="15" hidden="false" customHeight="false" outlineLevel="0" collapsed="false">
      <c r="A2210" s="2" t="s">
        <v>2020</v>
      </c>
      <c r="B2210" s="13" t="n">
        <v>46293</v>
      </c>
      <c r="C2210" s="2" t="s">
        <v>132</v>
      </c>
      <c r="D2210" s="2" t="n">
        <v>1</v>
      </c>
      <c r="E2210" s="14" t="s">
        <v>281</v>
      </c>
      <c r="F2210" s="7" t="n">
        <v>15000</v>
      </c>
    </row>
    <row r="2211" customFormat="false" ht="15" hidden="false" customHeight="false" outlineLevel="0" collapsed="false">
      <c r="A2211" s="2" t="s">
        <v>2021</v>
      </c>
      <c r="B2211" s="13" t="n">
        <v>46293</v>
      </c>
      <c r="C2211" s="2" t="s">
        <v>108</v>
      </c>
      <c r="D2211" s="2" t="n">
        <v>1</v>
      </c>
      <c r="E2211" s="14" t="s">
        <v>1222</v>
      </c>
      <c r="F2211" s="7" t="n">
        <v>20000</v>
      </c>
    </row>
    <row r="2212" customFormat="false" ht="15" hidden="false" customHeight="false" outlineLevel="0" collapsed="false">
      <c r="A2212" s="2" t="s">
        <v>2022</v>
      </c>
      <c r="B2212" s="13" t="n">
        <v>46293</v>
      </c>
      <c r="C2212" s="2" t="s">
        <v>81</v>
      </c>
      <c r="D2212" s="2" t="n">
        <v>1</v>
      </c>
      <c r="E2212" s="14" t="s">
        <v>1222</v>
      </c>
      <c r="F2212" s="7" t="n">
        <v>15000</v>
      </c>
    </row>
    <row r="2213" customFormat="false" ht="15" hidden="false" customHeight="false" outlineLevel="0" collapsed="false">
      <c r="A2213" s="2" t="s">
        <v>2022</v>
      </c>
      <c r="B2213" s="13" t="n">
        <v>46293</v>
      </c>
      <c r="C2213" s="2" t="s">
        <v>79</v>
      </c>
      <c r="D2213" s="2" t="n">
        <v>2</v>
      </c>
      <c r="E2213" s="14" t="s">
        <v>1222</v>
      </c>
      <c r="F2213" s="7" t="n">
        <v>16000</v>
      </c>
    </row>
    <row r="2214" customFormat="false" ht="15" hidden="false" customHeight="false" outlineLevel="0" collapsed="false">
      <c r="A2214" s="2" t="s">
        <v>2023</v>
      </c>
      <c r="B2214" s="13" t="n">
        <v>46293</v>
      </c>
      <c r="C2214" s="2" t="s">
        <v>84</v>
      </c>
      <c r="D2214" s="2" t="n">
        <v>1</v>
      </c>
      <c r="E2214" s="14" t="s">
        <v>459</v>
      </c>
      <c r="F2214" s="7" t="n">
        <v>5000</v>
      </c>
    </row>
    <row r="2215" customFormat="false" ht="15" hidden="false" customHeight="false" outlineLevel="0" collapsed="false">
      <c r="A2215" s="2" t="s">
        <v>2024</v>
      </c>
      <c r="B2215" s="13" t="n">
        <v>46293</v>
      </c>
      <c r="C2215" s="2" t="s">
        <v>92</v>
      </c>
      <c r="D2215" s="2" t="n">
        <v>1</v>
      </c>
      <c r="E2215" s="14" t="s">
        <v>370</v>
      </c>
      <c r="F2215" s="7" t="n">
        <v>4000</v>
      </c>
    </row>
    <row r="2216" customFormat="false" ht="15" hidden="false" customHeight="false" outlineLevel="0" collapsed="false">
      <c r="A2216" s="2" t="s">
        <v>2025</v>
      </c>
      <c r="B2216" s="13" t="n">
        <v>46293</v>
      </c>
      <c r="C2216" s="2" t="s">
        <v>81</v>
      </c>
      <c r="D2216" s="2" t="n">
        <v>1</v>
      </c>
      <c r="E2216" s="14" t="s">
        <v>191</v>
      </c>
      <c r="F2216" s="7" t="n">
        <v>15000</v>
      </c>
    </row>
    <row r="2217" customFormat="false" ht="15" hidden="false" customHeight="false" outlineLevel="0" collapsed="false">
      <c r="A2217" s="2" t="s">
        <v>2025</v>
      </c>
      <c r="B2217" s="13" t="n">
        <v>46293</v>
      </c>
      <c r="C2217" s="2" t="s">
        <v>79</v>
      </c>
      <c r="D2217" s="2" t="n">
        <v>1</v>
      </c>
      <c r="E2217" s="14" t="s">
        <v>191</v>
      </c>
      <c r="F2217" s="7" t="n">
        <v>16000</v>
      </c>
    </row>
    <row r="2218" customFormat="false" ht="15" hidden="false" customHeight="false" outlineLevel="0" collapsed="false">
      <c r="A2218" s="2" t="s">
        <v>2026</v>
      </c>
      <c r="B2218" s="13" t="n">
        <v>46293</v>
      </c>
      <c r="C2218" s="2" t="s">
        <v>101</v>
      </c>
      <c r="D2218" s="2" t="n">
        <v>1</v>
      </c>
      <c r="E2218" s="14" t="s">
        <v>466</v>
      </c>
      <c r="F2218" s="7" t="n">
        <v>18000</v>
      </c>
    </row>
    <row r="2219" customFormat="false" ht="15" hidden="false" customHeight="false" outlineLevel="0" collapsed="false">
      <c r="A2219" s="2" t="s">
        <v>2026</v>
      </c>
      <c r="B2219" s="13" t="n">
        <v>46293</v>
      </c>
      <c r="C2219" s="2" t="s">
        <v>81</v>
      </c>
      <c r="D2219" s="2" t="n">
        <v>1</v>
      </c>
      <c r="E2219" s="14" t="s">
        <v>466</v>
      </c>
      <c r="F2219" s="7" t="n">
        <v>15000</v>
      </c>
    </row>
    <row r="2220" customFormat="false" ht="15" hidden="false" customHeight="false" outlineLevel="0" collapsed="false">
      <c r="A2220" s="2" t="s">
        <v>2027</v>
      </c>
      <c r="B2220" s="13" t="n">
        <v>46293</v>
      </c>
      <c r="C2220" s="2" t="s">
        <v>81</v>
      </c>
      <c r="D2220" s="2" t="n">
        <v>1</v>
      </c>
      <c r="E2220" s="14" t="s">
        <v>713</v>
      </c>
      <c r="F2220" s="7" t="n">
        <v>15000</v>
      </c>
    </row>
    <row r="2221" customFormat="false" ht="15" hidden="false" customHeight="false" outlineLevel="0" collapsed="false">
      <c r="A2221" s="2" t="s">
        <v>2027</v>
      </c>
      <c r="B2221" s="13" t="n">
        <v>46293</v>
      </c>
      <c r="C2221" s="2" t="s">
        <v>81</v>
      </c>
      <c r="D2221" s="2" t="n">
        <v>1</v>
      </c>
      <c r="E2221" s="14" t="s">
        <v>713</v>
      </c>
      <c r="F2221" s="7" t="n">
        <v>15000</v>
      </c>
    </row>
    <row r="2222" customFormat="false" ht="15" hidden="false" customHeight="false" outlineLevel="0" collapsed="false">
      <c r="A2222" s="2" t="s">
        <v>2027</v>
      </c>
      <c r="B2222" s="13" t="n">
        <v>46293</v>
      </c>
      <c r="C2222" s="2" t="s">
        <v>82</v>
      </c>
      <c r="D2222" s="2" t="n">
        <v>2</v>
      </c>
      <c r="E2222" s="14" t="s">
        <v>713</v>
      </c>
      <c r="F2222" s="7" t="n">
        <v>13000</v>
      </c>
    </row>
    <row r="2223" customFormat="false" ht="15" hidden="false" customHeight="false" outlineLevel="0" collapsed="false">
      <c r="A2223" s="2" t="s">
        <v>2028</v>
      </c>
      <c r="B2223" s="13" t="n">
        <v>46293</v>
      </c>
      <c r="C2223" s="2" t="s">
        <v>84</v>
      </c>
      <c r="D2223" s="2" t="n">
        <v>1</v>
      </c>
      <c r="E2223" s="14" t="s">
        <v>470</v>
      </c>
      <c r="F2223" s="7" t="n">
        <v>5000</v>
      </c>
    </row>
    <row r="2224" customFormat="false" ht="15" hidden="false" customHeight="false" outlineLevel="0" collapsed="false">
      <c r="A2224" s="2" t="s">
        <v>2028</v>
      </c>
      <c r="B2224" s="13" t="n">
        <v>46293</v>
      </c>
      <c r="C2224" s="2" t="s">
        <v>79</v>
      </c>
      <c r="D2224" s="2" t="n">
        <v>2</v>
      </c>
      <c r="E2224" s="14" t="s">
        <v>470</v>
      </c>
      <c r="F2224" s="7" t="n">
        <v>16000</v>
      </c>
    </row>
    <row r="2225" customFormat="false" ht="15" hidden="false" customHeight="false" outlineLevel="0" collapsed="false">
      <c r="A2225" s="2" t="s">
        <v>2029</v>
      </c>
      <c r="B2225" s="13" t="n">
        <v>46293</v>
      </c>
      <c r="C2225" s="2" t="s">
        <v>82</v>
      </c>
      <c r="D2225" s="2" t="n">
        <v>1</v>
      </c>
      <c r="E2225" s="14" t="s">
        <v>2030</v>
      </c>
      <c r="F2225" s="7" t="n">
        <v>13000</v>
      </c>
    </row>
    <row r="2226" customFormat="false" ht="15" hidden="false" customHeight="false" outlineLevel="0" collapsed="false">
      <c r="A2226" s="2" t="s">
        <v>2031</v>
      </c>
      <c r="B2226" s="13" t="n">
        <v>46293</v>
      </c>
      <c r="C2226" s="2" t="s">
        <v>84</v>
      </c>
      <c r="D2226" s="2" t="n">
        <v>1</v>
      </c>
      <c r="E2226" s="14" t="s">
        <v>1110</v>
      </c>
      <c r="F2226" s="7" t="n">
        <v>5000</v>
      </c>
    </row>
    <row r="2227" customFormat="false" ht="15" hidden="false" customHeight="false" outlineLevel="0" collapsed="false">
      <c r="A2227" s="2" t="s">
        <v>2032</v>
      </c>
      <c r="B2227" s="13" t="n">
        <v>46293</v>
      </c>
      <c r="C2227" s="2" t="s">
        <v>126</v>
      </c>
      <c r="D2227" s="2" t="n">
        <v>1</v>
      </c>
      <c r="E2227" s="14" t="s">
        <v>1180</v>
      </c>
      <c r="F2227" s="7" t="n">
        <v>3000</v>
      </c>
    </row>
    <row r="2228" customFormat="false" ht="15" hidden="false" customHeight="false" outlineLevel="0" collapsed="false">
      <c r="A2228" s="2" t="s">
        <v>2033</v>
      </c>
      <c r="B2228" s="13" t="n">
        <v>46293</v>
      </c>
      <c r="C2228" s="2" t="s">
        <v>108</v>
      </c>
      <c r="D2228" s="2" t="n">
        <v>2</v>
      </c>
      <c r="E2228" s="14" t="s">
        <v>2034</v>
      </c>
      <c r="F2228" s="7" t="n">
        <v>20000</v>
      </c>
    </row>
    <row r="2229" customFormat="false" ht="15" hidden="false" customHeight="false" outlineLevel="0" collapsed="false">
      <c r="A2229" s="2" t="s">
        <v>2035</v>
      </c>
      <c r="B2229" s="13" t="n">
        <v>46293</v>
      </c>
      <c r="C2229" s="2" t="s">
        <v>81</v>
      </c>
      <c r="D2229" s="2" t="n">
        <v>1</v>
      </c>
      <c r="E2229" s="14" t="s">
        <v>211</v>
      </c>
      <c r="F2229" s="7" t="n">
        <v>15000</v>
      </c>
    </row>
    <row r="2230" customFormat="false" ht="15" hidden="false" customHeight="false" outlineLevel="0" collapsed="false">
      <c r="A2230" s="2" t="s">
        <v>2036</v>
      </c>
      <c r="B2230" s="13" t="n">
        <v>46293</v>
      </c>
      <c r="C2230" s="2" t="s">
        <v>101</v>
      </c>
      <c r="D2230" s="2" t="n">
        <v>1</v>
      </c>
      <c r="E2230" s="14" t="s">
        <v>215</v>
      </c>
      <c r="F2230" s="7" t="n">
        <v>18000</v>
      </c>
    </row>
    <row r="2231" customFormat="false" ht="15" hidden="false" customHeight="false" outlineLevel="0" collapsed="false">
      <c r="A2231" s="2" t="s">
        <v>2037</v>
      </c>
      <c r="B2231" s="13" t="n">
        <v>46293</v>
      </c>
      <c r="C2231" s="2" t="s">
        <v>89</v>
      </c>
      <c r="D2231" s="2" t="n">
        <v>1</v>
      </c>
      <c r="E2231" s="14" t="s">
        <v>129</v>
      </c>
      <c r="F2231" s="7" t="n">
        <v>14000</v>
      </c>
    </row>
    <row r="2232" customFormat="false" ht="15" hidden="false" customHeight="false" outlineLevel="0" collapsed="false">
      <c r="A2232" s="2" t="s">
        <v>2037</v>
      </c>
      <c r="B2232" s="13" t="n">
        <v>46293</v>
      </c>
      <c r="C2232" s="2" t="s">
        <v>101</v>
      </c>
      <c r="D2232" s="2" t="n">
        <v>1</v>
      </c>
      <c r="E2232" s="14" t="s">
        <v>129</v>
      </c>
      <c r="F2232" s="7" t="n">
        <v>18000</v>
      </c>
    </row>
    <row r="2233" customFormat="false" ht="15" hidden="false" customHeight="false" outlineLevel="0" collapsed="false">
      <c r="A2233" s="2" t="s">
        <v>2037</v>
      </c>
      <c r="B2233" s="13" t="n">
        <v>46293</v>
      </c>
      <c r="C2233" s="2" t="s">
        <v>186</v>
      </c>
      <c r="D2233" s="2" t="n">
        <v>1</v>
      </c>
      <c r="E2233" s="14" t="s">
        <v>129</v>
      </c>
      <c r="F2233" s="7" t="n">
        <v>7000</v>
      </c>
    </row>
    <row r="2234" customFormat="false" ht="15" hidden="false" customHeight="false" outlineLevel="0" collapsed="false">
      <c r="A2234" s="2" t="s">
        <v>2038</v>
      </c>
      <c r="B2234" s="13" t="n">
        <v>46293</v>
      </c>
      <c r="C2234" s="2" t="s">
        <v>132</v>
      </c>
      <c r="D2234" s="2" t="n">
        <v>1</v>
      </c>
      <c r="E2234" s="14" t="s">
        <v>1966</v>
      </c>
      <c r="F2234" s="7" t="n">
        <v>15000</v>
      </c>
    </row>
    <row r="2235" customFormat="false" ht="15" hidden="false" customHeight="false" outlineLevel="0" collapsed="false">
      <c r="A2235" s="2" t="s">
        <v>2038</v>
      </c>
      <c r="B2235" s="13" t="n">
        <v>46293</v>
      </c>
      <c r="C2235" s="2" t="s">
        <v>81</v>
      </c>
      <c r="D2235" s="2" t="n">
        <v>1</v>
      </c>
      <c r="E2235" s="14" t="s">
        <v>1966</v>
      </c>
      <c r="F2235" s="7" t="n">
        <v>15000</v>
      </c>
    </row>
    <row r="2236" customFormat="false" ht="15" hidden="false" customHeight="false" outlineLevel="0" collapsed="false">
      <c r="A2236" s="2" t="s">
        <v>2039</v>
      </c>
      <c r="B2236" s="13" t="n">
        <v>46293</v>
      </c>
      <c r="C2236" s="2" t="s">
        <v>81</v>
      </c>
      <c r="D2236" s="2" t="n">
        <v>1</v>
      </c>
      <c r="E2236" s="14" t="s">
        <v>1541</v>
      </c>
      <c r="F2236" s="7" t="n">
        <v>15000</v>
      </c>
    </row>
    <row r="2237" customFormat="false" ht="15" hidden="false" customHeight="false" outlineLevel="0" collapsed="false">
      <c r="A2237" s="2" t="s">
        <v>2039</v>
      </c>
      <c r="B2237" s="13" t="n">
        <v>46293</v>
      </c>
      <c r="C2237" s="2" t="s">
        <v>92</v>
      </c>
      <c r="D2237" s="2" t="n">
        <v>1</v>
      </c>
      <c r="E2237" s="14" t="s">
        <v>1541</v>
      </c>
      <c r="F2237" s="7" t="n">
        <v>4000</v>
      </c>
    </row>
    <row r="2238" customFormat="false" ht="15" hidden="false" customHeight="false" outlineLevel="0" collapsed="false">
      <c r="A2238" s="2" t="s">
        <v>2039</v>
      </c>
      <c r="B2238" s="13" t="n">
        <v>46293</v>
      </c>
      <c r="C2238" s="2" t="s">
        <v>112</v>
      </c>
      <c r="D2238" s="2" t="n">
        <v>1</v>
      </c>
      <c r="E2238" s="14" t="s">
        <v>1541</v>
      </c>
      <c r="F2238" s="7" t="n">
        <v>10000</v>
      </c>
    </row>
    <row r="2239" customFormat="false" ht="15" hidden="false" customHeight="false" outlineLevel="0" collapsed="false">
      <c r="A2239" s="2" t="s">
        <v>2040</v>
      </c>
      <c r="B2239" s="13" t="n">
        <v>46293</v>
      </c>
      <c r="C2239" s="2" t="s">
        <v>101</v>
      </c>
      <c r="D2239" s="2" t="n">
        <v>1</v>
      </c>
      <c r="E2239" s="14" t="s">
        <v>220</v>
      </c>
      <c r="F2239" s="7" t="n">
        <v>18000</v>
      </c>
    </row>
    <row r="2240" customFormat="false" ht="15" hidden="false" customHeight="false" outlineLevel="0" collapsed="false">
      <c r="A2240" s="2" t="s">
        <v>2040</v>
      </c>
      <c r="B2240" s="13" t="n">
        <v>46293</v>
      </c>
      <c r="C2240" s="2" t="s">
        <v>81</v>
      </c>
      <c r="D2240" s="2" t="n">
        <v>1</v>
      </c>
      <c r="E2240" s="14" t="s">
        <v>220</v>
      </c>
      <c r="F2240" s="7" t="n">
        <v>15000</v>
      </c>
    </row>
    <row r="2241" customFormat="false" ht="15" hidden="false" customHeight="false" outlineLevel="0" collapsed="false">
      <c r="A2241" s="2" t="s">
        <v>2041</v>
      </c>
      <c r="B2241" s="13" t="n">
        <v>46293</v>
      </c>
      <c r="C2241" s="2" t="s">
        <v>84</v>
      </c>
      <c r="D2241" s="2" t="n">
        <v>2</v>
      </c>
      <c r="E2241" s="14" t="s">
        <v>807</v>
      </c>
      <c r="F2241" s="7" t="n">
        <v>5000</v>
      </c>
    </row>
    <row r="2242" customFormat="false" ht="15" hidden="false" customHeight="false" outlineLevel="0" collapsed="false">
      <c r="A2242" s="2" t="s">
        <v>2042</v>
      </c>
      <c r="B2242" s="13" t="n">
        <v>46293</v>
      </c>
      <c r="C2242" s="2" t="s">
        <v>89</v>
      </c>
      <c r="D2242" s="2" t="n">
        <v>1</v>
      </c>
      <c r="E2242" s="14" t="s">
        <v>809</v>
      </c>
      <c r="F2242" s="7" t="n">
        <v>14000</v>
      </c>
    </row>
    <row r="2243" customFormat="false" ht="15" hidden="false" customHeight="false" outlineLevel="0" collapsed="false">
      <c r="A2243" s="2" t="s">
        <v>2043</v>
      </c>
      <c r="B2243" s="13" t="n">
        <v>46293</v>
      </c>
      <c r="C2243" s="2" t="s">
        <v>89</v>
      </c>
      <c r="D2243" s="2" t="n">
        <v>1</v>
      </c>
      <c r="E2243" s="14" t="s">
        <v>809</v>
      </c>
      <c r="F2243" s="7" t="n">
        <v>14000</v>
      </c>
    </row>
    <row r="2244" customFormat="false" ht="15" hidden="false" customHeight="false" outlineLevel="0" collapsed="false">
      <c r="A2244" s="2" t="s">
        <v>2044</v>
      </c>
      <c r="B2244" s="13" t="n">
        <v>46293</v>
      </c>
      <c r="C2244" s="2" t="s">
        <v>84</v>
      </c>
      <c r="D2244" s="2" t="n">
        <v>1</v>
      </c>
      <c r="E2244" s="14" t="s">
        <v>2045</v>
      </c>
      <c r="F2244" s="7" t="n">
        <v>5000</v>
      </c>
    </row>
    <row r="2245" customFormat="false" ht="15" hidden="false" customHeight="false" outlineLevel="0" collapsed="false">
      <c r="A2245" s="2" t="s">
        <v>2046</v>
      </c>
      <c r="B2245" s="13" t="n">
        <v>46293</v>
      </c>
      <c r="C2245" s="2" t="s">
        <v>101</v>
      </c>
      <c r="D2245" s="2" t="n">
        <v>2</v>
      </c>
      <c r="E2245" s="14" t="s">
        <v>235</v>
      </c>
      <c r="F2245" s="7" t="n">
        <v>18000</v>
      </c>
    </row>
    <row r="2246" customFormat="false" ht="15" hidden="false" customHeight="false" outlineLevel="0" collapsed="false">
      <c r="A2246" s="2" t="s">
        <v>2046</v>
      </c>
      <c r="B2246" s="13" t="n">
        <v>46293</v>
      </c>
      <c r="C2246" s="2" t="s">
        <v>89</v>
      </c>
      <c r="D2246" s="2" t="n">
        <v>1</v>
      </c>
      <c r="E2246" s="14" t="s">
        <v>235</v>
      </c>
      <c r="F2246" s="7" t="n">
        <v>14000</v>
      </c>
    </row>
    <row r="2247" customFormat="false" ht="15" hidden="false" customHeight="false" outlineLevel="0" collapsed="false">
      <c r="A2247" s="2" t="s">
        <v>2047</v>
      </c>
      <c r="B2247" s="13" t="n">
        <v>46293</v>
      </c>
      <c r="C2247" s="2" t="s">
        <v>82</v>
      </c>
      <c r="D2247" s="2" t="n">
        <v>1</v>
      </c>
      <c r="E2247" s="14" t="s">
        <v>908</v>
      </c>
      <c r="F2247" s="7" t="n">
        <v>13000</v>
      </c>
    </row>
    <row r="2248" customFormat="false" ht="15" hidden="false" customHeight="false" outlineLevel="0" collapsed="false">
      <c r="A2248" s="2" t="s">
        <v>2047</v>
      </c>
      <c r="B2248" s="13" t="n">
        <v>46293</v>
      </c>
      <c r="C2248" s="2" t="s">
        <v>101</v>
      </c>
      <c r="D2248" s="2" t="n">
        <v>1</v>
      </c>
      <c r="E2248" s="14" t="s">
        <v>908</v>
      </c>
      <c r="F2248" s="7" t="n">
        <v>18000</v>
      </c>
    </row>
    <row r="2249" customFormat="false" ht="15" hidden="false" customHeight="false" outlineLevel="0" collapsed="false">
      <c r="A2249" s="2" t="s">
        <v>2048</v>
      </c>
      <c r="B2249" s="13" t="n">
        <v>46293</v>
      </c>
      <c r="C2249" s="2" t="s">
        <v>186</v>
      </c>
      <c r="D2249" s="2" t="n">
        <v>1</v>
      </c>
      <c r="E2249" s="14" t="s">
        <v>2049</v>
      </c>
      <c r="F2249" s="7" t="n">
        <v>7000</v>
      </c>
    </row>
    <row r="2250" customFormat="false" ht="15" hidden="false" customHeight="false" outlineLevel="0" collapsed="false">
      <c r="A2250" s="2" t="s">
        <v>2050</v>
      </c>
      <c r="B2250" s="13" t="n">
        <v>46293</v>
      </c>
      <c r="C2250" s="2" t="s">
        <v>126</v>
      </c>
      <c r="D2250" s="2" t="n">
        <v>1</v>
      </c>
      <c r="E2250" s="14" t="s">
        <v>1489</v>
      </c>
      <c r="F2250" s="7" t="n">
        <v>3000</v>
      </c>
    </row>
    <row r="2251" customFormat="false" ht="15" hidden="false" customHeight="false" outlineLevel="0" collapsed="false">
      <c r="A2251" s="2" t="s">
        <v>2050</v>
      </c>
      <c r="B2251" s="13" t="n">
        <v>46293</v>
      </c>
      <c r="C2251" s="2" t="s">
        <v>84</v>
      </c>
      <c r="D2251" s="2" t="n">
        <v>2</v>
      </c>
      <c r="E2251" s="14" t="s">
        <v>1489</v>
      </c>
      <c r="F2251" s="7" t="n">
        <v>5000</v>
      </c>
    </row>
    <row r="2252" customFormat="false" ht="15" hidden="false" customHeight="false" outlineLevel="0" collapsed="false">
      <c r="A2252" s="2" t="s">
        <v>2050</v>
      </c>
      <c r="B2252" s="13" t="n">
        <v>46293</v>
      </c>
      <c r="C2252" s="2" t="s">
        <v>101</v>
      </c>
      <c r="D2252" s="2" t="n">
        <v>2</v>
      </c>
      <c r="E2252" s="14" t="s">
        <v>1489</v>
      </c>
      <c r="F2252" s="7" t="n">
        <v>18000</v>
      </c>
    </row>
    <row r="2253" customFormat="false" ht="15" hidden="false" customHeight="false" outlineLevel="0" collapsed="false">
      <c r="A2253" s="2" t="s">
        <v>2051</v>
      </c>
      <c r="B2253" s="13" t="n">
        <v>46293</v>
      </c>
      <c r="C2253" s="2" t="s">
        <v>108</v>
      </c>
      <c r="D2253" s="2" t="n">
        <v>1</v>
      </c>
      <c r="E2253" s="14" t="s">
        <v>323</v>
      </c>
      <c r="F2253" s="7" t="n">
        <v>20000</v>
      </c>
    </row>
    <row r="2254" customFormat="false" ht="15" hidden="false" customHeight="false" outlineLevel="0" collapsed="false">
      <c r="A2254" s="2" t="s">
        <v>2052</v>
      </c>
      <c r="B2254" s="13" t="n">
        <v>46293</v>
      </c>
      <c r="C2254" s="2" t="s">
        <v>84</v>
      </c>
      <c r="D2254" s="2" t="n">
        <v>2</v>
      </c>
      <c r="E2254" s="14" t="s">
        <v>752</v>
      </c>
      <c r="F2254" s="7" t="n">
        <v>5000</v>
      </c>
    </row>
    <row r="2255" customFormat="false" ht="15" hidden="false" customHeight="false" outlineLevel="0" collapsed="false">
      <c r="A2255" s="2" t="s">
        <v>2053</v>
      </c>
      <c r="B2255" s="13" t="n">
        <v>46293</v>
      </c>
      <c r="C2255" s="2" t="s">
        <v>132</v>
      </c>
      <c r="D2255" s="2" t="n">
        <v>1</v>
      </c>
      <c r="E2255" s="14" t="s">
        <v>1692</v>
      </c>
      <c r="F2255" s="7" t="n">
        <v>15000</v>
      </c>
    </row>
    <row r="2256" customFormat="false" ht="15" hidden="false" customHeight="false" outlineLevel="0" collapsed="false">
      <c r="A2256" s="2" t="s">
        <v>2053</v>
      </c>
      <c r="B2256" s="13" t="n">
        <v>46293</v>
      </c>
      <c r="C2256" s="2" t="s">
        <v>92</v>
      </c>
      <c r="D2256" s="2" t="n">
        <v>2</v>
      </c>
      <c r="E2256" s="14" t="s">
        <v>1692</v>
      </c>
      <c r="F2256" s="7" t="n">
        <v>4000</v>
      </c>
    </row>
    <row r="2257" customFormat="false" ht="15" hidden="false" customHeight="false" outlineLevel="0" collapsed="false">
      <c r="A2257" s="2" t="s">
        <v>2054</v>
      </c>
      <c r="B2257" s="13" t="n">
        <v>46293</v>
      </c>
      <c r="C2257" s="2" t="s">
        <v>89</v>
      </c>
      <c r="D2257" s="2" t="n">
        <v>2</v>
      </c>
      <c r="E2257" s="14" t="s">
        <v>1920</v>
      </c>
      <c r="F2257" s="7" t="n">
        <v>14000</v>
      </c>
    </row>
    <row r="2258" customFormat="false" ht="15" hidden="false" customHeight="false" outlineLevel="0" collapsed="false">
      <c r="A2258" s="2" t="s">
        <v>2055</v>
      </c>
      <c r="B2258" s="13" t="n">
        <v>46293</v>
      </c>
      <c r="C2258" s="2" t="s">
        <v>132</v>
      </c>
      <c r="D2258" s="2" t="n">
        <v>1</v>
      </c>
      <c r="E2258" s="14" t="s">
        <v>251</v>
      </c>
      <c r="F2258" s="7" t="n">
        <v>15000</v>
      </c>
    </row>
    <row r="2259" customFormat="false" ht="15" hidden="false" customHeight="false" outlineLevel="0" collapsed="false">
      <c r="A2259" s="2" t="s">
        <v>2056</v>
      </c>
      <c r="B2259" s="13" t="n">
        <v>46293</v>
      </c>
      <c r="C2259" s="2" t="s">
        <v>89</v>
      </c>
      <c r="D2259" s="2" t="n">
        <v>2</v>
      </c>
      <c r="E2259" s="14" t="s">
        <v>1134</v>
      </c>
      <c r="F2259" s="7" t="n">
        <v>14000</v>
      </c>
    </row>
    <row r="2260" customFormat="false" ht="15" hidden="false" customHeight="false" outlineLevel="0" collapsed="false">
      <c r="A2260" s="2" t="s">
        <v>2056</v>
      </c>
      <c r="B2260" s="13" t="n">
        <v>46293</v>
      </c>
      <c r="C2260" s="2" t="s">
        <v>108</v>
      </c>
      <c r="D2260" s="2" t="n">
        <v>1</v>
      </c>
      <c r="E2260" s="14" t="s">
        <v>1134</v>
      </c>
      <c r="F2260" s="7" t="n">
        <v>20000</v>
      </c>
    </row>
    <row r="2261" customFormat="false" ht="15" hidden="false" customHeight="false" outlineLevel="0" collapsed="false">
      <c r="A2261" s="2" t="s">
        <v>2056</v>
      </c>
      <c r="B2261" s="13" t="n">
        <v>46293</v>
      </c>
      <c r="C2261" s="2" t="s">
        <v>101</v>
      </c>
      <c r="D2261" s="2" t="n">
        <v>1</v>
      </c>
      <c r="E2261" s="14" t="s">
        <v>1134</v>
      </c>
      <c r="F2261" s="7" t="n">
        <v>18000</v>
      </c>
    </row>
    <row r="2262" customFormat="false" ht="15" hidden="false" customHeight="false" outlineLevel="0" collapsed="false">
      <c r="A2262" s="2" t="s">
        <v>2057</v>
      </c>
      <c r="B2262" s="13" t="n">
        <v>46293</v>
      </c>
      <c r="C2262" s="2" t="s">
        <v>186</v>
      </c>
      <c r="D2262" s="2" t="n">
        <v>2</v>
      </c>
      <c r="E2262" s="14" t="s">
        <v>328</v>
      </c>
      <c r="F2262" s="7" t="n">
        <v>7000</v>
      </c>
    </row>
    <row r="2263" customFormat="false" ht="15" hidden="false" customHeight="false" outlineLevel="0" collapsed="false">
      <c r="A2263" s="2" t="s">
        <v>2057</v>
      </c>
      <c r="B2263" s="13" t="n">
        <v>46293</v>
      </c>
      <c r="C2263" s="2" t="s">
        <v>112</v>
      </c>
      <c r="D2263" s="2" t="n">
        <v>2</v>
      </c>
      <c r="E2263" s="14" t="s">
        <v>328</v>
      </c>
      <c r="F2263" s="7" t="n">
        <v>10000</v>
      </c>
    </row>
    <row r="2264" customFormat="false" ht="15" hidden="false" customHeight="false" outlineLevel="0" collapsed="false">
      <c r="A2264" s="2" t="s">
        <v>2058</v>
      </c>
      <c r="B2264" s="13" t="n">
        <v>46293</v>
      </c>
      <c r="C2264" s="2" t="s">
        <v>186</v>
      </c>
      <c r="D2264" s="2" t="n">
        <v>3</v>
      </c>
      <c r="E2264" s="14" t="s">
        <v>1997</v>
      </c>
      <c r="F2264" s="7" t="n">
        <v>7000</v>
      </c>
    </row>
    <row r="2265" customFormat="false" ht="15" hidden="false" customHeight="false" outlineLevel="0" collapsed="false">
      <c r="A2265" s="2" t="s">
        <v>2058</v>
      </c>
      <c r="B2265" s="13" t="n">
        <v>46293</v>
      </c>
      <c r="C2265" s="2" t="s">
        <v>89</v>
      </c>
      <c r="D2265" s="2" t="n">
        <v>1</v>
      </c>
      <c r="E2265" s="14" t="s">
        <v>1997</v>
      </c>
      <c r="F2265" s="7" t="n">
        <v>14000</v>
      </c>
    </row>
    <row r="2266" customFormat="false" ht="15" hidden="false" customHeight="false" outlineLevel="0" collapsed="false">
      <c r="A2266" s="2" t="s">
        <v>2059</v>
      </c>
      <c r="B2266" s="13" t="n">
        <v>46293</v>
      </c>
      <c r="C2266" s="2" t="s">
        <v>126</v>
      </c>
      <c r="D2266" s="2" t="n">
        <v>1</v>
      </c>
      <c r="E2266" s="14" t="s">
        <v>2060</v>
      </c>
      <c r="F2266" s="7" t="n">
        <v>3000</v>
      </c>
    </row>
    <row r="2267" customFormat="false" ht="15" hidden="false" customHeight="false" outlineLevel="0" collapsed="false">
      <c r="A2267" s="2" t="s">
        <v>2059</v>
      </c>
      <c r="B2267" s="13" t="n">
        <v>46293</v>
      </c>
      <c r="C2267" s="2" t="s">
        <v>81</v>
      </c>
      <c r="D2267" s="2" t="n">
        <v>1</v>
      </c>
      <c r="E2267" s="14" t="s">
        <v>2060</v>
      </c>
      <c r="F2267" s="7" t="n">
        <v>15000</v>
      </c>
    </row>
    <row r="2268" customFormat="false" ht="15" hidden="false" customHeight="false" outlineLevel="0" collapsed="false">
      <c r="A2268" s="2" t="s">
        <v>2061</v>
      </c>
      <c r="B2268" s="13" t="n">
        <v>46293</v>
      </c>
      <c r="C2268" s="2" t="s">
        <v>89</v>
      </c>
      <c r="D2268" s="2" t="n">
        <v>1</v>
      </c>
      <c r="E2268" s="14" t="s">
        <v>762</v>
      </c>
      <c r="F2268" s="7" t="n">
        <v>14000</v>
      </c>
    </row>
    <row r="2269" customFormat="false" ht="15" hidden="false" customHeight="false" outlineLevel="0" collapsed="false">
      <c r="A2269" s="2" t="s">
        <v>2061</v>
      </c>
      <c r="B2269" s="13" t="n">
        <v>46293</v>
      </c>
      <c r="C2269" s="2" t="s">
        <v>79</v>
      </c>
      <c r="D2269" s="2" t="n">
        <v>1</v>
      </c>
      <c r="E2269" s="14" t="s">
        <v>762</v>
      </c>
      <c r="F2269" s="7" t="n">
        <v>16000</v>
      </c>
    </row>
    <row r="2270" customFormat="false" ht="15" hidden="false" customHeight="false" outlineLevel="0" collapsed="false">
      <c r="A2270" s="2" t="s">
        <v>2062</v>
      </c>
      <c r="B2270" s="13" t="n">
        <v>46294</v>
      </c>
      <c r="C2270" s="2" t="s">
        <v>84</v>
      </c>
      <c r="D2270" s="2" t="n">
        <v>1</v>
      </c>
      <c r="E2270" s="14" t="s">
        <v>2063</v>
      </c>
      <c r="F2270" s="7" t="n">
        <v>5000</v>
      </c>
    </row>
    <row r="2271" customFormat="false" ht="15" hidden="false" customHeight="false" outlineLevel="0" collapsed="false">
      <c r="A2271" s="2" t="s">
        <v>2062</v>
      </c>
      <c r="B2271" s="13" t="n">
        <v>46294</v>
      </c>
      <c r="C2271" s="2" t="s">
        <v>81</v>
      </c>
      <c r="D2271" s="2" t="n">
        <v>1</v>
      </c>
      <c r="E2271" s="14" t="s">
        <v>2063</v>
      </c>
      <c r="F2271" s="7" t="n">
        <v>15000</v>
      </c>
    </row>
    <row r="2272" customFormat="false" ht="15" hidden="false" customHeight="false" outlineLevel="0" collapsed="false">
      <c r="A2272" s="2" t="s">
        <v>2064</v>
      </c>
      <c r="B2272" s="13" t="n">
        <v>46294</v>
      </c>
      <c r="C2272" s="2" t="s">
        <v>81</v>
      </c>
      <c r="D2272" s="2" t="n">
        <v>3</v>
      </c>
      <c r="E2272" s="14" t="s">
        <v>2065</v>
      </c>
      <c r="F2272" s="7" t="n">
        <v>15000</v>
      </c>
    </row>
    <row r="2273" customFormat="false" ht="15" hidden="false" customHeight="false" outlineLevel="0" collapsed="false">
      <c r="A2273" s="2" t="s">
        <v>2064</v>
      </c>
      <c r="B2273" s="13" t="n">
        <v>46294</v>
      </c>
      <c r="C2273" s="2" t="s">
        <v>101</v>
      </c>
      <c r="D2273" s="2" t="n">
        <v>1</v>
      </c>
      <c r="E2273" s="14" t="s">
        <v>2065</v>
      </c>
      <c r="F2273" s="7" t="n">
        <v>18000</v>
      </c>
    </row>
    <row r="2274" customFormat="false" ht="15" hidden="false" customHeight="false" outlineLevel="0" collapsed="false">
      <c r="A2274" s="2" t="s">
        <v>2066</v>
      </c>
      <c r="B2274" s="13" t="n">
        <v>46294</v>
      </c>
      <c r="C2274" s="2" t="s">
        <v>101</v>
      </c>
      <c r="D2274" s="2" t="n">
        <v>1</v>
      </c>
      <c r="E2274" s="14" t="s">
        <v>848</v>
      </c>
      <c r="F2274" s="7"/>
    </row>
    <row r="2275" customFormat="false" ht="15" hidden="false" customHeight="false" outlineLevel="0" collapsed="false">
      <c r="A2275" s="2" t="s">
        <v>2066</v>
      </c>
      <c r="B2275" s="13" t="n">
        <v>46294</v>
      </c>
      <c r="C2275" s="2" t="s">
        <v>186</v>
      </c>
      <c r="D2275" s="2" t="n">
        <v>1</v>
      </c>
      <c r="E2275" s="14" t="s">
        <v>848</v>
      </c>
      <c r="F2275" s="7" t="n">
        <v>7000</v>
      </c>
    </row>
    <row r="2276" customFormat="false" ht="15" hidden="false" customHeight="false" outlineLevel="0" collapsed="false">
      <c r="A2276" s="2" t="s">
        <v>2067</v>
      </c>
      <c r="B2276" s="13" t="n">
        <v>46294</v>
      </c>
      <c r="C2276" s="2" t="s">
        <v>132</v>
      </c>
      <c r="D2276" s="2" t="n">
        <v>1</v>
      </c>
      <c r="E2276" s="14" t="s">
        <v>1445</v>
      </c>
      <c r="F2276" s="7" t="n">
        <v>15000</v>
      </c>
    </row>
    <row r="2277" customFormat="false" ht="15" hidden="false" customHeight="false" outlineLevel="0" collapsed="false">
      <c r="A2277" s="2" t="s">
        <v>2068</v>
      </c>
      <c r="B2277" s="13" t="n">
        <v>46294</v>
      </c>
      <c r="C2277" s="2" t="s">
        <v>101</v>
      </c>
      <c r="D2277" s="2" t="n">
        <v>1</v>
      </c>
      <c r="E2277" s="14" t="s">
        <v>275</v>
      </c>
      <c r="F2277" s="7" t="n">
        <v>18000</v>
      </c>
    </row>
    <row r="2278" customFormat="false" ht="15" hidden="false" customHeight="false" outlineLevel="0" collapsed="false">
      <c r="A2278" s="2" t="s">
        <v>2068</v>
      </c>
      <c r="B2278" s="13" t="n">
        <v>46294</v>
      </c>
      <c r="C2278" s="2" t="s">
        <v>186</v>
      </c>
      <c r="D2278" s="2" t="n">
        <v>2</v>
      </c>
      <c r="E2278" s="14" t="s">
        <v>275</v>
      </c>
      <c r="F2278" s="7" t="n">
        <v>7000</v>
      </c>
    </row>
    <row r="2279" customFormat="false" ht="15" hidden="false" customHeight="false" outlineLevel="0" collapsed="false">
      <c r="A2279" s="2" t="s">
        <v>2069</v>
      </c>
      <c r="B2279" s="13" t="n">
        <v>46294</v>
      </c>
      <c r="C2279" s="2" t="s">
        <v>101</v>
      </c>
      <c r="D2279" s="2" t="n">
        <v>2</v>
      </c>
      <c r="E2279" s="14" t="s">
        <v>354</v>
      </c>
      <c r="F2279" s="7" t="n">
        <v>18000</v>
      </c>
    </row>
    <row r="2280" customFormat="false" ht="15" hidden="false" customHeight="false" outlineLevel="0" collapsed="false">
      <c r="A2280" s="2" t="s">
        <v>2070</v>
      </c>
      <c r="B2280" s="13" t="n">
        <v>46294</v>
      </c>
      <c r="C2280" s="2" t="s">
        <v>132</v>
      </c>
      <c r="D2280" s="2" t="n">
        <v>1</v>
      </c>
      <c r="E2280" s="14" t="s">
        <v>860</v>
      </c>
      <c r="F2280" s="7" t="n">
        <v>15000</v>
      </c>
    </row>
    <row r="2281" customFormat="false" ht="15" hidden="false" customHeight="false" outlineLevel="0" collapsed="false">
      <c r="A2281" s="2" t="s">
        <v>2070</v>
      </c>
      <c r="B2281" s="13" t="n">
        <v>46294</v>
      </c>
      <c r="C2281" s="2" t="s">
        <v>112</v>
      </c>
      <c r="D2281" s="2" t="n">
        <v>1</v>
      </c>
      <c r="E2281" s="14" t="s">
        <v>860</v>
      </c>
      <c r="F2281" s="7" t="n">
        <v>10000</v>
      </c>
    </row>
    <row r="2282" customFormat="false" ht="15" hidden="false" customHeight="false" outlineLevel="0" collapsed="false">
      <c r="A2282" s="2" t="s">
        <v>2071</v>
      </c>
      <c r="B2282" s="13" t="n">
        <v>46294</v>
      </c>
      <c r="C2282" s="2" t="s">
        <v>81</v>
      </c>
      <c r="D2282" s="2" t="n">
        <v>2</v>
      </c>
      <c r="E2282" s="14" t="s">
        <v>279</v>
      </c>
      <c r="F2282" s="7" t="n">
        <v>15000</v>
      </c>
    </row>
    <row r="2283" customFormat="false" ht="15" hidden="false" customHeight="false" outlineLevel="0" collapsed="false">
      <c r="A2283" s="2" t="s">
        <v>2071</v>
      </c>
      <c r="B2283" s="13" t="n">
        <v>46294</v>
      </c>
      <c r="C2283" s="2" t="s">
        <v>186</v>
      </c>
      <c r="D2283" s="2" t="n">
        <v>1</v>
      </c>
      <c r="E2283" s="14" t="s">
        <v>279</v>
      </c>
      <c r="F2283" s="7" t="n">
        <v>7000</v>
      </c>
    </row>
    <row r="2284" customFormat="false" ht="15" hidden="false" customHeight="false" outlineLevel="0" collapsed="false">
      <c r="A2284" s="2" t="s">
        <v>2072</v>
      </c>
      <c r="B2284" s="13" t="n">
        <v>46294</v>
      </c>
      <c r="C2284" s="2" t="s">
        <v>82</v>
      </c>
      <c r="D2284" s="2" t="n">
        <v>1</v>
      </c>
      <c r="E2284" s="14" t="s">
        <v>2073</v>
      </c>
      <c r="F2284" s="7" t="n">
        <v>13000</v>
      </c>
    </row>
    <row r="2285" customFormat="false" ht="15" hidden="false" customHeight="false" outlineLevel="0" collapsed="false">
      <c r="A2285" s="2" t="s">
        <v>2072</v>
      </c>
      <c r="B2285" s="13" t="n">
        <v>46294</v>
      </c>
      <c r="C2285" s="2" t="s">
        <v>126</v>
      </c>
      <c r="D2285" s="2" t="n">
        <v>1</v>
      </c>
      <c r="E2285" s="14" t="s">
        <v>2073</v>
      </c>
      <c r="F2285" s="7" t="n">
        <v>3000</v>
      </c>
    </row>
    <row r="2286" customFormat="false" ht="15" hidden="false" customHeight="false" outlineLevel="0" collapsed="false">
      <c r="A2286" s="2" t="s">
        <v>2074</v>
      </c>
      <c r="B2286" s="13" t="n">
        <v>46294</v>
      </c>
      <c r="C2286" s="2" t="s">
        <v>186</v>
      </c>
      <c r="D2286" s="2" t="n">
        <v>1</v>
      </c>
      <c r="E2286" s="14" t="s">
        <v>449</v>
      </c>
      <c r="F2286" s="7" t="n">
        <v>7000</v>
      </c>
    </row>
    <row r="2287" customFormat="false" ht="15" hidden="false" customHeight="false" outlineLevel="0" collapsed="false">
      <c r="A2287" s="2" t="s">
        <v>2075</v>
      </c>
      <c r="B2287" s="13" t="n">
        <v>46294</v>
      </c>
      <c r="C2287" s="2" t="s">
        <v>84</v>
      </c>
      <c r="D2287" s="2" t="n">
        <v>3</v>
      </c>
      <c r="E2287" s="14" t="s">
        <v>545</v>
      </c>
      <c r="F2287" s="7" t="n">
        <v>5000</v>
      </c>
    </row>
    <row r="2288" customFormat="false" ht="15" hidden="false" customHeight="false" outlineLevel="0" collapsed="false">
      <c r="A2288" s="2" t="s">
        <v>2076</v>
      </c>
      <c r="B2288" s="13" t="n">
        <v>46294</v>
      </c>
      <c r="C2288" s="2" t="s">
        <v>84</v>
      </c>
      <c r="D2288" s="2" t="n">
        <v>1</v>
      </c>
      <c r="E2288" s="14" t="s">
        <v>1455</v>
      </c>
      <c r="F2288" s="7" t="n">
        <v>5000</v>
      </c>
    </row>
    <row r="2289" customFormat="false" ht="15" hidden="false" customHeight="false" outlineLevel="0" collapsed="false">
      <c r="A2289" s="2" t="s">
        <v>2077</v>
      </c>
      <c r="B2289" s="13" t="n">
        <v>46294</v>
      </c>
      <c r="C2289" s="2" t="s">
        <v>81</v>
      </c>
      <c r="D2289" s="2" t="n">
        <v>1</v>
      </c>
      <c r="E2289" s="14" t="s">
        <v>1586</v>
      </c>
      <c r="F2289" s="7" t="n">
        <v>15000</v>
      </c>
    </row>
    <row r="2290" customFormat="false" ht="15" hidden="false" customHeight="false" outlineLevel="0" collapsed="false">
      <c r="A2290" s="2" t="s">
        <v>2078</v>
      </c>
      <c r="B2290" s="13" t="n">
        <v>46294</v>
      </c>
      <c r="C2290" s="2" t="s">
        <v>84</v>
      </c>
      <c r="D2290" s="2" t="n">
        <v>1</v>
      </c>
      <c r="E2290" s="14" t="s">
        <v>466</v>
      </c>
      <c r="F2290" s="7" t="n">
        <v>5000</v>
      </c>
    </row>
    <row r="2291" customFormat="false" ht="15" hidden="false" customHeight="false" outlineLevel="0" collapsed="false">
      <c r="A2291" s="2" t="s">
        <v>2078</v>
      </c>
      <c r="B2291" s="13" t="n">
        <v>46294</v>
      </c>
      <c r="C2291" s="2" t="s">
        <v>186</v>
      </c>
      <c r="D2291" s="2" t="n">
        <v>3</v>
      </c>
      <c r="E2291" s="14" t="s">
        <v>466</v>
      </c>
      <c r="F2291" s="7" t="n">
        <v>7000</v>
      </c>
    </row>
    <row r="2292" customFormat="false" ht="15" hidden="false" customHeight="false" outlineLevel="0" collapsed="false">
      <c r="A2292" s="2" t="s">
        <v>2079</v>
      </c>
      <c r="B2292" s="13" t="n">
        <v>46294</v>
      </c>
      <c r="C2292" s="2" t="s">
        <v>108</v>
      </c>
      <c r="D2292" s="2" t="n">
        <v>1</v>
      </c>
      <c r="E2292" s="14" t="s">
        <v>2080</v>
      </c>
      <c r="F2292" s="7" t="n">
        <v>20000</v>
      </c>
    </row>
    <row r="2293" customFormat="false" ht="15" hidden="false" customHeight="false" outlineLevel="0" collapsed="false">
      <c r="A2293" s="2" t="s">
        <v>2081</v>
      </c>
      <c r="B2293" s="13" t="n">
        <v>46294</v>
      </c>
      <c r="C2293" s="2" t="s">
        <v>81</v>
      </c>
      <c r="D2293" s="2" t="n">
        <v>2</v>
      </c>
      <c r="E2293" s="14" t="s">
        <v>713</v>
      </c>
      <c r="F2293" s="7" t="n">
        <v>15000</v>
      </c>
    </row>
    <row r="2294" customFormat="false" ht="15" hidden="false" customHeight="false" outlineLevel="0" collapsed="false">
      <c r="A2294" s="2" t="s">
        <v>2081</v>
      </c>
      <c r="B2294" s="13" t="n">
        <v>46294</v>
      </c>
      <c r="C2294" s="2" t="s">
        <v>112</v>
      </c>
      <c r="D2294" s="2" t="n">
        <v>1</v>
      </c>
      <c r="E2294" s="14" t="s">
        <v>713</v>
      </c>
      <c r="F2294" s="7" t="n">
        <v>10000</v>
      </c>
    </row>
    <row r="2295" customFormat="false" ht="15" hidden="false" customHeight="false" outlineLevel="0" collapsed="false">
      <c r="A2295" s="2" t="s">
        <v>2082</v>
      </c>
      <c r="B2295" s="13" t="n">
        <v>46294</v>
      </c>
      <c r="C2295" s="2" t="s">
        <v>81</v>
      </c>
      <c r="D2295" s="2" t="n">
        <v>1</v>
      </c>
      <c r="E2295" s="14" t="s">
        <v>1277</v>
      </c>
      <c r="F2295" s="7" t="n">
        <v>15000</v>
      </c>
    </row>
    <row r="2296" customFormat="false" ht="15" hidden="false" customHeight="false" outlineLevel="0" collapsed="false">
      <c r="A2296" s="2" t="s">
        <v>2083</v>
      </c>
      <c r="B2296" s="13" t="n">
        <v>46294</v>
      </c>
      <c r="C2296" s="2" t="s">
        <v>89</v>
      </c>
      <c r="D2296" s="2" t="n">
        <v>2</v>
      </c>
      <c r="E2296" s="14" t="s">
        <v>876</v>
      </c>
      <c r="F2296" s="7" t="n">
        <v>14000</v>
      </c>
    </row>
    <row r="2297" customFormat="false" ht="15" hidden="false" customHeight="false" outlineLevel="0" collapsed="false">
      <c r="A2297" s="2" t="s">
        <v>2084</v>
      </c>
      <c r="B2297" s="13" t="n">
        <v>46294</v>
      </c>
      <c r="C2297" s="2" t="s">
        <v>186</v>
      </c>
      <c r="D2297" s="2" t="n">
        <v>1</v>
      </c>
      <c r="E2297" s="14" t="s">
        <v>2085</v>
      </c>
      <c r="F2297" s="7" t="n">
        <v>7000</v>
      </c>
    </row>
    <row r="2298" customFormat="false" ht="15" hidden="false" customHeight="false" outlineLevel="0" collapsed="false">
      <c r="A2298" s="2" t="s">
        <v>2086</v>
      </c>
      <c r="B2298" s="13" t="n">
        <v>46294</v>
      </c>
      <c r="C2298" s="2" t="s">
        <v>108</v>
      </c>
      <c r="D2298" s="2" t="n">
        <v>2</v>
      </c>
      <c r="E2298" s="14" t="s">
        <v>206</v>
      </c>
      <c r="F2298" s="7" t="n">
        <v>20000</v>
      </c>
    </row>
    <row r="2299" customFormat="false" ht="15" hidden="false" customHeight="false" outlineLevel="0" collapsed="false">
      <c r="A2299" s="2" t="s">
        <v>2086</v>
      </c>
      <c r="B2299" s="13" t="n">
        <v>46294</v>
      </c>
      <c r="C2299" s="2" t="s">
        <v>84</v>
      </c>
      <c r="D2299" s="2" t="n">
        <v>1</v>
      </c>
      <c r="E2299" s="14" t="s">
        <v>206</v>
      </c>
      <c r="F2299" s="7" t="n">
        <v>5000</v>
      </c>
    </row>
    <row r="2300" customFormat="false" ht="15" hidden="false" customHeight="false" outlineLevel="0" collapsed="false">
      <c r="A2300" s="2" t="s">
        <v>2087</v>
      </c>
      <c r="B2300" s="13" t="n">
        <v>46294</v>
      </c>
      <c r="C2300" s="2" t="s">
        <v>81</v>
      </c>
      <c r="D2300" s="2" t="n">
        <v>1</v>
      </c>
      <c r="E2300" s="14" t="s">
        <v>1110</v>
      </c>
      <c r="F2300" s="7" t="n">
        <v>15000</v>
      </c>
    </row>
    <row r="2301" customFormat="false" ht="15" hidden="false" customHeight="false" outlineLevel="0" collapsed="false">
      <c r="A2301" s="2" t="s">
        <v>2088</v>
      </c>
      <c r="B2301" s="13" t="n">
        <v>46294</v>
      </c>
      <c r="C2301" s="2" t="s">
        <v>101</v>
      </c>
      <c r="D2301" s="2" t="n">
        <v>1</v>
      </c>
      <c r="E2301" s="14" t="s">
        <v>2089</v>
      </c>
      <c r="F2301" s="7" t="n">
        <v>18000</v>
      </c>
    </row>
    <row r="2302" customFormat="false" ht="15" hidden="false" customHeight="false" outlineLevel="0" collapsed="false">
      <c r="A2302" s="2" t="s">
        <v>2090</v>
      </c>
      <c r="B2302" s="13" t="n">
        <v>46294</v>
      </c>
      <c r="C2302" s="2" t="s">
        <v>108</v>
      </c>
      <c r="D2302" s="2" t="n">
        <v>1</v>
      </c>
      <c r="E2302" s="14" t="s">
        <v>1041</v>
      </c>
      <c r="F2302" s="7" t="n">
        <v>20000</v>
      </c>
    </row>
    <row r="2303" customFormat="false" ht="15" hidden="false" customHeight="false" outlineLevel="0" collapsed="false">
      <c r="A2303" s="2" t="s">
        <v>2090</v>
      </c>
      <c r="B2303" s="13" t="n">
        <v>46294</v>
      </c>
      <c r="C2303" s="2" t="s">
        <v>81</v>
      </c>
      <c r="D2303" s="2" t="n">
        <v>1</v>
      </c>
      <c r="E2303" s="14" t="s">
        <v>1041</v>
      </c>
      <c r="F2303" s="7" t="n">
        <v>15000</v>
      </c>
    </row>
    <row r="2304" customFormat="false" ht="15" hidden="false" customHeight="false" outlineLevel="0" collapsed="false">
      <c r="A2304" s="2" t="s">
        <v>2091</v>
      </c>
      <c r="B2304" s="13" t="n">
        <v>46294</v>
      </c>
      <c r="C2304" s="2" t="s">
        <v>101</v>
      </c>
      <c r="D2304" s="2" t="n">
        <v>2</v>
      </c>
      <c r="E2304" s="14" t="s">
        <v>1680</v>
      </c>
      <c r="F2304" s="7" t="n">
        <v>18000</v>
      </c>
    </row>
    <row r="2305" customFormat="false" ht="15" hidden="false" customHeight="false" outlineLevel="0" collapsed="false">
      <c r="A2305" s="2" t="s">
        <v>2091</v>
      </c>
      <c r="B2305" s="13" t="n">
        <v>46294</v>
      </c>
      <c r="C2305" s="2" t="s">
        <v>84</v>
      </c>
      <c r="D2305" s="2" t="n">
        <v>2</v>
      </c>
      <c r="E2305" s="14" t="s">
        <v>1680</v>
      </c>
      <c r="F2305" s="7" t="n">
        <v>5000</v>
      </c>
    </row>
    <row r="2306" customFormat="false" ht="15" hidden="false" customHeight="false" outlineLevel="0" collapsed="false">
      <c r="A2306" s="2" t="s">
        <v>2092</v>
      </c>
      <c r="B2306" s="13" t="n">
        <v>46294</v>
      </c>
      <c r="C2306" s="2" t="s">
        <v>186</v>
      </c>
      <c r="D2306" s="2" t="n">
        <v>3</v>
      </c>
      <c r="E2306" s="14" t="s">
        <v>801</v>
      </c>
      <c r="F2306" s="7" t="n">
        <v>7000</v>
      </c>
    </row>
    <row r="2307" customFormat="false" ht="15" hidden="false" customHeight="false" outlineLevel="0" collapsed="false">
      <c r="A2307" s="2" t="s">
        <v>2092</v>
      </c>
      <c r="B2307" s="13" t="n">
        <v>46294</v>
      </c>
      <c r="C2307" s="2" t="s">
        <v>101</v>
      </c>
      <c r="D2307" s="2" t="n">
        <v>1</v>
      </c>
      <c r="E2307" s="14" t="s">
        <v>801</v>
      </c>
      <c r="F2307" s="7" t="n">
        <v>18000</v>
      </c>
    </row>
    <row r="2308" customFormat="false" ht="15" hidden="false" customHeight="false" outlineLevel="0" collapsed="false">
      <c r="A2308" s="2" t="s">
        <v>2093</v>
      </c>
      <c r="B2308" s="13" t="n">
        <v>46294</v>
      </c>
      <c r="C2308" s="2" t="s">
        <v>81</v>
      </c>
      <c r="D2308" s="2" t="n">
        <v>1</v>
      </c>
      <c r="E2308" s="14" t="s">
        <v>1055</v>
      </c>
      <c r="F2308" s="7" t="n">
        <v>15000</v>
      </c>
    </row>
    <row r="2309" customFormat="false" ht="15" hidden="false" customHeight="false" outlineLevel="0" collapsed="false">
      <c r="A2309" s="2" t="s">
        <v>2094</v>
      </c>
      <c r="B2309" s="13" t="n">
        <v>46294</v>
      </c>
      <c r="C2309" s="2" t="s">
        <v>92</v>
      </c>
      <c r="D2309" s="2" t="n">
        <v>1</v>
      </c>
      <c r="E2309" s="14" t="s">
        <v>900</v>
      </c>
      <c r="F2309" s="7" t="n">
        <v>4000</v>
      </c>
    </row>
    <row r="2310" customFormat="false" ht="15" hidden="false" customHeight="false" outlineLevel="0" collapsed="false">
      <c r="A2310" s="2" t="s">
        <v>2095</v>
      </c>
      <c r="B2310" s="13" t="n">
        <v>46294</v>
      </c>
      <c r="C2310" s="2" t="s">
        <v>84</v>
      </c>
      <c r="D2310" s="2" t="n">
        <v>2</v>
      </c>
      <c r="E2310" s="14" t="s">
        <v>1484</v>
      </c>
      <c r="F2310" s="7" t="n">
        <v>5000</v>
      </c>
    </row>
    <row r="2311" customFormat="false" ht="15" hidden="false" customHeight="false" outlineLevel="0" collapsed="false">
      <c r="A2311" s="2" t="s">
        <v>2096</v>
      </c>
      <c r="B2311" s="13" t="n">
        <v>46294</v>
      </c>
      <c r="C2311" s="2" t="s">
        <v>101</v>
      </c>
      <c r="D2311" s="2" t="n">
        <v>3</v>
      </c>
      <c r="E2311" s="14" t="s">
        <v>316</v>
      </c>
      <c r="F2311" s="7" t="n">
        <v>18000</v>
      </c>
    </row>
    <row r="2312" customFormat="false" ht="15" hidden="false" customHeight="false" outlineLevel="0" collapsed="false">
      <c r="A2312" s="2" t="s">
        <v>2097</v>
      </c>
      <c r="B2312" s="13" t="n">
        <v>46294</v>
      </c>
      <c r="C2312" s="2" t="s">
        <v>84</v>
      </c>
      <c r="D2312" s="2" t="n">
        <v>2</v>
      </c>
      <c r="E2312" s="14" t="s">
        <v>316</v>
      </c>
      <c r="F2312" s="7" t="n">
        <v>5000</v>
      </c>
    </row>
    <row r="2313" customFormat="false" ht="15" hidden="false" customHeight="false" outlineLevel="0" collapsed="false">
      <c r="A2313" s="2" t="s">
        <v>2098</v>
      </c>
      <c r="B2313" s="13" t="n">
        <v>46294</v>
      </c>
      <c r="C2313" s="2" t="s">
        <v>101</v>
      </c>
      <c r="D2313" s="2" t="n">
        <v>1</v>
      </c>
      <c r="E2313" s="14" t="s">
        <v>821</v>
      </c>
      <c r="F2313" s="7" t="n">
        <v>18000</v>
      </c>
    </row>
    <row r="2314" customFormat="false" ht="15" hidden="false" customHeight="false" outlineLevel="0" collapsed="false">
      <c r="A2314" s="2" t="s">
        <v>2099</v>
      </c>
      <c r="B2314" s="13" t="n">
        <v>46294</v>
      </c>
      <c r="C2314" s="2" t="s">
        <v>132</v>
      </c>
      <c r="D2314" s="2" t="n">
        <v>1</v>
      </c>
      <c r="E2314" s="14" t="s">
        <v>237</v>
      </c>
      <c r="F2314" s="7" t="n">
        <v>15000</v>
      </c>
    </row>
    <row r="2315" customFormat="false" ht="15" hidden="false" customHeight="false" outlineLevel="0" collapsed="false">
      <c r="A2315" s="2" t="s">
        <v>2100</v>
      </c>
      <c r="B2315" s="13" t="n">
        <v>46294</v>
      </c>
      <c r="C2315" s="2" t="s">
        <v>186</v>
      </c>
      <c r="D2315" s="2" t="n">
        <v>2</v>
      </c>
      <c r="E2315" s="14" t="s">
        <v>976</v>
      </c>
      <c r="F2315" s="7" t="n">
        <v>7000</v>
      </c>
    </row>
    <row r="2316" customFormat="false" ht="15" hidden="false" customHeight="false" outlineLevel="0" collapsed="false">
      <c r="A2316" s="2" t="s">
        <v>2100</v>
      </c>
      <c r="B2316" s="13" t="n">
        <v>46294</v>
      </c>
      <c r="C2316" s="2" t="s">
        <v>84</v>
      </c>
      <c r="D2316" s="2" t="n">
        <v>2</v>
      </c>
      <c r="E2316" s="14" t="s">
        <v>976</v>
      </c>
      <c r="F2316" s="7" t="n">
        <v>5000</v>
      </c>
    </row>
    <row r="2317" customFormat="false" ht="15" hidden="false" customHeight="false" outlineLevel="0" collapsed="false">
      <c r="A2317" s="2" t="s">
        <v>2101</v>
      </c>
      <c r="B2317" s="13" t="n">
        <v>46294</v>
      </c>
      <c r="C2317" s="2" t="s">
        <v>112</v>
      </c>
      <c r="D2317" s="2" t="n">
        <v>1</v>
      </c>
      <c r="E2317" s="14" t="s">
        <v>1410</v>
      </c>
      <c r="F2317" s="7" t="n">
        <v>10000</v>
      </c>
    </row>
    <row r="2318" customFormat="false" ht="15" hidden="false" customHeight="false" outlineLevel="0" collapsed="false">
      <c r="A2318" s="2" t="s">
        <v>2102</v>
      </c>
      <c r="B2318" s="13" t="n">
        <v>46294</v>
      </c>
      <c r="C2318" s="2" t="s">
        <v>101</v>
      </c>
      <c r="D2318" s="2" t="n">
        <v>1</v>
      </c>
      <c r="E2318" s="14" t="s">
        <v>247</v>
      </c>
      <c r="F2318" s="7" t="n">
        <v>18000</v>
      </c>
    </row>
    <row r="2319" customFormat="false" ht="15" hidden="false" customHeight="false" outlineLevel="0" collapsed="false">
      <c r="A2319" s="2" t="s">
        <v>2102</v>
      </c>
      <c r="B2319" s="13" t="n">
        <v>46294</v>
      </c>
      <c r="C2319" s="2" t="s">
        <v>84</v>
      </c>
      <c r="D2319" s="2" t="n">
        <v>1</v>
      </c>
      <c r="E2319" s="14" t="s">
        <v>247</v>
      </c>
      <c r="F2319" s="7" t="n">
        <v>5000</v>
      </c>
    </row>
    <row r="2320" customFormat="false" ht="15" hidden="false" customHeight="false" outlineLevel="0" collapsed="false">
      <c r="A2320" s="2" t="s">
        <v>2103</v>
      </c>
      <c r="B2320" s="13" t="n">
        <v>46294</v>
      </c>
      <c r="C2320" s="2" t="s">
        <v>132</v>
      </c>
      <c r="D2320" s="2" t="n">
        <v>2</v>
      </c>
      <c r="E2320" s="14" t="s">
        <v>152</v>
      </c>
      <c r="F2320" s="7" t="n">
        <v>15000</v>
      </c>
    </row>
    <row r="2321" customFormat="false" ht="15" hidden="false" customHeight="false" outlineLevel="0" collapsed="false">
      <c r="A2321" s="2" t="s">
        <v>2103</v>
      </c>
      <c r="B2321" s="13" t="n">
        <v>46294</v>
      </c>
      <c r="C2321" s="2" t="s">
        <v>82</v>
      </c>
      <c r="D2321" s="2" t="n">
        <v>1</v>
      </c>
      <c r="E2321" s="14" t="s">
        <v>152</v>
      </c>
      <c r="F2321" s="7" t="n">
        <v>13000</v>
      </c>
    </row>
    <row r="2322" customFormat="false" ht="15" hidden="false" customHeight="false" outlineLevel="0" collapsed="false">
      <c r="A2322" s="2" t="s">
        <v>2103</v>
      </c>
      <c r="B2322" s="13" t="n">
        <v>46294</v>
      </c>
      <c r="C2322" s="2" t="s">
        <v>89</v>
      </c>
      <c r="D2322" s="2" t="n">
        <v>2</v>
      </c>
      <c r="E2322" s="14" t="s">
        <v>152</v>
      </c>
      <c r="F2322" s="7" t="n">
        <v>14000</v>
      </c>
    </row>
    <row r="2323" customFormat="false" ht="15" hidden="false" customHeight="false" outlineLevel="0" collapsed="false">
      <c r="A2323" s="2" t="s">
        <v>2104</v>
      </c>
      <c r="B2323" s="13" t="n">
        <v>46294</v>
      </c>
      <c r="C2323" s="2" t="s">
        <v>186</v>
      </c>
      <c r="D2323" s="2" t="n">
        <v>1</v>
      </c>
      <c r="E2323" s="14" t="s">
        <v>980</v>
      </c>
      <c r="F2323" s="7" t="n">
        <v>7000</v>
      </c>
    </row>
    <row r="2324" customFormat="false" ht="15" hidden="false" customHeight="false" outlineLevel="0" collapsed="false">
      <c r="A2324" s="2" t="s">
        <v>2104</v>
      </c>
      <c r="B2324" s="13" t="n">
        <v>46294</v>
      </c>
      <c r="C2324" s="2" t="s">
        <v>79</v>
      </c>
      <c r="D2324" s="2" t="n">
        <v>1</v>
      </c>
      <c r="E2324" s="14" t="s">
        <v>980</v>
      </c>
      <c r="F2324" s="7" t="n">
        <v>16000</v>
      </c>
    </row>
    <row r="2325" customFormat="false" ht="15" hidden="false" customHeight="false" outlineLevel="0" collapsed="false">
      <c r="A2325" s="2" t="s">
        <v>2105</v>
      </c>
      <c r="B2325" s="13" t="n">
        <v>46294</v>
      </c>
      <c r="C2325" s="2" t="s">
        <v>79</v>
      </c>
      <c r="D2325" s="2" t="n">
        <v>2</v>
      </c>
      <c r="E2325" s="14" t="s">
        <v>754</v>
      </c>
      <c r="F2325" s="7" t="n">
        <v>16000</v>
      </c>
    </row>
    <row r="2326" customFormat="false" ht="15" hidden="false" customHeight="false" outlineLevel="0" collapsed="false">
      <c r="A2326" s="2" t="s">
        <v>2106</v>
      </c>
      <c r="B2326" s="13" t="n">
        <v>46294</v>
      </c>
      <c r="C2326" s="2" t="s">
        <v>79</v>
      </c>
      <c r="D2326" s="2" t="n">
        <v>1</v>
      </c>
      <c r="E2326" s="14" t="s">
        <v>754</v>
      </c>
      <c r="F2326" s="7" t="n">
        <v>16000</v>
      </c>
    </row>
    <row r="2327" customFormat="false" ht="15" hidden="false" customHeight="false" outlineLevel="0" collapsed="false">
      <c r="A2327" s="2" t="s">
        <v>2106</v>
      </c>
      <c r="B2327" s="13" t="n">
        <v>46294</v>
      </c>
      <c r="C2327" s="2" t="s">
        <v>101</v>
      </c>
      <c r="D2327" s="2" t="n">
        <v>2</v>
      </c>
      <c r="E2327" s="14" t="s">
        <v>754</v>
      </c>
      <c r="F2327" s="7" t="n">
        <v>18000</v>
      </c>
    </row>
    <row r="2328" customFormat="false" ht="15" hidden="false" customHeight="false" outlineLevel="0" collapsed="false">
      <c r="A2328" s="2" t="s">
        <v>2107</v>
      </c>
      <c r="B2328" s="13" t="n">
        <v>46294</v>
      </c>
      <c r="C2328" s="2" t="s">
        <v>84</v>
      </c>
      <c r="D2328" s="2" t="n">
        <v>1</v>
      </c>
      <c r="E2328" s="14" t="s">
        <v>1252</v>
      </c>
      <c r="F2328" s="7" t="n">
        <v>5000</v>
      </c>
    </row>
    <row r="2329" customFormat="false" ht="15" hidden="false" customHeight="false" outlineLevel="0" collapsed="false">
      <c r="A2329" s="2" t="s">
        <v>2108</v>
      </c>
      <c r="B2329" s="13" t="n">
        <v>46294</v>
      </c>
      <c r="C2329" s="2" t="s">
        <v>186</v>
      </c>
      <c r="D2329" s="2" t="n">
        <v>1</v>
      </c>
      <c r="E2329" s="14" t="s">
        <v>521</v>
      </c>
      <c r="F2329" s="7" t="n">
        <v>7000</v>
      </c>
    </row>
    <row r="2330" customFormat="false" ht="15" hidden="false" customHeight="false" outlineLevel="0" collapsed="false">
      <c r="A2330" s="2" t="s">
        <v>2109</v>
      </c>
      <c r="B2330" s="13" t="n">
        <v>46294</v>
      </c>
      <c r="C2330" s="2" t="s">
        <v>112</v>
      </c>
      <c r="D2330" s="2" t="n">
        <v>1</v>
      </c>
      <c r="E2330" s="14" t="s">
        <v>253</v>
      </c>
      <c r="F2330" s="7" t="n">
        <v>10000</v>
      </c>
    </row>
    <row r="2331" customFormat="false" ht="15" hidden="false" customHeight="false" outlineLevel="0" collapsed="false">
      <c r="A2331" s="2" t="s">
        <v>2110</v>
      </c>
      <c r="B2331" s="13" t="n">
        <v>46294</v>
      </c>
      <c r="C2331" s="2" t="s">
        <v>126</v>
      </c>
      <c r="D2331" s="2" t="n">
        <v>1</v>
      </c>
      <c r="E2331" s="14" t="s">
        <v>253</v>
      </c>
      <c r="F2331" s="7" t="n">
        <v>3000</v>
      </c>
    </row>
    <row r="2332" customFormat="false" ht="15" hidden="false" customHeight="false" outlineLevel="0" collapsed="false">
      <c r="A2332" s="2" t="s">
        <v>2110</v>
      </c>
      <c r="B2332" s="13" t="n">
        <v>46294</v>
      </c>
      <c r="C2332" s="2" t="s">
        <v>108</v>
      </c>
      <c r="D2332" s="2" t="n">
        <v>1</v>
      </c>
      <c r="E2332" s="14" t="s">
        <v>253</v>
      </c>
      <c r="F2332" s="7" t="n">
        <v>20000</v>
      </c>
    </row>
    <row r="2333" customFormat="false" ht="15" hidden="false" customHeight="false" outlineLevel="0" collapsed="false">
      <c r="A2333" s="2" t="s">
        <v>2111</v>
      </c>
      <c r="B2333" s="13" t="n">
        <v>46294</v>
      </c>
      <c r="C2333" s="2" t="s">
        <v>84</v>
      </c>
      <c r="D2333" s="2" t="n">
        <v>2</v>
      </c>
      <c r="E2333" s="14" t="s">
        <v>605</v>
      </c>
      <c r="F2333" s="7" t="n">
        <v>5000</v>
      </c>
    </row>
    <row r="2334" customFormat="false" ht="15" hidden="false" customHeight="false" outlineLevel="0" collapsed="false">
      <c r="A2334" s="2" t="s">
        <v>2112</v>
      </c>
      <c r="B2334" s="13" t="n">
        <v>46294</v>
      </c>
      <c r="C2334" s="2" t="s">
        <v>84</v>
      </c>
      <c r="D2334" s="2" t="n">
        <v>2</v>
      </c>
      <c r="E2334" s="14" t="s">
        <v>1134</v>
      </c>
      <c r="F2334" s="7" t="n">
        <v>5000</v>
      </c>
    </row>
    <row r="2335" customFormat="false" ht="15" hidden="false" customHeight="false" outlineLevel="0" collapsed="false">
      <c r="A2335" s="2" t="s">
        <v>2112</v>
      </c>
      <c r="B2335" s="13" t="n">
        <v>46294</v>
      </c>
      <c r="C2335" s="2" t="s">
        <v>81</v>
      </c>
      <c r="D2335" s="2" t="n">
        <v>1</v>
      </c>
      <c r="E2335" s="14" t="s">
        <v>1134</v>
      </c>
      <c r="F2335" s="7" t="n">
        <v>15000</v>
      </c>
    </row>
    <row r="2336" customFormat="false" ht="15" hidden="false" customHeight="false" outlineLevel="0" collapsed="false">
      <c r="A2336" s="2" t="s">
        <v>2113</v>
      </c>
      <c r="B2336" s="13" t="n">
        <v>46294</v>
      </c>
      <c r="C2336" s="2" t="s">
        <v>84</v>
      </c>
      <c r="D2336" s="2" t="n">
        <v>2</v>
      </c>
      <c r="E2336" s="14" t="s">
        <v>523</v>
      </c>
      <c r="F2336" s="7" t="n">
        <v>5000</v>
      </c>
    </row>
    <row r="2337" customFormat="false" ht="15" hidden="false" customHeight="false" outlineLevel="0" collapsed="false">
      <c r="A2337" s="2" t="s">
        <v>2113</v>
      </c>
      <c r="B2337" s="13" t="n">
        <v>46294</v>
      </c>
      <c r="C2337" s="2" t="s">
        <v>186</v>
      </c>
      <c r="D2337" s="2" t="n">
        <v>1</v>
      </c>
      <c r="E2337" s="14" t="s">
        <v>523</v>
      </c>
      <c r="F2337" s="7" t="n">
        <v>7000</v>
      </c>
    </row>
    <row r="2338" customFormat="false" ht="15" hidden="false" customHeight="false" outlineLevel="0" collapsed="false">
      <c r="A2338" s="2" t="s">
        <v>2114</v>
      </c>
      <c r="B2338" s="13" t="n">
        <v>46294</v>
      </c>
      <c r="C2338" s="2" t="s">
        <v>186</v>
      </c>
      <c r="D2338" s="2" t="n">
        <v>1</v>
      </c>
      <c r="E2338" s="14" t="s">
        <v>1924</v>
      </c>
      <c r="F2338" s="7" t="n">
        <v>7000</v>
      </c>
    </row>
    <row r="2339" customFormat="false" ht="15" hidden="false" customHeight="false" outlineLevel="0" collapsed="false">
      <c r="A2339" s="2" t="s">
        <v>2115</v>
      </c>
      <c r="B2339" s="13" t="n">
        <v>46294</v>
      </c>
      <c r="C2339" s="2" t="s">
        <v>132</v>
      </c>
      <c r="D2339" s="2" t="n">
        <v>1</v>
      </c>
      <c r="E2339" s="14" t="s">
        <v>160</v>
      </c>
      <c r="F2339" s="7" t="n">
        <v>15000</v>
      </c>
    </row>
    <row r="2340" customFormat="false" ht="15" hidden="false" customHeight="false" outlineLevel="0" collapsed="false">
      <c r="A2340" s="2" t="s">
        <v>2115</v>
      </c>
      <c r="B2340" s="13" t="n">
        <v>46294</v>
      </c>
      <c r="C2340" s="2" t="s">
        <v>79</v>
      </c>
      <c r="D2340" s="2" t="n">
        <v>1</v>
      </c>
      <c r="E2340" s="14" t="s">
        <v>160</v>
      </c>
      <c r="F2340" s="7" t="n">
        <v>16000</v>
      </c>
    </row>
    <row r="2341" customFormat="false" ht="15" hidden="false" customHeight="false" outlineLevel="0" collapsed="false">
      <c r="A2341" s="2" t="s">
        <v>2115</v>
      </c>
      <c r="B2341" s="13" t="n">
        <v>46294</v>
      </c>
      <c r="C2341" s="2" t="s">
        <v>84</v>
      </c>
      <c r="D2341" s="2" t="n">
        <v>1</v>
      </c>
      <c r="E2341" s="14" t="s">
        <v>160</v>
      </c>
      <c r="F2341" s="7" t="n">
        <v>5000</v>
      </c>
    </row>
    <row r="2342" customFormat="false" ht="15" hidden="false" customHeight="false" outlineLevel="0" collapsed="false">
      <c r="A2342" s="2" t="s">
        <v>2116</v>
      </c>
      <c r="B2342" s="13" t="n">
        <v>46294</v>
      </c>
      <c r="C2342" s="2" t="s">
        <v>79</v>
      </c>
      <c r="D2342" s="2" t="n">
        <v>1</v>
      </c>
      <c r="E2342" s="14" t="s">
        <v>689</v>
      </c>
      <c r="F2342" s="7" t="n">
        <v>16000</v>
      </c>
    </row>
    <row r="2343" customFormat="false" ht="15" hidden="false" customHeight="false" outlineLevel="0" collapsed="false">
      <c r="A2343" s="2" t="s">
        <v>2117</v>
      </c>
      <c r="B2343" s="13" t="n">
        <v>46294</v>
      </c>
      <c r="C2343" s="2" t="s">
        <v>126</v>
      </c>
      <c r="D2343" s="2" t="n">
        <v>1</v>
      </c>
      <c r="E2343" s="14" t="s">
        <v>1995</v>
      </c>
      <c r="F2343" s="7" t="n">
        <v>3000</v>
      </c>
    </row>
    <row r="2344" customFormat="false" ht="15" hidden="false" customHeight="false" outlineLevel="0" collapsed="false">
      <c r="A2344" s="2" t="s">
        <v>2117</v>
      </c>
      <c r="B2344" s="13" t="n">
        <v>46294</v>
      </c>
      <c r="C2344" s="2" t="s">
        <v>186</v>
      </c>
      <c r="D2344" s="2" t="n">
        <v>1</v>
      </c>
      <c r="E2344" s="14" t="s">
        <v>1995</v>
      </c>
      <c r="F2344" s="7" t="n">
        <v>7000</v>
      </c>
    </row>
    <row r="2345" customFormat="false" ht="15" hidden="false" customHeight="false" outlineLevel="0" collapsed="false">
      <c r="A2345" s="2" t="s">
        <v>2118</v>
      </c>
      <c r="B2345" s="13" t="n">
        <v>46294</v>
      </c>
      <c r="C2345" s="2" t="s">
        <v>89</v>
      </c>
      <c r="D2345" s="2" t="n">
        <v>1</v>
      </c>
      <c r="E2345" s="14" t="s">
        <v>2119</v>
      </c>
      <c r="F2345" s="7" t="n">
        <v>14000</v>
      </c>
    </row>
    <row r="2346" customFormat="false" ht="15" hidden="false" customHeight="false" outlineLevel="0" collapsed="false">
      <c r="A2346" s="2" t="s">
        <v>2120</v>
      </c>
      <c r="B2346" s="13" t="n">
        <v>46294</v>
      </c>
      <c r="C2346" s="2" t="s">
        <v>81</v>
      </c>
      <c r="D2346" s="2" t="n">
        <v>2</v>
      </c>
      <c r="E2346" s="14" t="s">
        <v>2121</v>
      </c>
      <c r="F2346" s="7" t="n">
        <v>15000</v>
      </c>
    </row>
    <row r="2347" customFormat="false" ht="15" hidden="false" customHeight="false" outlineLevel="0" collapsed="false">
      <c r="A2347" s="2" t="s">
        <v>2122</v>
      </c>
      <c r="B2347" s="13" t="n">
        <v>46295</v>
      </c>
      <c r="C2347" s="2" t="s">
        <v>126</v>
      </c>
      <c r="D2347" s="2" t="n">
        <v>1</v>
      </c>
      <c r="E2347" s="14" t="s">
        <v>426</v>
      </c>
      <c r="F2347" s="7" t="n">
        <v>3000</v>
      </c>
    </row>
    <row r="2348" customFormat="false" ht="15" hidden="false" customHeight="false" outlineLevel="0" collapsed="false">
      <c r="A2348" s="2" t="s">
        <v>2122</v>
      </c>
      <c r="B2348" s="13" t="n">
        <v>46295</v>
      </c>
      <c r="C2348" s="2" t="s">
        <v>89</v>
      </c>
      <c r="D2348" s="2" t="n">
        <v>1</v>
      </c>
      <c r="E2348" s="14" t="s">
        <v>426</v>
      </c>
      <c r="F2348" s="7" t="n">
        <v>14000</v>
      </c>
    </row>
    <row r="2349" customFormat="false" ht="15" hidden="false" customHeight="false" outlineLevel="0" collapsed="false">
      <c r="A2349" s="2" t="s">
        <v>2123</v>
      </c>
      <c r="B2349" s="13" t="n">
        <v>46295</v>
      </c>
      <c r="C2349" s="2" t="s">
        <v>81</v>
      </c>
      <c r="D2349" s="2" t="n">
        <v>2</v>
      </c>
      <c r="E2349" s="14" t="s">
        <v>531</v>
      </c>
      <c r="F2349" s="7" t="n">
        <v>15000</v>
      </c>
    </row>
    <row r="2350" customFormat="false" ht="15" hidden="false" customHeight="false" outlineLevel="0" collapsed="false">
      <c r="A2350" s="2" t="s">
        <v>2123</v>
      </c>
      <c r="B2350" s="13" t="n">
        <v>46295</v>
      </c>
      <c r="C2350" s="2" t="s">
        <v>84</v>
      </c>
      <c r="D2350" s="2" t="n">
        <v>2</v>
      </c>
      <c r="E2350" s="14" t="s">
        <v>531</v>
      </c>
      <c r="F2350" s="7" t="n">
        <v>5000</v>
      </c>
    </row>
    <row r="2351" customFormat="false" ht="15" hidden="false" customHeight="false" outlineLevel="0" collapsed="false">
      <c r="A2351" s="2" t="s">
        <v>2124</v>
      </c>
      <c r="B2351" s="13" t="n">
        <v>46295</v>
      </c>
      <c r="C2351" s="2" t="s">
        <v>84</v>
      </c>
      <c r="D2351" s="2" t="n">
        <v>1</v>
      </c>
      <c r="E2351" s="14" t="s">
        <v>2125</v>
      </c>
      <c r="F2351" s="7" t="n">
        <v>5000</v>
      </c>
    </row>
    <row r="2352" customFormat="false" ht="15" hidden="false" customHeight="false" outlineLevel="0" collapsed="false">
      <c r="A2352" s="2" t="s">
        <v>2126</v>
      </c>
      <c r="B2352" s="13" t="n">
        <v>46295</v>
      </c>
      <c r="C2352" s="2" t="s">
        <v>89</v>
      </c>
      <c r="D2352" s="2" t="n">
        <v>1</v>
      </c>
      <c r="E2352" s="14" t="s">
        <v>998</v>
      </c>
      <c r="F2352" s="7" t="n">
        <v>14000</v>
      </c>
    </row>
    <row r="2353" customFormat="false" ht="15" hidden="false" customHeight="false" outlineLevel="0" collapsed="false">
      <c r="A2353" s="2" t="s">
        <v>2127</v>
      </c>
      <c r="B2353" s="13" t="n">
        <v>46295</v>
      </c>
      <c r="C2353" s="2" t="s">
        <v>89</v>
      </c>
      <c r="D2353" s="2" t="n">
        <v>2</v>
      </c>
      <c r="E2353" s="14" t="s">
        <v>1154</v>
      </c>
      <c r="F2353" s="7" t="n">
        <v>14000</v>
      </c>
    </row>
    <row r="2354" customFormat="false" ht="15" hidden="false" customHeight="false" outlineLevel="0" collapsed="false">
      <c r="A2354" s="2" t="s">
        <v>2128</v>
      </c>
      <c r="B2354" s="13" t="n">
        <v>46295</v>
      </c>
      <c r="C2354" s="2" t="s">
        <v>81</v>
      </c>
      <c r="D2354" s="2" t="n">
        <v>1</v>
      </c>
      <c r="E2354" s="14" t="s">
        <v>933</v>
      </c>
      <c r="F2354" s="7" t="n">
        <v>15000</v>
      </c>
    </row>
    <row r="2355" customFormat="false" ht="15" hidden="false" customHeight="false" outlineLevel="0" collapsed="false">
      <c r="A2355" s="2" t="s">
        <v>2128</v>
      </c>
      <c r="B2355" s="13" t="n">
        <v>46295</v>
      </c>
      <c r="C2355" s="2" t="s">
        <v>112</v>
      </c>
      <c r="D2355" s="2" t="n">
        <v>1</v>
      </c>
      <c r="E2355" s="14" t="s">
        <v>933</v>
      </c>
      <c r="F2355" s="7" t="n">
        <v>10000</v>
      </c>
    </row>
    <row r="2356" customFormat="false" ht="15" hidden="false" customHeight="false" outlineLevel="0" collapsed="false">
      <c r="A2356" s="2" t="s">
        <v>2128</v>
      </c>
      <c r="B2356" s="13" t="n">
        <v>46295</v>
      </c>
      <c r="C2356" s="2" t="s">
        <v>108</v>
      </c>
      <c r="D2356" s="2" t="n">
        <v>3</v>
      </c>
      <c r="E2356" s="14" t="s">
        <v>933</v>
      </c>
      <c r="F2356" s="7" t="n">
        <v>20000</v>
      </c>
    </row>
    <row r="2357" customFormat="false" ht="15" hidden="false" customHeight="false" outlineLevel="0" collapsed="false">
      <c r="A2357" s="2" t="s">
        <v>2129</v>
      </c>
      <c r="B2357" s="13" t="n">
        <v>46295</v>
      </c>
      <c r="C2357" s="2" t="s">
        <v>79</v>
      </c>
      <c r="D2357" s="2" t="n">
        <v>1</v>
      </c>
      <c r="E2357" s="14" t="s">
        <v>936</v>
      </c>
      <c r="F2357" s="7" t="n">
        <v>16000</v>
      </c>
    </row>
    <row r="2358" customFormat="false" ht="15" hidden="false" customHeight="false" outlineLevel="0" collapsed="false">
      <c r="A2358" s="2" t="s">
        <v>2129</v>
      </c>
      <c r="B2358" s="13" t="n">
        <v>46295</v>
      </c>
      <c r="C2358" s="2" t="s">
        <v>186</v>
      </c>
      <c r="D2358" s="2" t="n">
        <v>2</v>
      </c>
      <c r="E2358" s="14" t="s">
        <v>936</v>
      </c>
      <c r="F2358" s="7" t="n">
        <v>7000</v>
      </c>
    </row>
    <row r="2359" customFormat="false" ht="15" hidden="false" customHeight="false" outlineLevel="0" collapsed="false">
      <c r="A2359" s="2" t="s">
        <v>2130</v>
      </c>
      <c r="B2359" s="13" t="n">
        <v>46295</v>
      </c>
      <c r="C2359" s="2" t="s">
        <v>108</v>
      </c>
      <c r="D2359" s="2" t="n">
        <v>1</v>
      </c>
      <c r="E2359" s="14" t="s">
        <v>943</v>
      </c>
      <c r="F2359" s="7" t="n">
        <v>20000</v>
      </c>
    </row>
    <row r="2360" customFormat="false" ht="15" hidden="false" customHeight="false" outlineLevel="0" collapsed="false">
      <c r="A2360" s="2" t="s">
        <v>2130</v>
      </c>
      <c r="B2360" s="13" t="n">
        <v>46295</v>
      </c>
      <c r="C2360" s="2" t="s">
        <v>2131</v>
      </c>
      <c r="D2360" s="2" t="n">
        <v>1</v>
      </c>
      <c r="E2360" s="14" t="s">
        <v>943</v>
      </c>
      <c r="F2360" s="7" t="n">
        <v>18000</v>
      </c>
    </row>
    <row r="2361" customFormat="false" ht="15" hidden="false" customHeight="false" outlineLevel="0" collapsed="false">
      <c r="A2361" s="2" t="s">
        <v>2132</v>
      </c>
      <c r="B2361" s="13" t="n">
        <v>46295</v>
      </c>
      <c r="C2361" s="2" t="s">
        <v>84</v>
      </c>
      <c r="D2361" s="2" t="n">
        <v>3</v>
      </c>
      <c r="E2361" s="14" t="s">
        <v>943</v>
      </c>
      <c r="F2361" s="7" t="n">
        <v>5000</v>
      </c>
    </row>
    <row r="2362" customFormat="false" ht="15" hidden="false" customHeight="false" outlineLevel="0" collapsed="false">
      <c r="A2362" s="2" t="s">
        <v>2132</v>
      </c>
      <c r="B2362" s="13" t="n">
        <v>46295</v>
      </c>
      <c r="C2362" s="2" t="s">
        <v>81</v>
      </c>
      <c r="D2362" s="2" t="n">
        <v>2</v>
      </c>
      <c r="E2362" s="14" t="s">
        <v>943</v>
      </c>
      <c r="F2362" s="7" t="n">
        <v>15000</v>
      </c>
    </row>
    <row r="2363" customFormat="false" ht="15" hidden="false" customHeight="false" outlineLevel="0" collapsed="false">
      <c r="A2363" s="2" t="s">
        <v>2133</v>
      </c>
      <c r="B2363" s="13" t="n">
        <v>46295</v>
      </c>
      <c r="C2363" s="2" t="s">
        <v>101</v>
      </c>
      <c r="D2363" s="2" t="n">
        <v>2</v>
      </c>
      <c r="E2363" s="14" t="s">
        <v>199</v>
      </c>
      <c r="F2363" s="7" t="n">
        <v>0</v>
      </c>
    </row>
    <row r="2364" customFormat="false" ht="15" hidden="false" customHeight="false" outlineLevel="0" collapsed="false">
      <c r="A2364" s="2" t="s">
        <v>2134</v>
      </c>
      <c r="B2364" s="13" t="n">
        <v>46295</v>
      </c>
      <c r="C2364" s="2" t="s">
        <v>108</v>
      </c>
      <c r="D2364" s="2" t="n">
        <v>1</v>
      </c>
      <c r="E2364" s="14" t="s">
        <v>1277</v>
      </c>
      <c r="F2364" s="7" t="n">
        <v>20000</v>
      </c>
    </row>
    <row r="2365" customFormat="false" ht="15" hidden="false" customHeight="false" outlineLevel="0" collapsed="false">
      <c r="A2365" s="2" t="s">
        <v>2135</v>
      </c>
      <c r="B2365" s="13" t="n">
        <v>46295</v>
      </c>
      <c r="C2365" s="2" t="s">
        <v>108</v>
      </c>
      <c r="D2365" s="2" t="n">
        <v>2</v>
      </c>
      <c r="E2365" s="14" t="s">
        <v>2030</v>
      </c>
      <c r="F2365" s="7" t="n">
        <v>20000</v>
      </c>
    </row>
    <row r="2366" customFormat="false" ht="15" hidden="false" customHeight="false" outlineLevel="0" collapsed="false">
      <c r="A2366" s="2" t="s">
        <v>2135</v>
      </c>
      <c r="B2366" s="13" t="n">
        <v>46295</v>
      </c>
      <c r="C2366" s="2" t="s">
        <v>126</v>
      </c>
      <c r="D2366" s="2" t="n">
        <v>1</v>
      </c>
      <c r="E2366" s="14" t="s">
        <v>2030</v>
      </c>
      <c r="F2366" s="7" t="n">
        <v>3000</v>
      </c>
    </row>
    <row r="2367" customFormat="false" ht="15" hidden="false" customHeight="false" outlineLevel="0" collapsed="false">
      <c r="A2367" s="2" t="s">
        <v>2136</v>
      </c>
      <c r="B2367" s="13" t="n">
        <v>46295</v>
      </c>
      <c r="C2367" s="2" t="s">
        <v>84</v>
      </c>
      <c r="D2367" s="2" t="n">
        <v>1</v>
      </c>
      <c r="E2367" s="14" t="s">
        <v>1106</v>
      </c>
      <c r="F2367" s="7" t="n">
        <v>5000</v>
      </c>
    </row>
    <row r="2368" customFormat="false" ht="15" hidden="false" customHeight="false" outlineLevel="0" collapsed="false">
      <c r="A2368" s="2" t="s">
        <v>2136</v>
      </c>
      <c r="B2368" s="13" t="n">
        <v>46295</v>
      </c>
      <c r="C2368" s="2" t="s">
        <v>126</v>
      </c>
      <c r="D2368" s="2" t="n">
        <v>1</v>
      </c>
      <c r="E2368" s="14" t="s">
        <v>1106</v>
      </c>
      <c r="F2368" s="7" t="n">
        <v>3000</v>
      </c>
    </row>
    <row r="2369" customFormat="false" ht="15" hidden="false" customHeight="false" outlineLevel="0" collapsed="false">
      <c r="A2369" s="2" t="s">
        <v>2137</v>
      </c>
      <c r="B2369" s="13" t="n">
        <v>46295</v>
      </c>
      <c r="C2369" s="2" t="s">
        <v>89</v>
      </c>
      <c r="D2369" s="2" t="n">
        <v>1</v>
      </c>
      <c r="E2369" s="14" t="s">
        <v>639</v>
      </c>
      <c r="F2369" s="7" t="n">
        <v>14000</v>
      </c>
    </row>
    <row r="2370" customFormat="false" ht="15" hidden="false" customHeight="false" outlineLevel="0" collapsed="false">
      <c r="A2370" s="2" t="s">
        <v>2137</v>
      </c>
      <c r="B2370" s="13" t="n">
        <v>46295</v>
      </c>
      <c r="C2370" s="2" t="s">
        <v>92</v>
      </c>
      <c r="D2370" s="2" t="n">
        <v>1</v>
      </c>
      <c r="E2370" s="14" t="s">
        <v>639</v>
      </c>
      <c r="F2370" s="7" t="n">
        <v>4000</v>
      </c>
    </row>
    <row r="2371" customFormat="false" ht="15" hidden="false" customHeight="false" outlineLevel="0" collapsed="false">
      <c r="A2371" s="2" t="s">
        <v>2138</v>
      </c>
      <c r="B2371" s="13" t="n">
        <v>46295</v>
      </c>
      <c r="C2371" s="2" t="s">
        <v>186</v>
      </c>
      <c r="D2371" s="2" t="n">
        <v>1</v>
      </c>
      <c r="E2371" s="14" t="s">
        <v>639</v>
      </c>
      <c r="F2371" s="7" t="n">
        <v>7000</v>
      </c>
    </row>
    <row r="2372" customFormat="false" ht="15" hidden="false" customHeight="false" outlineLevel="0" collapsed="false">
      <c r="A2372" s="2" t="s">
        <v>2138</v>
      </c>
      <c r="B2372" s="13" t="n">
        <v>46295</v>
      </c>
      <c r="C2372" s="2" t="s">
        <v>132</v>
      </c>
      <c r="D2372" s="2" t="n">
        <v>1</v>
      </c>
      <c r="E2372" s="14" t="s">
        <v>639</v>
      </c>
      <c r="F2372" s="7" t="n">
        <v>15000</v>
      </c>
    </row>
    <row r="2373" customFormat="false" ht="15" hidden="false" customHeight="false" outlineLevel="0" collapsed="false">
      <c r="A2373" s="2" t="s">
        <v>2139</v>
      </c>
      <c r="B2373" s="13" t="n">
        <v>46295</v>
      </c>
      <c r="C2373" s="2" t="s">
        <v>108</v>
      </c>
      <c r="D2373" s="2" t="n">
        <v>1</v>
      </c>
      <c r="E2373" s="14" t="s">
        <v>106</v>
      </c>
      <c r="F2373" s="7" t="n">
        <v>20000</v>
      </c>
    </row>
    <row r="2374" customFormat="false" ht="15" hidden="false" customHeight="false" outlineLevel="0" collapsed="false">
      <c r="A2374" s="2" t="s">
        <v>2139</v>
      </c>
      <c r="B2374" s="13" t="n">
        <v>46295</v>
      </c>
      <c r="C2374" s="2" t="s">
        <v>79</v>
      </c>
      <c r="D2374" s="2" t="n">
        <v>1</v>
      </c>
      <c r="E2374" s="14" t="s">
        <v>106</v>
      </c>
      <c r="F2374" s="7" t="n">
        <v>16000</v>
      </c>
    </row>
    <row r="2375" customFormat="false" ht="15" hidden="false" customHeight="false" outlineLevel="0" collapsed="false">
      <c r="A2375" s="2" t="s">
        <v>2140</v>
      </c>
      <c r="B2375" s="13" t="n">
        <v>46295</v>
      </c>
      <c r="C2375" s="2" t="s">
        <v>112</v>
      </c>
      <c r="D2375" s="2" t="n">
        <v>1</v>
      </c>
      <c r="E2375" s="14" t="s">
        <v>951</v>
      </c>
      <c r="F2375" s="7" t="n">
        <v>10000</v>
      </c>
    </row>
    <row r="2376" customFormat="false" ht="15" hidden="false" customHeight="false" outlineLevel="0" collapsed="false">
      <c r="A2376" s="2" t="s">
        <v>2141</v>
      </c>
      <c r="B2376" s="13" t="n">
        <v>46295</v>
      </c>
      <c r="C2376" s="2" t="s">
        <v>186</v>
      </c>
      <c r="D2376" s="2" t="n">
        <v>1</v>
      </c>
      <c r="E2376" s="14" t="s">
        <v>2089</v>
      </c>
      <c r="F2376" s="7" t="n">
        <v>7000</v>
      </c>
    </row>
    <row r="2377" customFormat="false" ht="15" hidden="false" customHeight="false" outlineLevel="0" collapsed="false">
      <c r="A2377" s="2" t="s">
        <v>2141</v>
      </c>
      <c r="B2377" s="13" t="n">
        <v>46295</v>
      </c>
      <c r="C2377" s="2" t="s">
        <v>132</v>
      </c>
      <c r="D2377" s="2" t="n">
        <v>2</v>
      </c>
      <c r="E2377" s="14" t="s">
        <v>2089</v>
      </c>
      <c r="F2377" s="7" t="n">
        <v>15000</v>
      </c>
    </row>
    <row r="2378" customFormat="false" ht="15" hidden="false" customHeight="false" outlineLevel="0" collapsed="false">
      <c r="A2378" s="2" t="s">
        <v>2142</v>
      </c>
      <c r="B2378" s="13" t="n">
        <v>46295</v>
      </c>
      <c r="C2378" s="2" t="s">
        <v>81</v>
      </c>
      <c r="D2378" s="2" t="n">
        <v>2</v>
      </c>
      <c r="E2378" s="14" t="s">
        <v>2143</v>
      </c>
      <c r="F2378" s="7" t="n">
        <v>15000</v>
      </c>
    </row>
    <row r="2379" customFormat="false" ht="15" hidden="false" customHeight="false" outlineLevel="0" collapsed="false">
      <c r="A2379" s="2" t="s">
        <v>2142</v>
      </c>
      <c r="B2379" s="13" t="n">
        <v>46295</v>
      </c>
      <c r="C2379" s="2" t="s">
        <v>186</v>
      </c>
      <c r="D2379" s="2" t="n">
        <v>1</v>
      </c>
      <c r="E2379" s="14" t="s">
        <v>2143</v>
      </c>
      <c r="F2379" s="7" t="n">
        <v>7000</v>
      </c>
    </row>
    <row r="2380" customFormat="false" ht="15" hidden="false" customHeight="false" outlineLevel="0" collapsed="false">
      <c r="A2380" s="2" t="s">
        <v>2142</v>
      </c>
      <c r="B2380" s="13" t="n">
        <v>46295</v>
      </c>
      <c r="C2380" s="2" t="s">
        <v>84</v>
      </c>
      <c r="D2380" s="2" t="n">
        <v>2</v>
      </c>
      <c r="E2380" s="14" t="s">
        <v>2143</v>
      </c>
      <c r="F2380" s="7" t="n">
        <v>5000</v>
      </c>
    </row>
    <row r="2381" customFormat="false" ht="15" hidden="false" customHeight="false" outlineLevel="0" collapsed="false">
      <c r="A2381" s="2" t="s">
        <v>2144</v>
      </c>
      <c r="B2381" s="13" t="n">
        <v>46295</v>
      </c>
      <c r="C2381" s="2" t="s">
        <v>186</v>
      </c>
      <c r="D2381" s="2" t="n">
        <v>1</v>
      </c>
      <c r="E2381" s="14" t="s">
        <v>2145</v>
      </c>
      <c r="F2381" s="7" t="n">
        <v>7000</v>
      </c>
    </row>
    <row r="2382" customFormat="false" ht="15" hidden="false" customHeight="false" outlineLevel="0" collapsed="false">
      <c r="A2382" s="2" t="s">
        <v>2146</v>
      </c>
      <c r="B2382" s="13" t="n">
        <v>46295</v>
      </c>
      <c r="C2382" s="2" t="s">
        <v>81</v>
      </c>
      <c r="D2382" s="2" t="n">
        <v>1</v>
      </c>
      <c r="E2382" s="14" t="s">
        <v>388</v>
      </c>
      <c r="F2382" s="7" t="n">
        <v>15000</v>
      </c>
    </row>
    <row r="2383" customFormat="false" ht="15" hidden="false" customHeight="false" outlineLevel="0" collapsed="false">
      <c r="A2383" s="2" t="s">
        <v>2147</v>
      </c>
      <c r="B2383" s="13" t="n">
        <v>46295</v>
      </c>
      <c r="C2383" s="2" t="s">
        <v>108</v>
      </c>
      <c r="D2383" s="2" t="n">
        <v>1</v>
      </c>
      <c r="E2383" s="14" t="s">
        <v>1045</v>
      </c>
      <c r="F2383" s="7" t="n">
        <v>20000</v>
      </c>
    </row>
    <row r="2384" customFormat="false" ht="15" hidden="false" customHeight="false" outlineLevel="0" collapsed="false">
      <c r="A2384" s="2" t="s">
        <v>2147</v>
      </c>
      <c r="B2384" s="13" t="n">
        <v>46295</v>
      </c>
      <c r="C2384" s="2" t="s">
        <v>79</v>
      </c>
      <c r="D2384" s="2" t="n">
        <v>1</v>
      </c>
      <c r="E2384" s="14" t="s">
        <v>1045</v>
      </c>
      <c r="F2384" s="7" t="n">
        <v>16000</v>
      </c>
    </row>
    <row r="2385" customFormat="false" ht="15" hidden="false" customHeight="false" outlineLevel="0" collapsed="false">
      <c r="A2385" s="2" t="s">
        <v>2147</v>
      </c>
      <c r="B2385" s="13" t="n">
        <v>46295</v>
      </c>
      <c r="C2385" s="2" t="s">
        <v>84</v>
      </c>
      <c r="D2385" s="2" t="n">
        <v>2</v>
      </c>
      <c r="E2385" s="14" t="s">
        <v>1045</v>
      </c>
      <c r="F2385" s="7" t="n">
        <v>5000</v>
      </c>
    </row>
    <row r="2386" customFormat="false" ht="15" hidden="false" customHeight="false" outlineLevel="0" collapsed="false">
      <c r="A2386" s="2" t="s">
        <v>2148</v>
      </c>
      <c r="B2386" s="13" t="n">
        <v>46295</v>
      </c>
      <c r="C2386" s="2" t="s">
        <v>89</v>
      </c>
      <c r="D2386" s="2" t="n">
        <v>1</v>
      </c>
      <c r="E2386" s="14" t="s">
        <v>1966</v>
      </c>
      <c r="F2386" s="7" t="n">
        <v>14000</v>
      </c>
    </row>
    <row r="2387" customFormat="false" ht="15" hidden="false" customHeight="false" outlineLevel="0" collapsed="false">
      <c r="A2387" s="2" t="s">
        <v>2148</v>
      </c>
      <c r="B2387" s="13" t="n">
        <v>46295</v>
      </c>
      <c r="C2387" s="2" t="s">
        <v>186</v>
      </c>
      <c r="D2387" s="2" t="n">
        <v>1</v>
      </c>
      <c r="E2387" s="14" t="s">
        <v>1966</v>
      </c>
      <c r="F2387" s="7" t="n">
        <v>7000</v>
      </c>
    </row>
    <row r="2388" customFormat="false" ht="15" hidden="false" customHeight="false" outlineLevel="0" collapsed="false">
      <c r="A2388" s="2" t="s">
        <v>2148</v>
      </c>
      <c r="B2388" s="13" t="n">
        <v>46295</v>
      </c>
      <c r="C2388" s="2" t="s">
        <v>112</v>
      </c>
      <c r="D2388" s="2" t="n">
        <v>1</v>
      </c>
      <c r="E2388" s="14" t="s">
        <v>1966</v>
      </c>
      <c r="F2388" s="7" t="n">
        <v>10000</v>
      </c>
    </row>
    <row r="2389" customFormat="false" ht="15" hidden="false" customHeight="false" outlineLevel="0" collapsed="false">
      <c r="A2389" s="2" t="s">
        <v>2149</v>
      </c>
      <c r="B2389" s="13" t="n">
        <v>46295</v>
      </c>
      <c r="C2389" s="2" t="s">
        <v>82</v>
      </c>
      <c r="D2389" s="2" t="n">
        <v>1</v>
      </c>
      <c r="E2389" s="14" t="s">
        <v>2150</v>
      </c>
      <c r="F2389" s="7" t="n">
        <v>13000</v>
      </c>
    </row>
    <row r="2390" customFormat="false" ht="15" hidden="false" customHeight="false" outlineLevel="0" collapsed="false">
      <c r="A2390" s="2" t="s">
        <v>2151</v>
      </c>
      <c r="B2390" s="13" t="n">
        <v>46295</v>
      </c>
      <c r="C2390" s="2" t="s">
        <v>82</v>
      </c>
      <c r="D2390" s="2" t="n">
        <v>1</v>
      </c>
      <c r="E2390" s="14" t="s">
        <v>2150</v>
      </c>
      <c r="F2390" s="7" t="n">
        <v>13000</v>
      </c>
    </row>
    <row r="2391" customFormat="false" ht="15" hidden="false" customHeight="false" outlineLevel="0" collapsed="false">
      <c r="A2391" s="2" t="s">
        <v>2151</v>
      </c>
      <c r="B2391" s="13" t="n">
        <v>46295</v>
      </c>
      <c r="C2391" s="2" t="s">
        <v>126</v>
      </c>
      <c r="D2391" s="2" t="n">
        <v>2</v>
      </c>
      <c r="E2391" s="14" t="s">
        <v>2150</v>
      </c>
      <c r="F2391" s="7" t="n">
        <v>3000</v>
      </c>
    </row>
    <row r="2392" customFormat="false" ht="15" hidden="false" customHeight="false" outlineLevel="0" collapsed="false">
      <c r="A2392" s="2" t="s">
        <v>2152</v>
      </c>
      <c r="B2392" s="13" t="n">
        <v>46295</v>
      </c>
      <c r="C2392" s="2" t="s">
        <v>132</v>
      </c>
      <c r="D2392" s="2" t="n">
        <v>1</v>
      </c>
      <c r="E2392" s="14" t="s">
        <v>803</v>
      </c>
      <c r="F2392" s="7" t="n">
        <v>15000</v>
      </c>
    </row>
    <row r="2393" customFormat="false" ht="15" hidden="false" customHeight="false" outlineLevel="0" collapsed="false">
      <c r="A2393" s="2" t="s">
        <v>2152</v>
      </c>
      <c r="B2393" s="13" t="n">
        <v>46295</v>
      </c>
      <c r="C2393" s="2" t="s">
        <v>81</v>
      </c>
      <c r="D2393" s="2" t="n">
        <v>1</v>
      </c>
      <c r="E2393" s="14" t="s">
        <v>803</v>
      </c>
      <c r="F2393" s="7" t="n">
        <v>15000</v>
      </c>
    </row>
    <row r="2394" customFormat="false" ht="15" hidden="false" customHeight="false" outlineLevel="0" collapsed="false">
      <c r="A2394" s="2" t="s">
        <v>2152</v>
      </c>
      <c r="B2394" s="13" t="n">
        <v>46295</v>
      </c>
      <c r="C2394" s="2" t="s">
        <v>79</v>
      </c>
      <c r="D2394" s="2" t="n">
        <v>1</v>
      </c>
      <c r="E2394" s="14" t="s">
        <v>803</v>
      </c>
      <c r="F2394" s="7" t="n">
        <v>16000</v>
      </c>
    </row>
    <row r="2395" customFormat="false" ht="15" hidden="false" customHeight="false" outlineLevel="0" collapsed="false">
      <c r="A2395" s="2" t="s">
        <v>2152</v>
      </c>
      <c r="B2395" s="13" t="n">
        <v>46295</v>
      </c>
      <c r="C2395" s="2" t="s">
        <v>79</v>
      </c>
      <c r="D2395" s="2" t="n">
        <v>1</v>
      </c>
      <c r="E2395" s="14" t="s">
        <v>803</v>
      </c>
      <c r="F2395" s="7" t="n">
        <v>16000</v>
      </c>
    </row>
    <row r="2396" customFormat="false" ht="15" hidden="false" customHeight="false" outlineLevel="0" collapsed="false">
      <c r="A2396" s="2" t="s">
        <v>2153</v>
      </c>
      <c r="B2396" s="13" t="n">
        <v>46295</v>
      </c>
      <c r="C2396" s="2" t="s">
        <v>112</v>
      </c>
      <c r="D2396" s="2" t="n">
        <v>1</v>
      </c>
      <c r="E2396" s="14" t="s">
        <v>579</v>
      </c>
      <c r="F2396" s="7" t="n">
        <v>10000</v>
      </c>
    </row>
    <row r="2397" customFormat="false" ht="15" hidden="false" customHeight="false" outlineLevel="0" collapsed="false">
      <c r="A2397" s="2" t="s">
        <v>2154</v>
      </c>
      <c r="B2397" s="13" t="n">
        <v>46295</v>
      </c>
      <c r="C2397" s="2" t="s">
        <v>92</v>
      </c>
      <c r="D2397" s="2" t="n">
        <v>2</v>
      </c>
      <c r="E2397" s="14" t="s">
        <v>662</v>
      </c>
      <c r="F2397" s="7" t="n">
        <v>4000</v>
      </c>
    </row>
    <row r="2398" customFormat="false" ht="15" hidden="false" customHeight="false" outlineLevel="0" collapsed="false">
      <c r="A2398" s="2" t="s">
        <v>2154</v>
      </c>
      <c r="B2398" s="13" t="n">
        <v>46295</v>
      </c>
      <c r="C2398" s="2" t="s">
        <v>81</v>
      </c>
      <c r="D2398" s="2" t="n">
        <v>1</v>
      </c>
      <c r="E2398" s="14" t="s">
        <v>662</v>
      </c>
      <c r="F2398" s="7" t="n">
        <v>15000</v>
      </c>
    </row>
    <row r="2399" customFormat="false" ht="15" hidden="false" customHeight="false" outlineLevel="0" collapsed="false">
      <c r="A2399" s="2" t="s">
        <v>2155</v>
      </c>
      <c r="B2399" s="13" t="n">
        <v>46295</v>
      </c>
      <c r="C2399" s="2" t="s">
        <v>81</v>
      </c>
      <c r="D2399" s="2" t="n">
        <v>1</v>
      </c>
      <c r="E2399" s="14" t="s">
        <v>807</v>
      </c>
      <c r="F2399" s="7" t="n">
        <v>15000</v>
      </c>
    </row>
    <row r="2400" customFormat="false" ht="15" hidden="false" customHeight="false" outlineLevel="0" collapsed="false">
      <c r="A2400" s="2" t="s">
        <v>2155</v>
      </c>
      <c r="B2400" s="13" t="n">
        <v>46295</v>
      </c>
      <c r="C2400" s="2" t="s">
        <v>84</v>
      </c>
      <c r="D2400" s="2" t="n">
        <v>1</v>
      </c>
      <c r="E2400" s="14" t="s">
        <v>807</v>
      </c>
      <c r="F2400" s="7" t="n">
        <v>5000</v>
      </c>
    </row>
    <row r="2401" customFormat="false" ht="15" hidden="false" customHeight="false" outlineLevel="0" collapsed="false">
      <c r="A2401" s="2" t="s">
        <v>2156</v>
      </c>
      <c r="B2401" s="13" t="n">
        <v>46295</v>
      </c>
      <c r="C2401" s="2" t="s">
        <v>81</v>
      </c>
      <c r="D2401" s="2" t="n">
        <v>1</v>
      </c>
      <c r="E2401" s="14" t="s">
        <v>900</v>
      </c>
      <c r="F2401" s="7" t="n">
        <v>15000</v>
      </c>
    </row>
    <row r="2402" customFormat="false" ht="15" hidden="false" customHeight="false" outlineLevel="0" collapsed="false">
      <c r="A2402" s="2" t="s">
        <v>2157</v>
      </c>
      <c r="B2402" s="13" t="n">
        <v>46295</v>
      </c>
      <c r="C2402" s="2" t="s">
        <v>84</v>
      </c>
      <c r="D2402" s="2" t="n">
        <v>2</v>
      </c>
      <c r="E2402" s="14" t="s">
        <v>2045</v>
      </c>
      <c r="F2402" s="7" t="n">
        <v>5000</v>
      </c>
    </row>
    <row r="2403" customFormat="false" ht="15" hidden="false" customHeight="false" outlineLevel="0" collapsed="false">
      <c r="A2403" s="2" t="s">
        <v>2158</v>
      </c>
      <c r="B2403" s="13" t="n">
        <v>46295</v>
      </c>
      <c r="C2403" s="2" t="s">
        <v>84</v>
      </c>
      <c r="D2403" s="2" t="n">
        <v>1</v>
      </c>
      <c r="E2403" s="14" t="s">
        <v>669</v>
      </c>
      <c r="F2403" s="7" t="n">
        <v>5000</v>
      </c>
    </row>
    <row r="2404" customFormat="false" ht="15" hidden="false" customHeight="false" outlineLevel="0" collapsed="false">
      <c r="A2404" s="2" t="s">
        <v>2158</v>
      </c>
      <c r="B2404" s="13" t="n">
        <v>46295</v>
      </c>
      <c r="C2404" s="2" t="s">
        <v>92</v>
      </c>
      <c r="D2404" s="2" t="n">
        <v>2</v>
      </c>
      <c r="E2404" s="14" t="s">
        <v>669</v>
      </c>
      <c r="F2404" s="7" t="n">
        <v>4000</v>
      </c>
    </row>
    <row r="2405" customFormat="false" ht="15" hidden="false" customHeight="false" outlineLevel="0" collapsed="false">
      <c r="A2405" s="2" t="s">
        <v>2159</v>
      </c>
      <c r="B2405" s="13" t="n">
        <v>46295</v>
      </c>
      <c r="C2405" s="2" t="s">
        <v>81</v>
      </c>
      <c r="D2405" s="2" t="n">
        <v>2</v>
      </c>
      <c r="E2405" s="14" t="s">
        <v>588</v>
      </c>
      <c r="F2405" s="7" t="n">
        <v>15000</v>
      </c>
    </row>
    <row r="2406" customFormat="false" ht="15" hidden="false" customHeight="false" outlineLevel="0" collapsed="false">
      <c r="A2406" s="2" t="s">
        <v>2159</v>
      </c>
      <c r="B2406" s="13" t="n">
        <v>46295</v>
      </c>
      <c r="C2406" s="2" t="s">
        <v>132</v>
      </c>
      <c r="D2406" s="2" t="n">
        <v>1</v>
      </c>
      <c r="E2406" s="14" t="s">
        <v>588</v>
      </c>
      <c r="F2406" s="7" t="n">
        <v>15000</v>
      </c>
    </row>
    <row r="2407" customFormat="false" ht="15" hidden="false" customHeight="false" outlineLevel="0" collapsed="false">
      <c r="A2407" s="2" t="s">
        <v>2159</v>
      </c>
      <c r="B2407" s="13" t="n">
        <v>46295</v>
      </c>
      <c r="C2407" s="2" t="s">
        <v>84</v>
      </c>
      <c r="D2407" s="2" t="n">
        <v>1</v>
      </c>
      <c r="E2407" s="14" t="s">
        <v>588</v>
      </c>
      <c r="F2407" s="7" t="n">
        <v>5000</v>
      </c>
    </row>
    <row r="2408" customFormat="false" ht="15" hidden="false" customHeight="false" outlineLevel="0" collapsed="false">
      <c r="A2408" s="2" t="s">
        <v>2160</v>
      </c>
      <c r="B2408" s="13" t="n">
        <v>46295</v>
      </c>
      <c r="C2408" s="2" t="s">
        <v>126</v>
      </c>
      <c r="D2408" s="2" t="n">
        <v>2</v>
      </c>
      <c r="E2408" s="14" t="s">
        <v>509</v>
      </c>
      <c r="F2408" s="7" t="n">
        <v>3000</v>
      </c>
    </row>
    <row r="2409" customFormat="false" ht="15" hidden="false" customHeight="false" outlineLevel="0" collapsed="false">
      <c r="A2409" s="2" t="s">
        <v>2161</v>
      </c>
      <c r="B2409" s="13" t="n">
        <v>46295</v>
      </c>
      <c r="C2409" s="2" t="s">
        <v>108</v>
      </c>
      <c r="D2409" s="2" t="n">
        <v>2</v>
      </c>
      <c r="E2409" s="14" t="s">
        <v>815</v>
      </c>
      <c r="F2409" s="7" t="n">
        <v>20000</v>
      </c>
    </row>
    <row r="2410" customFormat="false" ht="15" hidden="false" customHeight="false" outlineLevel="0" collapsed="false">
      <c r="A2410" s="2" t="s">
        <v>2162</v>
      </c>
      <c r="B2410" s="13" t="n">
        <v>46295</v>
      </c>
      <c r="C2410" s="2" t="s">
        <v>79</v>
      </c>
      <c r="D2410" s="2" t="n">
        <v>2</v>
      </c>
      <c r="E2410" s="14" t="s">
        <v>818</v>
      </c>
      <c r="F2410" s="7" t="n">
        <v>16000</v>
      </c>
    </row>
    <row r="2411" customFormat="false" ht="15" hidden="false" customHeight="false" outlineLevel="0" collapsed="false">
      <c r="A2411" s="2" t="s">
        <v>2162</v>
      </c>
      <c r="B2411" s="13" t="n">
        <v>46295</v>
      </c>
      <c r="C2411" s="2" t="s">
        <v>101</v>
      </c>
      <c r="D2411" s="2" t="n">
        <v>1</v>
      </c>
      <c r="E2411" s="14" t="s">
        <v>818</v>
      </c>
      <c r="F2411" s="7" t="n">
        <v>18000</v>
      </c>
    </row>
    <row r="2412" customFormat="false" ht="15" hidden="false" customHeight="false" outlineLevel="0" collapsed="false">
      <c r="A2412" s="2" t="s">
        <v>2163</v>
      </c>
      <c r="B2412" s="13" t="n">
        <v>46295</v>
      </c>
      <c r="C2412" s="2" t="s">
        <v>92</v>
      </c>
      <c r="D2412" s="2" t="n">
        <v>1</v>
      </c>
      <c r="E2412" s="14" t="s">
        <v>400</v>
      </c>
      <c r="F2412" s="7" t="n">
        <v>4000</v>
      </c>
    </row>
    <row r="2413" customFormat="false" ht="15" hidden="false" customHeight="false" outlineLevel="0" collapsed="false">
      <c r="A2413" s="2" t="s">
        <v>2163</v>
      </c>
      <c r="B2413" s="13" t="n">
        <v>46295</v>
      </c>
      <c r="C2413" s="2" t="s">
        <v>81</v>
      </c>
      <c r="D2413" s="2" t="n">
        <v>1</v>
      </c>
      <c r="E2413" s="14" t="s">
        <v>400</v>
      </c>
      <c r="F2413" s="7" t="n">
        <v>15000</v>
      </c>
    </row>
    <row r="2414" customFormat="false" ht="15" hidden="false" customHeight="false" outlineLevel="0" collapsed="false">
      <c r="A2414" s="2" t="s">
        <v>2163</v>
      </c>
      <c r="B2414" s="13" t="n">
        <v>46295</v>
      </c>
      <c r="C2414" s="2" t="s">
        <v>101</v>
      </c>
      <c r="D2414" s="2" t="n">
        <v>1</v>
      </c>
      <c r="E2414" s="14" t="s">
        <v>400</v>
      </c>
      <c r="F2414" s="7" t="n">
        <v>18000</v>
      </c>
    </row>
    <row r="2415" customFormat="false" ht="15" hidden="false" customHeight="false" outlineLevel="0" collapsed="false">
      <c r="A2415" s="2" t="s">
        <v>2164</v>
      </c>
      <c r="B2415" s="13" t="n">
        <v>46295</v>
      </c>
      <c r="C2415" s="2" t="s">
        <v>82</v>
      </c>
      <c r="D2415" s="2" t="n">
        <v>1</v>
      </c>
      <c r="E2415" s="14" t="s">
        <v>316</v>
      </c>
      <c r="F2415" s="7" t="n">
        <v>13000</v>
      </c>
    </row>
    <row r="2416" customFormat="false" ht="15" hidden="false" customHeight="false" outlineLevel="0" collapsed="false">
      <c r="A2416" s="2" t="s">
        <v>2164</v>
      </c>
      <c r="B2416" s="13" t="n">
        <v>46295</v>
      </c>
      <c r="C2416" s="2" t="s">
        <v>79</v>
      </c>
      <c r="D2416" s="2" t="n">
        <v>1</v>
      </c>
      <c r="E2416" s="14" t="s">
        <v>316</v>
      </c>
      <c r="F2416" s="7" t="n">
        <v>16000</v>
      </c>
    </row>
    <row r="2417" customFormat="false" ht="15" hidden="false" customHeight="false" outlineLevel="0" collapsed="false">
      <c r="A2417" s="2" t="s">
        <v>2164</v>
      </c>
      <c r="B2417" s="13" t="n">
        <v>46295</v>
      </c>
      <c r="C2417" s="2" t="s">
        <v>84</v>
      </c>
      <c r="D2417" s="2" t="n">
        <v>1</v>
      </c>
      <c r="E2417" s="14" t="s">
        <v>316</v>
      </c>
      <c r="F2417" s="7" t="n">
        <v>5000</v>
      </c>
    </row>
    <row r="2418" customFormat="false" ht="15" hidden="false" customHeight="false" outlineLevel="0" collapsed="false">
      <c r="A2418" s="2" t="s">
        <v>2165</v>
      </c>
      <c r="B2418" s="13" t="n">
        <v>46295</v>
      </c>
      <c r="C2418" s="2" t="s">
        <v>126</v>
      </c>
      <c r="D2418" s="2" t="n">
        <v>1</v>
      </c>
      <c r="E2418" s="14" t="s">
        <v>594</v>
      </c>
      <c r="F2418" s="7" t="n">
        <v>3000</v>
      </c>
    </row>
    <row r="2419" customFormat="false" ht="15" hidden="false" customHeight="false" outlineLevel="0" collapsed="false">
      <c r="A2419" s="2" t="s">
        <v>2165</v>
      </c>
      <c r="B2419" s="13" t="n">
        <v>46295</v>
      </c>
      <c r="C2419" s="2" t="s">
        <v>89</v>
      </c>
      <c r="D2419" s="2" t="n">
        <v>1</v>
      </c>
      <c r="E2419" s="14" t="s">
        <v>594</v>
      </c>
      <c r="F2419" s="7" t="n">
        <v>14000</v>
      </c>
    </row>
    <row r="2420" customFormat="false" ht="15" hidden="false" customHeight="false" outlineLevel="0" collapsed="false">
      <c r="A2420" s="2" t="s">
        <v>2166</v>
      </c>
      <c r="B2420" s="13" t="n">
        <v>46295</v>
      </c>
      <c r="C2420" s="2" t="s">
        <v>92</v>
      </c>
      <c r="D2420" s="2" t="n">
        <v>2</v>
      </c>
      <c r="E2420" s="14" t="s">
        <v>752</v>
      </c>
      <c r="F2420" s="7" t="n">
        <v>4000</v>
      </c>
    </row>
    <row r="2421" customFormat="false" ht="15" hidden="false" customHeight="false" outlineLevel="0" collapsed="false">
      <c r="A2421" s="2" t="s">
        <v>2167</v>
      </c>
      <c r="B2421" s="13" t="n">
        <v>46295</v>
      </c>
      <c r="C2421" s="2" t="s">
        <v>89</v>
      </c>
      <c r="D2421" s="2" t="n">
        <v>1</v>
      </c>
      <c r="E2421" s="14" t="s">
        <v>1252</v>
      </c>
      <c r="F2421" s="7" t="n">
        <v>14000</v>
      </c>
    </row>
    <row r="2422" customFormat="false" ht="15" hidden="false" customHeight="false" outlineLevel="0" collapsed="false">
      <c r="A2422" s="2" t="s">
        <v>2167</v>
      </c>
      <c r="B2422" s="13" t="n">
        <v>46295</v>
      </c>
      <c r="C2422" s="2" t="s">
        <v>89</v>
      </c>
      <c r="D2422" s="2" t="n">
        <v>1</v>
      </c>
      <c r="E2422" s="14" t="s">
        <v>1252</v>
      </c>
      <c r="F2422" s="7" t="n">
        <v>14000</v>
      </c>
    </row>
    <row r="2423" customFormat="false" ht="15" hidden="false" customHeight="false" outlineLevel="0" collapsed="false">
      <c r="A2423" s="2" t="s">
        <v>2167</v>
      </c>
      <c r="B2423" s="13" t="n">
        <v>46295</v>
      </c>
      <c r="C2423" s="2" t="s">
        <v>132</v>
      </c>
      <c r="D2423" s="2" t="n">
        <v>2</v>
      </c>
      <c r="E2423" s="14" t="s">
        <v>1252</v>
      </c>
      <c r="F2423" s="7" t="n">
        <v>15000</v>
      </c>
    </row>
    <row r="2424" customFormat="false" ht="15" hidden="false" customHeight="false" outlineLevel="0" collapsed="false">
      <c r="A2424" s="2" t="s">
        <v>2167</v>
      </c>
      <c r="B2424" s="13" t="n">
        <v>46295</v>
      </c>
      <c r="C2424" s="2" t="s">
        <v>186</v>
      </c>
      <c r="D2424" s="2" t="n">
        <v>2</v>
      </c>
      <c r="E2424" s="14" t="s">
        <v>1252</v>
      </c>
      <c r="F2424" s="7" t="n">
        <v>7000</v>
      </c>
    </row>
    <row r="2425" customFormat="false" ht="15" hidden="false" customHeight="false" outlineLevel="0" collapsed="false">
      <c r="A2425" s="2" t="s">
        <v>2168</v>
      </c>
      <c r="B2425" s="13" t="n">
        <v>46295</v>
      </c>
      <c r="C2425" s="2" t="s">
        <v>92</v>
      </c>
      <c r="D2425" s="2" t="n">
        <v>2</v>
      </c>
      <c r="E2425" s="14" t="s">
        <v>1198</v>
      </c>
      <c r="F2425" s="7" t="n">
        <v>4000</v>
      </c>
    </row>
    <row r="2426" customFormat="false" ht="15" hidden="false" customHeight="false" outlineLevel="0" collapsed="false">
      <c r="A2426" s="2" t="s">
        <v>2168</v>
      </c>
      <c r="B2426" s="13" t="n">
        <v>46295</v>
      </c>
      <c r="C2426" s="2" t="s">
        <v>101</v>
      </c>
      <c r="D2426" s="2" t="n">
        <v>1</v>
      </c>
      <c r="E2426" s="14" t="s">
        <v>1198</v>
      </c>
      <c r="F2426" s="7" t="n">
        <v>18000</v>
      </c>
    </row>
    <row r="2427" customFormat="false" ht="15" hidden="false" customHeight="false" outlineLevel="0" collapsed="false">
      <c r="A2427" s="2" t="s">
        <v>2168</v>
      </c>
      <c r="B2427" s="13" t="n">
        <v>46295</v>
      </c>
      <c r="C2427" s="2" t="s">
        <v>81</v>
      </c>
      <c r="D2427" s="2" t="n">
        <v>1</v>
      </c>
      <c r="E2427" s="14" t="s">
        <v>1198</v>
      </c>
      <c r="F2427" s="7" t="n">
        <v>15000</v>
      </c>
    </row>
    <row r="2428" customFormat="false" ht="15" hidden="false" customHeight="false" outlineLevel="0" collapsed="false">
      <c r="A2428" s="2" t="s">
        <v>2169</v>
      </c>
      <c r="B2428" s="13" t="n">
        <v>46295</v>
      </c>
      <c r="C2428" s="2" t="s">
        <v>84</v>
      </c>
      <c r="D2428" s="2" t="n">
        <v>1</v>
      </c>
      <c r="E2428" s="14" t="s">
        <v>607</v>
      </c>
      <c r="F2428" s="7" t="n">
        <v>5000</v>
      </c>
    </row>
    <row r="2429" customFormat="false" ht="15" hidden="false" customHeight="false" outlineLevel="0" collapsed="false">
      <c r="A2429" s="2" t="s">
        <v>2170</v>
      </c>
      <c r="B2429" s="13" t="n">
        <v>46295</v>
      </c>
      <c r="C2429" s="2" t="s">
        <v>112</v>
      </c>
      <c r="D2429" s="2" t="n">
        <v>2</v>
      </c>
      <c r="E2429" s="14" t="s">
        <v>1134</v>
      </c>
      <c r="F2429" s="7" t="n">
        <v>10000</v>
      </c>
    </row>
    <row r="2430" customFormat="false" ht="15" hidden="false" customHeight="false" outlineLevel="0" collapsed="false">
      <c r="A2430" s="2" t="s">
        <v>2171</v>
      </c>
      <c r="B2430" s="13" t="n">
        <v>46295</v>
      </c>
      <c r="C2430" s="2" t="s">
        <v>81</v>
      </c>
      <c r="D2430" s="2" t="n">
        <v>1</v>
      </c>
      <c r="E2430" s="14" t="s">
        <v>1310</v>
      </c>
      <c r="F2430" s="7" t="n">
        <v>15000</v>
      </c>
    </row>
    <row r="2431" customFormat="false" ht="15" hidden="false" customHeight="false" outlineLevel="0" collapsed="false">
      <c r="A2431" s="2" t="s">
        <v>2171</v>
      </c>
      <c r="B2431" s="13" t="n">
        <v>46295</v>
      </c>
      <c r="C2431" s="2" t="s">
        <v>84</v>
      </c>
      <c r="D2431" s="2" t="n">
        <v>1</v>
      </c>
      <c r="E2431" s="14" t="s">
        <v>1310</v>
      </c>
      <c r="F2431" s="7" t="n">
        <v>5000</v>
      </c>
    </row>
  </sheetData>
  <autoFilter ref="A1:F24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34"/>
    <col collapsed="false" customWidth="true" hidden="false" outlineLevel="0" max="6" min="6" style="0" width="46"/>
    <col collapsed="false" customWidth="true" hidden="false" outlineLevel="0" max="7" min="7" style="0" width="20"/>
    <col collapsed="false" customWidth="true" hidden="false" outlineLevel="0" max="8" min="8" style="0" width="16"/>
  </cols>
  <sheetData>
    <row r="1" customFormat="false" ht="23.85" hidden="false" customHeight="false" outlineLevel="0" collapsed="false">
      <c r="A1" s="12" t="s">
        <v>2172</v>
      </c>
      <c r="B1" s="12" t="s">
        <v>2173</v>
      </c>
      <c r="C1" s="12" t="s">
        <v>36</v>
      </c>
      <c r="D1" s="12" t="s">
        <v>2174</v>
      </c>
      <c r="E1" s="12" t="s">
        <v>2175</v>
      </c>
      <c r="F1" s="12" t="s">
        <v>2176</v>
      </c>
      <c r="G1" s="12" t="s">
        <v>2177</v>
      </c>
      <c r="H1" s="12" t="s">
        <v>2178</v>
      </c>
    </row>
    <row r="2" customFormat="false" ht="15" hidden="false" customHeight="false" outlineLevel="0" collapsed="false">
      <c r="A2" s="10" t="n">
        <v>1</v>
      </c>
      <c r="B2" s="10" t="n">
        <v>78</v>
      </c>
      <c r="C2" s="10" t="s">
        <v>180</v>
      </c>
      <c r="D2" s="10" t="s">
        <v>25</v>
      </c>
      <c r="E2" s="10" t="s">
        <v>2179</v>
      </c>
      <c r="F2" s="10" t="s">
        <v>2180</v>
      </c>
      <c r="G2" s="10" t="s">
        <v>181</v>
      </c>
      <c r="H2" s="10" t="s">
        <v>2181</v>
      </c>
    </row>
    <row r="3" customFormat="false" ht="15" hidden="false" customHeight="false" outlineLevel="0" collapsed="false">
      <c r="A3" s="10" t="n">
        <v>2</v>
      </c>
      <c r="B3" s="10" t="n">
        <v>89</v>
      </c>
      <c r="C3" s="10" t="s">
        <v>194</v>
      </c>
      <c r="D3" s="10" t="s">
        <v>25</v>
      </c>
      <c r="E3" s="10" t="s">
        <v>2179</v>
      </c>
      <c r="F3" s="10" t="s">
        <v>2180</v>
      </c>
      <c r="G3" s="10" t="s">
        <v>195</v>
      </c>
      <c r="H3" s="10" t="s">
        <v>2181</v>
      </c>
    </row>
    <row r="4" customFormat="false" ht="15" hidden="false" customHeight="false" outlineLevel="0" collapsed="false">
      <c r="A4" s="10" t="n">
        <v>3</v>
      </c>
      <c r="B4" s="10" t="n">
        <v>98</v>
      </c>
      <c r="C4" s="10" t="s">
        <v>202</v>
      </c>
      <c r="D4" s="10" t="s">
        <v>24</v>
      </c>
      <c r="E4" s="10" t="s">
        <v>203</v>
      </c>
      <c r="F4" s="10" t="s">
        <v>2182</v>
      </c>
      <c r="G4" s="10" t="s">
        <v>204</v>
      </c>
      <c r="H4" s="10" t="s">
        <v>2183</v>
      </c>
    </row>
    <row r="5" customFormat="false" ht="15" hidden="false" customHeight="false" outlineLevel="0" collapsed="false">
      <c r="A5" s="10" t="n">
        <v>4</v>
      </c>
      <c r="B5" s="10" t="n">
        <v>138</v>
      </c>
      <c r="C5" s="10" t="s">
        <v>252</v>
      </c>
      <c r="D5" s="10" t="s">
        <v>23</v>
      </c>
      <c r="E5" s="10" t="s">
        <v>2184</v>
      </c>
      <c r="F5" s="10" t="s">
        <v>2185</v>
      </c>
      <c r="G5" s="10" t="s">
        <v>89</v>
      </c>
      <c r="H5" s="10" t="s">
        <v>2183</v>
      </c>
    </row>
    <row r="6" customFormat="false" ht="15" hidden="false" customHeight="false" outlineLevel="0" collapsed="false">
      <c r="A6" s="10" t="n">
        <v>5</v>
      </c>
      <c r="B6" s="10" t="n">
        <v>183</v>
      </c>
      <c r="C6" s="10" t="s">
        <v>299</v>
      </c>
      <c r="D6" s="10" t="s">
        <v>26</v>
      </c>
      <c r="E6" s="10" t="s">
        <v>2179</v>
      </c>
      <c r="F6" s="10" t="s">
        <v>2186</v>
      </c>
      <c r="G6" s="10" t="s">
        <v>2187</v>
      </c>
      <c r="H6" s="10" t="s">
        <v>2181</v>
      </c>
    </row>
    <row r="7" customFormat="false" ht="15" hidden="false" customHeight="false" outlineLevel="0" collapsed="false">
      <c r="A7" s="10" t="n">
        <v>6</v>
      </c>
      <c r="B7" s="10" t="n">
        <v>191</v>
      </c>
      <c r="C7" s="10" t="s">
        <v>307</v>
      </c>
      <c r="D7" s="10" t="s">
        <v>26</v>
      </c>
      <c r="E7" s="10" t="s">
        <v>2179</v>
      </c>
      <c r="F7" s="10" t="s">
        <v>2186</v>
      </c>
      <c r="G7" s="10" t="s">
        <v>2187</v>
      </c>
      <c r="H7" s="10" t="s">
        <v>2181</v>
      </c>
    </row>
    <row r="8" customFormat="false" ht="15" hidden="false" customHeight="false" outlineLevel="0" collapsed="false">
      <c r="A8" s="10" t="n">
        <v>7</v>
      </c>
      <c r="B8" s="10" t="n">
        <v>198</v>
      </c>
      <c r="C8" s="10" t="s">
        <v>312</v>
      </c>
      <c r="D8" s="10" t="s">
        <v>24</v>
      </c>
      <c r="E8" s="10" t="s">
        <v>314</v>
      </c>
      <c r="F8" s="10" t="s">
        <v>2182</v>
      </c>
      <c r="G8" s="10" t="s">
        <v>313</v>
      </c>
      <c r="H8" s="10" t="s">
        <v>2183</v>
      </c>
    </row>
    <row r="9" customFormat="false" ht="15" hidden="false" customHeight="false" outlineLevel="0" collapsed="false">
      <c r="A9" s="10" t="n">
        <v>8</v>
      </c>
      <c r="B9" s="10" t="n">
        <v>222</v>
      </c>
      <c r="C9" s="10" t="s">
        <v>342</v>
      </c>
      <c r="D9" s="10" t="s">
        <v>23</v>
      </c>
      <c r="E9" s="10" t="s">
        <v>2188</v>
      </c>
      <c r="F9" s="10" t="s">
        <v>2185</v>
      </c>
      <c r="G9" s="10" t="s">
        <v>79</v>
      </c>
      <c r="H9" s="10" t="s">
        <v>2183</v>
      </c>
    </row>
    <row r="10" customFormat="false" ht="15" hidden="false" customHeight="false" outlineLevel="0" collapsed="false">
      <c r="A10" s="10" t="n">
        <v>9</v>
      </c>
      <c r="B10" s="10" t="n">
        <v>235</v>
      </c>
      <c r="C10" s="10" t="s">
        <v>359</v>
      </c>
      <c r="D10" s="10" t="s">
        <v>25</v>
      </c>
      <c r="E10" s="10" t="s">
        <v>2179</v>
      </c>
      <c r="F10" s="10" t="s">
        <v>2180</v>
      </c>
      <c r="G10" s="10" t="s">
        <v>360</v>
      </c>
      <c r="H10" s="10" t="s">
        <v>2181</v>
      </c>
    </row>
    <row r="11" customFormat="false" ht="15" hidden="false" customHeight="false" outlineLevel="0" collapsed="false">
      <c r="A11" s="10" t="n">
        <v>10</v>
      </c>
      <c r="B11" s="10" t="n">
        <v>240</v>
      </c>
      <c r="C11" s="10" t="s">
        <v>365</v>
      </c>
      <c r="D11" s="10" t="s">
        <v>30</v>
      </c>
      <c r="E11" s="10" t="s">
        <v>2179</v>
      </c>
      <c r="F11" s="10" t="s">
        <v>2189</v>
      </c>
      <c r="G11" s="10" t="s">
        <v>2190</v>
      </c>
      <c r="H11" s="10" t="s">
        <v>2181</v>
      </c>
    </row>
    <row r="12" customFormat="false" ht="15" hidden="false" customHeight="false" outlineLevel="0" collapsed="false">
      <c r="A12" s="10" t="n">
        <v>11</v>
      </c>
      <c r="B12" s="10" t="n">
        <v>283</v>
      </c>
      <c r="C12" s="10" t="s">
        <v>412</v>
      </c>
      <c r="D12" s="10" t="s">
        <v>23</v>
      </c>
      <c r="E12" s="10" t="s">
        <v>2191</v>
      </c>
      <c r="F12" s="10" t="s">
        <v>2185</v>
      </c>
      <c r="G12" s="10" t="s">
        <v>81</v>
      </c>
      <c r="H12" s="10" t="s">
        <v>2183</v>
      </c>
    </row>
    <row r="13" customFormat="false" ht="15" hidden="false" customHeight="false" outlineLevel="0" collapsed="false">
      <c r="A13" s="10" t="n">
        <v>12</v>
      </c>
      <c r="B13" s="10" t="n">
        <v>291</v>
      </c>
      <c r="C13" s="10" t="s">
        <v>421</v>
      </c>
      <c r="D13" s="10" t="s">
        <v>23</v>
      </c>
      <c r="E13" s="10" t="s">
        <v>2192</v>
      </c>
      <c r="F13" s="10" t="s">
        <v>2185</v>
      </c>
      <c r="G13" s="10" t="s">
        <v>82</v>
      </c>
      <c r="H13" s="10" t="s">
        <v>2183</v>
      </c>
    </row>
    <row r="14" customFormat="false" ht="15" hidden="false" customHeight="false" outlineLevel="0" collapsed="false">
      <c r="A14" s="10" t="n">
        <v>13</v>
      </c>
      <c r="B14" s="10" t="n">
        <v>313</v>
      </c>
      <c r="C14" s="10" t="s">
        <v>444</v>
      </c>
      <c r="D14" s="10" t="s">
        <v>27</v>
      </c>
      <c r="E14" s="10" t="s">
        <v>2193</v>
      </c>
      <c r="F14" s="10" t="s">
        <v>2194</v>
      </c>
      <c r="G14" s="10" t="s">
        <v>2195</v>
      </c>
      <c r="H14" s="10" t="s">
        <v>2196</v>
      </c>
    </row>
    <row r="15" customFormat="false" ht="15" hidden="false" customHeight="false" outlineLevel="0" collapsed="false">
      <c r="A15" s="10" t="n">
        <v>14</v>
      </c>
      <c r="B15" s="10" t="n">
        <v>330</v>
      </c>
      <c r="C15" s="10" t="s">
        <v>464</v>
      </c>
      <c r="D15" s="10" t="s">
        <v>30</v>
      </c>
      <c r="E15" s="10" t="s">
        <v>2179</v>
      </c>
      <c r="F15" s="10" t="s">
        <v>2189</v>
      </c>
      <c r="G15" s="10" t="s">
        <v>2190</v>
      </c>
      <c r="H15" s="10" t="s">
        <v>2181</v>
      </c>
    </row>
    <row r="16" customFormat="false" ht="15" hidden="false" customHeight="false" outlineLevel="0" collapsed="false">
      <c r="A16" s="10" t="n">
        <v>15</v>
      </c>
      <c r="B16" s="10" t="n">
        <v>343</v>
      </c>
      <c r="C16" s="10" t="s">
        <v>480</v>
      </c>
      <c r="D16" s="10" t="s">
        <v>22</v>
      </c>
      <c r="E16" s="10" t="s">
        <v>2197</v>
      </c>
      <c r="F16" s="10" t="s">
        <v>2198</v>
      </c>
      <c r="G16" s="10" t="s">
        <v>2190</v>
      </c>
      <c r="H16" s="10" t="s">
        <v>2199</v>
      </c>
    </row>
    <row r="17" customFormat="false" ht="15" hidden="false" customHeight="false" outlineLevel="0" collapsed="false">
      <c r="A17" s="10" t="n">
        <v>16</v>
      </c>
      <c r="B17" s="10" t="n">
        <v>381</v>
      </c>
      <c r="C17" s="10" t="s">
        <v>517</v>
      </c>
      <c r="D17" s="10" t="s">
        <v>24</v>
      </c>
      <c r="E17" s="10" t="s">
        <v>519</v>
      </c>
      <c r="F17" s="10" t="s">
        <v>2182</v>
      </c>
      <c r="G17" s="10" t="s">
        <v>518</v>
      </c>
      <c r="H17" s="10" t="s">
        <v>2183</v>
      </c>
    </row>
    <row r="18" customFormat="false" ht="15" hidden="false" customHeight="false" outlineLevel="0" collapsed="false">
      <c r="A18" s="10" t="n">
        <v>17</v>
      </c>
      <c r="B18" s="10" t="n">
        <v>393</v>
      </c>
      <c r="C18" s="10" t="s">
        <v>529</v>
      </c>
      <c r="D18" s="10" t="s">
        <v>23</v>
      </c>
      <c r="E18" s="10" t="s">
        <v>2200</v>
      </c>
      <c r="F18" s="10" t="s">
        <v>2185</v>
      </c>
      <c r="G18" s="10" t="s">
        <v>81</v>
      </c>
      <c r="H18" s="10" t="s">
        <v>2183</v>
      </c>
    </row>
    <row r="19" customFormat="false" ht="15" hidden="false" customHeight="false" outlineLevel="0" collapsed="false">
      <c r="A19" s="10" t="n">
        <v>18</v>
      </c>
      <c r="B19" s="10" t="n">
        <v>405</v>
      </c>
      <c r="C19" s="10" t="s">
        <v>541</v>
      </c>
      <c r="D19" s="10" t="s">
        <v>23</v>
      </c>
      <c r="E19" s="10" t="s">
        <v>2201</v>
      </c>
      <c r="F19" s="10" t="s">
        <v>2185</v>
      </c>
      <c r="G19" s="10" t="s">
        <v>92</v>
      </c>
      <c r="H19" s="10" t="s">
        <v>2183</v>
      </c>
    </row>
    <row r="20" customFormat="false" ht="15" hidden="false" customHeight="false" outlineLevel="0" collapsed="false">
      <c r="A20" s="10" t="n">
        <v>19</v>
      </c>
      <c r="B20" s="10" t="n">
        <v>446</v>
      </c>
      <c r="C20" s="10" t="s">
        <v>581</v>
      </c>
      <c r="D20" s="10" t="s">
        <v>24</v>
      </c>
      <c r="E20" s="10" t="s">
        <v>314</v>
      </c>
      <c r="F20" s="10" t="s">
        <v>2182</v>
      </c>
      <c r="G20" s="10" t="s">
        <v>313</v>
      </c>
      <c r="H20" s="10" t="s">
        <v>2183</v>
      </c>
    </row>
    <row r="21" customFormat="false" ht="15" hidden="false" customHeight="false" outlineLevel="0" collapsed="false">
      <c r="A21" s="10" t="n">
        <v>20</v>
      </c>
      <c r="B21" s="10" t="n">
        <v>484</v>
      </c>
      <c r="C21" s="10" t="s">
        <v>612</v>
      </c>
      <c r="D21" s="10" t="s">
        <v>24</v>
      </c>
      <c r="E21" s="10" t="s">
        <v>614</v>
      </c>
      <c r="F21" s="10" t="s">
        <v>2182</v>
      </c>
      <c r="G21" s="10" t="s">
        <v>613</v>
      </c>
      <c r="H21" s="10" t="s">
        <v>2183</v>
      </c>
    </row>
    <row r="22" customFormat="false" ht="15" hidden="false" customHeight="false" outlineLevel="0" collapsed="false">
      <c r="A22" s="10" t="n">
        <v>21</v>
      </c>
      <c r="B22" s="10" t="n">
        <v>511</v>
      </c>
      <c r="C22" s="10" t="s">
        <v>640</v>
      </c>
      <c r="D22" s="10" t="s">
        <v>23</v>
      </c>
      <c r="E22" s="10" t="s">
        <v>2202</v>
      </c>
      <c r="F22" s="10" t="s">
        <v>2185</v>
      </c>
      <c r="G22" s="10" t="s">
        <v>84</v>
      </c>
      <c r="H22" s="10" t="s">
        <v>2183</v>
      </c>
    </row>
    <row r="23" customFormat="false" ht="15" hidden="false" customHeight="false" outlineLevel="0" collapsed="false">
      <c r="A23" s="10" t="n">
        <v>22</v>
      </c>
      <c r="B23" s="10" t="n">
        <v>518</v>
      </c>
      <c r="C23" s="10" t="s">
        <v>649</v>
      </c>
      <c r="D23" s="10" t="s">
        <v>24</v>
      </c>
      <c r="E23" s="10" t="s">
        <v>650</v>
      </c>
      <c r="F23" s="10" t="s">
        <v>2182</v>
      </c>
      <c r="G23" s="10" t="s">
        <v>651</v>
      </c>
      <c r="H23" s="10" t="s">
        <v>2183</v>
      </c>
    </row>
    <row r="24" customFormat="false" ht="15" hidden="false" customHeight="false" outlineLevel="0" collapsed="false">
      <c r="A24" s="10" t="n">
        <v>23</v>
      </c>
      <c r="B24" s="10" t="n">
        <v>565</v>
      </c>
      <c r="C24" s="10" t="s">
        <v>694</v>
      </c>
      <c r="D24" s="10" t="s">
        <v>25</v>
      </c>
      <c r="E24" s="10" t="s">
        <v>2179</v>
      </c>
      <c r="F24" s="10" t="s">
        <v>2180</v>
      </c>
      <c r="G24" s="10" t="s">
        <v>695</v>
      </c>
      <c r="H24" s="10" t="s">
        <v>2181</v>
      </c>
    </row>
    <row r="25" customFormat="false" ht="15" hidden="false" customHeight="false" outlineLevel="0" collapsed="false">
      <c r="A25" s="10" t="n">
        <v>24</v>
      </c>
      <c r="B25" s="10" t="n">
        <v>597</v>
      </c>
      <c r="C25" s="10" t="s">
        <v>724</v>
      </c>
      <c r="D25" s="10" t="s">
        <v>27</v>
      </c>
      <c r="E25" s="10" t="s">
        <v>2203</v>
      </c>
      <c r="F25" s="10" t="s">
        <v>2194</v>
      </c>
      <c r="G25" s="10" t="s">
        <v>2204</v>
      </c>
      <c r="H25" s="10" t="s">
        <v>2196</v>
      </c>
    </row>
    <row r="26" customFormat="false" ht="15" hidden="false" customHeight="false" outlineLevel="0" collapsed="false">
      <c r="A26" s="10" t="n">
        <v>25</v>
      </c>
      <c r="B26" s="10" t="n">
        <v>645</v>
      </c>
      <c r="C26" s="10" t="s">
        <v>768</v>
      </c>
      <c r="D26" s="10" t="s">
        <v>24</v>
      </c>
      <c r="E26" s="10" t="s">
        <v>769</v>
      </c>
      <c r="F26" s="10" t="s">
        <v>2182</v>
      </c>
      <c r="G26" s="10" t="s">
        <v>770</v>
      </c>
      <c r="H26" s="10" t="s">
        <v>2183</v>
      </c>
    </row>
    <row r="27" customFormat="false" ht="15" hidden="false" customHeight="false" outlineLevel="0" collapsed="false">
      <c r="A27" s="10" t="n">
        <v>26</v>
      </c>
      <c r="B27" s="10" t="n">
        <v>670</v>
      </c>
      <c r="C27" s="10" t="s">
        <v>791</v>
      </c>
      <c r="D27" s="10" t="s">
        <v>23</v>
      </c>
      <c r="E27" s="10" t="s">
        <v>2205</v>
      </c>
      <c r="F27" s="10" t="s">
        <v>2185</v>
      </c>
      <c r="G27" s="10" t="s">
        <v>82</v>
      </c>
      <c r="H27" s="10" t="s">
        <v>2183</v>
      </c>
    </row>
    <row r="28" customFormat="false" ht="15" hidden="false" customHeight="false" outlineLevel="0" collapsed="false">
      <c r="A28" s="10" t="n">
        <v>27</v>
      </c>
      <c r="B28" s="10" t="n">
        <v>687</v>
      </c>
      <c r="C28" s="10" t="s">
        <v>811</v>
      </c>
      <c r="D28" s="10" t="s">
        <v>28</v>
      </c>
      <c r="E28" s="10" t="s">
        <v>2179</v>
      </c>
      <c r="F28" s="10" t="s">
        <v>2206</v>
      </c>
      <c r="G28" s="10" t="s">
        <v>2190</v>
      </c>
      <c r="H28" s="10" t="s">
        <v>2181</v>
      </c>
    </row>
    <row r="29" customFormat="false" ht="15" hidden="false" customHeight="false" outlineLevel="0" collapsed="false">
      <c r="A29" s="10" t="n">
        <v>28</v>
      </c>
      <c r="B29" s="10" t="n">
        <v>713</v>
      </c>
      <c r="C29" s="10" t="s">
        <v>835</v>
      </c>
      <c r="D29" s="10" t="s">
        <v>23</v>
      </c>
      <c r="E29" s="10" t="s">
        <v>2207</v>
      </c>
      <c r="F29" s="10" t="s">
        <v>2185</v>
      </c>
      <c r="G29" s="10" t="s">
        <v>186</v>
      </c>
      <c r="H29" s="10" t="s">
        <v>2183</v>
      </c>
    </row>
    <row r="30" customFormat="false" ht="15" hidden="false" customHeight="false" outlineLevel="0" collapsed="false">
      <c r="A30" s="10" t="n">
        <v>29</v>
      </c>
      <c r="B30" s="10" t="n">
        <v>778</v>
      </c>
      <c r="C30" s="10" t="s">
        <v>899</v>
      </c>
      <c r="D30" s="10" t="s">
        <v>26</v>
      </c>
      <c r="E30" s="10" t="s">
        <v>2179</v>
      </c>
      <c r="F30" s="10" t="s">
        <v>2186</v>
      </c>
      <c r="G30" s="10" t="s">
        <v>2187</v>
      </c>
      <c r="H30" s="10" t="s">
        <v>2181</v>
      </c>
    </row>
    <row r="31" customFormat="false" ht="15" hidden="false" customHeight="false" outlineLevel="0" collapsed="false">
      <c r="A31" s="10" t="n">
        <v>30</v>
      </c>
      <c r="B31" s="10" t="n">
        <v>779</v>
      </c>
      <c r="C31" s="10" t="s">
        <v>901</v>
      </c>
      <c r="D31" s="10" t="s">
        <v>23</v>
      </c>
      <c r="E31" s="10" t="s">
        <v>2208</v>
      </c>
      <c r="F31" s="10" t="s">
        <v>2185</v>
      </c>
      <c r="G31" s="10" t="s">
        <v>81</v>
      </c>
      <c r="H31" s="10" t="s">
        <v>2183</v>
      </c>
    </row>
    <row r="32" customFormat="false" ht="15" hidden="false" customHeight="false" outlineLevel="0" collapsed="false">
      <c r="A32" s="10" t="n">
        <v>31</v>
      </c>
      <c r="B32" s="10" t="n">
        <v>801</v>
      </c>
      <c r="C32" s="10" t="s">
        <v>922</v>
      </c>
      <c r="D32" s="10" t="s">
        <v>27</v>
      </c>
      <c r="E32" s="10" t="s">
        <v>2203</v>
      </c>
      <c r="F32" s="10" t="s">
        <v>2194</v>
      </c>
      <c r="G32" s="10" t="s">
        <v>2209</v>
      </c>
      <c r="H32" s="10" t="s">
        <v>2196</v>
      </c>
    </row>
    <row r="33" customFormat="false" ht="15" hidden="false" customHeight="false" outlineLevel="0" collapsed="false">
      <c r="A33" s="10" t="n">
        <v>32</v>
      </c>
      <c r="B33" s="10" t="n">
        <v>818</v>
      </c>
      <c r="C33" s="10" t="s">
        <v>935</v>
      </c>
      <c r="D33" s="10" t="s">
        <v>26</v>
      </c>
      <c r="E33" s="10" t="s">
        <v>2179</v>
      </c>
      <c r="F33" s="10" t="s">
        <v>2186</v>
      </c>
      <c r="G33" s="10" t="s">
        <v>2195</v>
      </c>
      <c r="H33" s="10" t="s">
        <v>2181</v>
      </c>
    </row>
    <row r="34" customFormat="false" ht="15" hidden="false" customHeight="false" outlineLevel="0" collapsed="false">
      <c r="A34" s="10" t="n">
        <v>33</v>
      </c>
      <c r="B34" s="10" t="n">
        <v>825</v>
      </c>
      <c r="C34" s="10" t="s">
        <v>940</v>
      </c>
      <c r="D34" s="10" t="s">
        <v>22</v>
      </c>
      <c r="E34" s="10" t="s">
        <v>2210</v>
      </c>
      <c r="F34" s="10" t="s">
        <v>2198</v>
      </c>
      <c r="G34" s="10" t="s">
        <v>2190</v>
      </c>
      <c r="H34" s="10" t="s">
        <v>2199</v>
      </c>
    </row>
    <row r="35" customFormat="false" ht="15" hidden="false" customHeight="false" outlineLevel="0" collapsed="false">
      <c r="A35" s="10" t="n">
        <v>34</v>
      </c>
      <c r="B35" s="10" t="n">
        <v>831</v>
      </c>
      <c r="C35" s="10" t="s">
        <v>945</v>
      </c>
      <c r="D35" s="10" t="s">
        <v>23</v>
      </c>
      <c r="E35" s="10" t="s">
        <v>2211</v>
      </c>
      <c r="F35" s="10" t="s">
        <v>2185</v>
      </c>
      <c r="G35" s="10" t="s">
        <v>101</v>
      </c>
      <c r="H35" s="10" t="s">
        <v>2183</v>
      </c>
    </row>
    <row r="36" customFormat="false" ht="15" hidden="false" customHeight="false" outlineLevel="0" collapsed="false">
      <c r="A36" s="10" t="n">
        <v>35</v>
      </c>
      <c r="B36" s="10" t="n">
        <v>836</v>
      </c>
      <c r="C36" s="10" t="s">
        <v>948</v>
      </c>
      <c r="D36" s="10" t="s">
        <v>26</v>
      </c>
      <c r="E36" s="10" t="s">
        <v>2179</v>
      </c>
      <c r="F36" s="10" t="s">
        <v>2186</v>
      </c>
      <c r="G36" s="10" t="s">
        <v>2204</v>
      </c>
      <c r="H36" s="10" t="s">
        <v>2181</v>
      </c>
    </row>
    <row r="37" customFormat="false" ht="15" hidden="false" customHeight="false" outlineLevel="0" collapsed="false">
      <c r="A37" s="10" t="n">
        <v>36</v>
      </c>
      <c r="B37" s="10" t="n">
        <v>925</v>
      </c>
      <c r="C37" s="10" t="s">
        <v>1030</v>
      </c>
      <c r="D37" s="10" t="s">
        <v>23</v>
      </c>
      <c r="E37" s="10" t="s">
        <v>2212</v>
      </c>
      <c r="F37" s="10" t="s">
        <v>2185</v>
      </c>
      <c r="G37" s="10" t="s">
        <v>132</v>
      </c>
      <c r="H37" s="10" t="s">
        <v>2183</v>
      </c>
    </row>
    <row r="38" customFormat="false" ht="15" hidden="false" customHeight="false" outlineLevel="0" collapsed="false">
      <c r="A38" s="10" t="n">
        <v>37</v>
      </c>
      <c r="B38" s="10" t="n">
        <v>938</v>
      </c>
      <c r="C38" s="10" t="s">
        <v>1046</v>
      </c>
      <c r="D38" s="10" t="s">
        <v>28</v>
      </c>
      <c r="E38" s="10" t="s">
        <v>2179</v>
      </c>
      <c r="F38" s="10" t="s">
        <v>2206</v>
      </c>
      <c r="G38" s="10" t="s">
        <v>2190</v>
      </c>
      <c r="H38" s="10" t="s">
        <v>2181</v>
      </c>
    </row>
    <row r="39" customFormat="false" ht="15" hidden="false" customHeight="false" outlineLevel="0" collapsed="false">
      <c r="A39" s="10" t="n">
        <v>38</v>
      </c>
      <c r="B39" s="10" t="n">
        <v>952</v>
      </c>
      <c r="C39" s="10" t="s">
        <v>1060</v>
      </c>
      <c r="D39" s="10" t="s">
        <v>30</v>
      </c>
      <c r="E39" s="10" t="s">
        <v>2179</v>
      </c>
      <c r="F39" s="10" t="s">
        <v>2189</v>
      </c>
      <c r="G39" s="10" t="s">
        <v>2190</v>
      </c>
      <c r="H39" s="10" t="s">
        <v>2181</v>
      </c>
    </row>
    <row r="40" customFormat="false" ht="15" hidden="false" customHeight="false" outlineLevel="0" collapsed="false">
      <c r="A40" s="10" t="n">
        <v>39</v>
      </c>
      <c r="B40" s="10" t="n">
        <v>993</v>
      </c>
      <c r="C40" s="10" t="s">
        <v>1094</v>
      </c>
      <c r="D40" s="10" t="s">
        <v>24</v>
      </c>
      <c r="E40" s="10" t="s">
        <v>1095</v>
      </c>
      <c r="F40" s="10" t="s">
        <v>2182</v>
      </c>
      <c r="G40" s="10" t="s">
        <v>193</v>
      </c>
      <c r="H40" s="10" t="s">
        <v>2183</v>
      </c>
    </row>
    <row r="41" customFormat="false" ht="15" hidden="false" customHeight="false" outlineLevel="0" collapsed="false">
      <c r="A41" s="10" t="n">
        <v>40</v>
      </c>
      <c r="B41" s="10" t="n">
        <v>1026</v>
      </c>
      <c r="C41" s="10" t="s">
        <v>1121</v>
      </c>
      <c r="D41" s="10" t="s">
        <v>22</v>
      </c>
      <c r="E41" s="10" t="s">
        <v>2213</v>
      </c>
      <c r="F41" s="10" t="s">
        <v>2198</v>
      </c>
      <c r="G41" s="10" t="s">
        <v>2190</v>
      </c>
      <c r="H41" s="10" t="s">
        <v>2199</v>
      </c>
    </row>
    <row r="42" customFormat="false" ht="15" hidden="false" customHeight="false" outlineLevel="0" collapsed="false">
      <c r="A42" s="10" t="n">
        <v>41</v>
      </c>
      <c r="B42" s="10" t="n">
        <v>1035</v>
      </c>
      <c r="C42" s="10" t="s">
        <v>1127</v>
      </c>
      <c r="D42" s="10" t="s">
        <v>22</v>
      </c>
      <c r="E42" s="10" t="s">
        <v>2214</v>
      </c>
      <c r="F42" s="10" t="s">
        <v>2198</v>
      </c>
      <c r="G42" s="10" t="s">
        <v>2190</v>
      </c>
      <c r="H42" s="10" t="s">
        <v>2199</v>
      </c>
    </row>
    <row r="43" customFormat="false" ht="15" hidden="false" customHeight="false" outlineLevel="0" collapsed="false">
      <c r="A43" s="10" t="n">
        <v>42</v>
      </c>
      <c r="B43" s="10" t="n">
        <v>1055</v>
      </c>
      <c r="C43" s="10" t="s">
        <v>1142</v>
      </c>
      <c r="D43" s="10" t="s">
        <v>23</v>
      </c>
      <c r="E43" s="10" t="s">
        <v>2215</v>
      </c>
      <c r="F43" s="10" t="s">
        <v>2185</v>
      </c>
      <c r="G43" s="10" t="s">
        <v>89</v>
      </c>
      <c r="H43" s="10" t="s">
        <v>2183</v>
      </c>
    </row>
    <row r="44" customFormat="false" ht="15" hidden="false" customHeight="false" outlineLevel="0" collapsed="false">
      <c r="A44" s="10" t="n">
        <v>43</v>
      </c>
      <c r="B44" s="10" t="n">
        <v>1060</v>
      </c>
      <c r="C44" s="10" t="s">
        <v>1147</v>
      </c>
      <c r="D44" s="10" t="s">
        <v>26</v>
      </c>
      <c r="E44" s="10" t="s">
        <v>2179</v>
      </c>
      <c r="F44" s="10" t="s">
        <v>2186</v>
      </c>
      <c r="G44" s="10" t="s">
        <v>2216</v>
      </c>
      <c r="H44" s="10" t="s">
        <v>2181</v>
      </c>
    </row>
    <row r="45" customFormat="false" ht="15" hidden="false" customHeight="false" outlineLevel="0" collapsed="false">
      <c r="A45" s="10" t="n">
        <v>44</v>
      </c>
      <c r="B45" s="10" t="n">
        <v>1063</v>
      </c>
      <c r="C45" s="10" t="s">
        <v>1151</v>
      </c>
      <c r="D45" s="10" t="s">
        <v>24</v>
      </c>
      <c r="E45" s="10" t="s">
        <v>1152</v>
      </c>
      <c r="F45" s="10" t="s">
        <v>2182</v>
      </c>
      <c r="G45" s="10" t="s">
        <v>2217</v>
      </c>
      <c r="H45" s="10" t="s">
        <v>2183</v>
      </c>
    </row>
    <row r="46" customFormat="false" ht="15" hidden="false" customHeight="false" outlineLevel="0" collapsed="false">
      <c r="A46" s="10" t="n">
        <v>45</v>
      </c>
      <c r="B46" s="10" t="n">
        <v>1088</v>
      </c>
      <c r="C46" s="10" t="s">
        <v>1172</v>
      </c>
      <c r="D46" s="10" t="s">
        <v>24</v>
      </c>
      <c r="E46" s="10" t="s">
        <v>1173</v>
      </c>
      <c r="F46" s="10" t="s">
        <v>2182</v>
      </c>
      <c r="G46" s="10" t="s">
        <v>716</v>
      </c>
      <c r="H46" s="10" t="s">
        <v>2183</v>
      </c>
    </row>
    <row r="47" customFormat="false" ht="15" hidden="false" customHeight="false" outlineLevel="0" collapsed="false">
      <c r="A47" s="10" t="n">
        <v>46</v>
      </c>
      <c r="B47" s="10" t="n">
        <v>1122</v>
      </c>
      <c r="C47" s="10" t="s">
        <v>1207</v>
      </c>
      <c r="D47" s="10" t="s">
        <v>24</v>
      </c>
      <c r="E47" s="10" t="s">
        <v>1208</v>
      </c>
      <c r="F47" s="10" t="s">
        <v>2182</v>
      </c>
      <c r="G47" s="10" t="s">
        <v>2218</v>
      </c>
      <c r="H47" s="10" t="s">
        <v>2183</v>
      </c>
    </row>
    <row r="48" customFormat="false" ht="15" hidden="false" customHeight="false" outlineLevel="0" collapsed="false">
      <c r="A48" s="10" t="n">
        <v>47</v>
      </c>
      <c r="B48" s="10" t="n">
        <v>1128</v>
      </c>
      <c r="C48" s="10" t="s">
        <v>1214</v>
      </c>
      <c r="D48" s="10" t="s">
        <v>23</v>
      </c>
      <c r="E48" s="10" t="s">
        <v>2219</v>
      </c>
      <c r="F48" s="10" t="s">
        <v>2185</v>
      </c>
      <c r="G48" s="10" t="s">
        <v>108</v>
      </c>
      <c r="H48" s="10" t="s">
        <v>2183</v>
      </c>
    </row>
    <row r="49" customFormat="false" ht="15" hidden="false" customHeight="false" outlineLevel="0" collapsed="false">
      <c r="A49" s="10" t="n">
        <v>48</v>
      </c>
      <c r="B49" s="10" t="n">
        <v>1163</v>
      </c>
      <c r="C49" s="10" t="s">
        <v>1235</v>
      </c>
      <c r="D49" s="10" t="s">
        <v>22</v>
      </c>
      <c r="E49" s="10" t="s">
        <v>2220</v>
      </c>
      <c r="F49" s="10" t="s">
        <v>2198</v>
      </c>
      <c r="G49" s="10" t="s">
        <v>2190</v>
      </c>
      <c r="H49" s="10" t="s">
        <v>2199</v>
      </c>
    </row>
    <row r="50" customFormat="false" ht="15" hidden="false" customHeight="false" outlineLevel="0" collapsed="false">
      <c r="A50" s="10" t="n">
        <v>49</v>
      </c>
      <c r="B50" s="10" t="n">
        <v>1210</v>
      </c>
      <c r="C50" s="10" t="s">
        <v>1270</v>
      </c>
      <c r="D50" s="10" t="s">
        <v>23</v>
      </c>
      <c r="E50" s="10" t="s">
        <v>2221</v>
      </c>
      <c r="F50" s="10" t="s">
        <v>2185</v>
      </c>
      <c r="G50" s="10" t="s">
        <v>101</v>
      </c>
      <c r="H50" s="10" t="s">
        <v>2183</v>
      </c>
    </row>
    <row r="51" customFormat="false" ht="15" hidden="false" customHeight="false" outlineLevel="0" collapsed="false">
      <c r="A51" s="10" t="n">
        <v>50</v>
      </c>
      <c r="B51" s="10" t="n">
        <v>1232</v>
      </c>
      <c r="C51" s="10" t="s">
        <v>1289</v>
      </c>
      <c r="D51" s="10" t="s">
        <v>23</v>
      </c>
      <c r="E51" s="10" t="s">
        <v>2212</v>
      </c>
      <c r="F51" s="10" t="s">
        <v>2185</v>
      </c>
      <c r="G51" s="10" t="s">
        <v>132</v>
      </c>
      <c r="H51" s="10" t="s">
        <v>2183</v>
      </c>
    </row>
    <row r="52" customFormat="false" ht="15" hidden="false" customHeight="false" outlineLevel="0" collapsed="false">
      <c r="A52" s="10" t="n">
        <v>51</v>
      </c>
      <c r="B52" s="10" t="n">
        <v>1249</v>
      </c>
      <c r="C52" s="10" t="s">
        <v>1300</v>
      </c>
      <c r="D52" s="10" t="s">
        <v>27</v>
      </c>
      <c r="E52" s="10" t="s">
        <v>2222</v>
      </c>
      <c r="F52" s="10" t="s">
        <v>2194</v>
      </c>
      <c r="G52" s="10" t="s">
        <v>2209</v>
      </c>
      <c r="H52" s="10" t="s">
        <v>2196</v>
      </c>
    </row>
    <row r="53" customFormat="false" ht="15" hidden="false" customHeight="false" outlineLevel="0" collapsed="false">
      <c r="A53" s="10" t="n">
        <v>52</v>
      </c>
      <c r="B53" s="10" t="n">
        <v>1266</v>
      </c>
      <c r="C53" s="10" t="s">
        <v>1309</v>
      </c>
      <c r="D53" s="10" t="s">
        <v>23</v>
      </c>
      <c r="E53" s="10" t="s">
        <v>2205</v>
      </c>
      <c r="F53" s="10" t="s">
        <v>2185</v>
      </c>
      <c r="G53" s="10" t="s">
        <v>82</v>
      </c>
      <c r="H53" s="10" t="s">
        <v>2183</v>
      </c>
    </row>
    <row r="54" customFormat="false" ht="15" hidden="false" customHeight="false" outlineLevel="0" collapsed="false">
      <c r="A54" s="10" t="n">
        <v>53</v>
      </c>
      <c r="B54" s="10" t="n">
        <v>1273</v>
      </c>
      <c r="C54" s="10" t="s">
        <v>1318</v>
      </c>
      <c r="D54" s="10" t="s">
        <v>24</v>
      </c>
      <c r="E54" s="10" t="s">
        <v>1319</v>
      </c>
      <c r="F54" s="10" t="s">
        <v>2182</v>
      </c>
      <c r="G54" s="10" t="s">
        <v>1077</v>
      </c>
      <c r="H54" s="10" t="s">
        <v>2183</v>
      </c>
    </row>
    <row r="55" customFormat="false" ht="15" hidden="false" customHeight="false" outlineLevel="0" collapsed="false">
      <c r="A55" s="10" t="n">
        <v>54</v>
      </c>
      <c r="B55" s="10" t="n">
        <v>1290</v>
      </c>
      <c r="C55" s="10" t="s">
        <v>1329</v>
      </c>
      <c r="D55" s="10" t="s">
        <v>29</v>
      </c>
      <c r="E55" s="10" t="s">
        <v>2203</v>
      </c>
      <c r="F55" s="10" t="s">
        <v>2223</v>
      </c>
      <c r="G55" s="10" t="s">
        <v>2190</v>
      </c>
      <c r="H55" s="10" t="s">
        <v>2196</v>
      </c>
    </row>
    <row r="56" customFormat="false" ht="15" hidden="false" customHeight="false" outlineLevel="0" collapsed="false">
      <c r="A56" s="10" t="n">
        <v>55</v>
      </c>
      <c r="B56" s="10" t="n">
        <v>1345</v>
      </c>
      <c r="C56" s="10" t="s">
        <v>1370</v>
      </c>
      <c r="D56" s="10" t="s">
        <v>28</v>
      </c>
      <c r="E56" s="10" t="s">
        <v>2179</v>
      </c>
      <c r="F56" s="10" t="s">
        <v>2206</v>
      </c>
      <c r="G56" s="10" t="s">
        <v>2190</v>
      </c>
      <c r="H56" s="10" t="s">
        <v>2181</v>
      </c>
    </row>
    <row r="57" customFormat="false" ht="15" hidden="false" customHeight="false" outlineLevel="0" collapsed="false">
      <c r="A57" s="10" t="n">
        <v>56</v>
      </c>
      <c r="B57" s="10" t="n">
        <v>1375</v>
      </c>
      <c r="C57" s="10" t="s">
        <v>1390</v>
      </c>
      <c r="D57" s="10" t="s">
        <v>26</v>
      </c>
      <c r="E57" s="10" t="s">
        <v>2179</v>
      </c>
      <c r="F57" s="10" t="s">
        <v>2186</v>
      </c>
      <c r="G57" s="10" t="s">
        <v>2224</v>
      </c>
      <c r="H57" s="10" t="s">
        <v>2181</v>
      </c>
    </row>
    <row r="58" customFormat="false" ht="15" hidden="false" customHeight="false" outlineLevel="0" collapsed="false">
      <c r="A58" s="10" t="n">
        <v>57</v>
      </c>
      <c r="B58" s="10" t="n">
        <v>1377</v>
      </c>
      <c r="C58" s="10" t="s">
        <v>1390</v>
      </c>
      <c r="D58" s="10" t="s">
        <v>22</v>
      </c>
      <c r="E58" s="10" t="s">
        <v>2225</v>
      </c>
      <c r="F58" s="10" t="s">
        <v>2198</v>
      </c>
      <c r="G58" s="10" t="s">
        <v>2190</v>
      </c>
      <c r="H58" s="10" t="s">
        <v>2199</v>
      </c>
    </row>
    <row r="59" customFormat="false" ht="15" hidden="false" customHeight="false" outlineLevel="0" collapsed="false">
      <c r="A59" s="10" t="n">
        <v>58</v>
      </c>
      <c r="B59" s="10" t="n">
        <v>1390</v>
      </c>
      <c r="C59" s="10" t="s">
        <v>1402</v>
      </c>
      <c r="D59" s="10" t="s">
        <v>24</v>
      </c>
      <c r="E59" s="10" t="s">
        <v>1403</v>
      </c>
      <c r="F59" s="10" t="s">
        <v>2182</v>
      </c>
      <c r="G59" s="10" t="s">
        <v>908</v>
      </c>
      <c r="H59" s="10" t="s">
        <v>2183</v>
      </c>
    </row>
    <row r="60" customFormat="false" ht="15" hidden="false" customHeight="false" outlineLevel="0" collapsed="false">
      <c r="A60" s="10" t="n">
        <v>59</v>
      </c>
      <c r="B60" s="10" t="n">
        <v>1395</v>
      </c>
      <c r="C60" s="10" t="s">
        <v>1405</v>
      </c>
      <c r="D60" s="10" t="s">
        <v>23</v>
      </c>
      <c r="E60" s="10" t="s">
        <v>2226</v>
      </c>
      <c r="F60" s="10" t="s">
        <v>2185</v>
      </c>
      <c r="G60" s="10" t="s">
        <v>101</v>
      </c>
      <c r="H60" s="10" t="s">
        <v>2183</v>
      </c>
    </row>
    <row r="61" customFormat="false" ht="15" hidden="false" customHeight="false" outlineLevel="0" collapsed="false">
      <c r="A61" s="10" t="n">
        <v>60</v>
      </c>
      <c r="B61" s="10" t="n">
        <v>1408</v>
      </c>
      <c r="C61" s="10" t="s">
        <v>1417</v>
      </c>
      <c r="D61" s="10" t="s">
        <v>22</v>
      </c>
      <c r="E61" s="10" t="s">
        <v>2227</v>
      </c>
      <c r="F61" s="10" t="s">
        <v>2198</v>
      </c>
      <c r="G61" s="10" t="s">
        <v>2190</v>
      </c>
      <c r="H61" s="10" t="s">
        <v>2199</v>
      </c>
    </row>
    <row r="62" customFormat="false" ht="15" hidden="false" customHeight="false" outlineLevel="0" collapsed="false">
      <c r="A62" s="10" t="n">
        <v>61</v>
      </c>
      <c r="B62" s="10" t="n">
        <v>1415</v>
      </c>
      <c r="C62" s="10" t="s">
        <v>1425</v>
      </c>
      <c r="D62" s="10" t="s">
        <v>24</v>
      </c>
      <c r="E62" s="10" t="s">
        <v>1426</v>
      </c>
      <c r="F62" s="10" t="s">
        <v>2182</v>
      </c>
      <c r="G62" s="10" t="s">
        <v>423</v>
      </c>
      <c r="H62" s="10" t="s">
        <v>2183</v>
      </c>
    </row>
    <row r="63" customFormat="false" ht="15" hidden="false" customHeight="false" outlineLevel="0" collapsed="false">
      <c r="A63" s="10" t="n">
        <v>62</v>
      </c>
      <c r="B63" s="10" t="n">
        <v>1421</v>
      </c>
      <c r="C63" s="10" t="s">
        <v>1430</v>
      </c>
      <c r="D63" s="10" t="s">
        <v>28</v>
      </c>
      <c r="E63" s="10" t="s">
        <v>2179</v>
      </c>
      <c r="F63" s="10" t="s">
        <v>2206</v>
      </c>
      <c r="G63" s="10" t="s">
        <v>2190</v>
      </c>
      <c r="H63" s="10" t="s">
        <v>2181</v>
      </c>
    </row>
    <row r="64" customFormat="false" ht="15" hidden="false" customHeight="false" outlineLevel="0" collapsed="false">
      <c r="A64" s="10" t="n">
        <v>63</v>
      </c>
      <c r="B64" s="10" t="n">
        <v>1433</v>
      </c>
      <c r="C64" s="10" t="s">
        <v>1444</v>
      </c>
      <c r="D64" s="10" t="s">
        <v>27</v>
      </c>
      <c r="E64" s="10" t="s">
        <v>2228</v>
      </c>
      <c r="F64" s="10" t="s">
        <v>2194</v>
      </c>
      <c r="G64" s="10" t="s">
        <v>2229</v>
      </c>
      <c r="H64" s="10" t="s">
        <v>2196</v>
      </c>
    </row>
    <row r="65" customFormat="false" ht="15" hidden="false" customHeight="false" outlineLevel="0" collapsed="false">
      <c r="A65" s="10" t="n">
        <v>64</v>
      </c>
      <c r="B65" s="10" t="n">
        <v>1436</v>
      </c>
      <c r="C65" s="10" t="s">
        <v>1447</v>
      </c>
      <c r="D65" s="10" t="s">
        <v>28</v>
      </c>
      <c r="E65" s="10" t="s">
        <v>2179</v>
      </c>
      <c r="F65" s="10" t="s">
        <v>2206</v>
      </c>
      <c r="G65" s="10" t="s">
        <v>2190</v>
      </c>
      <c r="H65" s="10" t="s">
        <v>2181</v>
      </c>
    </row>
    <row r="66" customFormat="false" ht="15" hidden="false" customHeight="false" outlineLevel="0" collapsed="false">
      <c r="A66" s="10" t="n">
        <v>65</v>
      </c>
      <c r="B66" s="10" t="n">
        <v>1457</v>
      </c>
      <c r="C66" s="10" t="s">
        <v>1462</v>
      </c>
      <c r="D66" s="10" t="s">
        <v>24</v>
      </c>
      <c r="E66" s="10" t="s">
        <v>1463</v>
      </c>
      <c r="F66" s="10" t="s">
        <v>2182</v>
      </c>
      <c r="G66" s="10" t="s">
        <v>874</v>
      </c>
      <c r="H66" s="10" t="s">
        <v>2183</v>
      </c>
    </row>
    <row r="67" customFormat="false" ht="15" hidden="false" customHeight="false" outlineLevel="0" collapsed="false">
      <c r="A67" s="10" t="n">
        <v>66</v>
      </c>
      <c r="B67" s="10" t="n">
        <v>1462</v>
      </c>
      <c r="C67" s="10" t="s">
        <v>1466</v>
      </c>
      <c r="D67" s="10" t="s">
        <v>22</v>
      </c>
      <c r="E67" s="10" t="s">
        <v>2230</v>
      </c>
      <c r="F67" s="10" t="s">
        <v>2198</v>
      </c>
      <c r="G67" s="10" t="s">
        <v>2190</v>
      </c>
      <c r="H67" s="10" t="s">
        <v>2199</v>
      </c>
    </row>
    <row r="68" customFormat="false" ht="15" hidden="false" customHeight="false" outlineLevel="0" collapsed="false">
      <c r="A68" s="10" t="n">
        <v>67</v>
      </c>
      <c r="B68" s="10" t="n">
        <v>1499</v>
      </c>
      <c r="C68" s="10" t="s">
        <v>1494</v>
      </c>
      <c r="D68" s="10" t="s">
        <v>24</v>
      </c>
      <c r="E68" s="10" t="s">
        <v>1495</v>
      </c>
      <c r="F68" s="10" t="s">
        <v>2182</v>
      </c>
      <c r="G68" s="10" t="s">
        <v>917</v>
      </c>
      <c r="H68" s="10" t="s">
        <v>2183</v>
      </c>
    </row>
    <row r="69" customFormat="false" ht="15" hidden="false" customHeight="false" outlineLevel="0" collapsed="false">
      <c r="A69" s="10" t="n">
        <v>68</v>
      </c>
      <c r="B69" s="10" t="n">
        <v>1522</v>
      </c>
      <c r="C69" s="10" t="s">
        <v>1514</v>
      </c>
      <c r="D69" s="10" t="s">
        <v>27</v>
      </c>
      <c r="E69" s="10" t="s">
        <v>2228</v>
      </c>
      <c r="F69" s="10" t="s">
        <v>2194</v>
      </c>
      <c r="G69" s="10" t="s">
        <v>2229</v>
      </c>
      <c r="H69" s="10" t="s">
        <v>2196</v>
      </c>
    </row>
    <row r="70" customFormat="false" ht="15" hidden="false" customHeight="false" outlineLevel="0" collapsed="false">
      <c r="A70" s="10" t="n">
        <v>69</v>
      </c>
      <c r="B70" s="10" t="n">
        <v>1541</v>
      </c>
      <c r="C70" s="10" t="s">
        <v>1529</v>
      </c>
      <c r="D70" s="10" t="s">
        <v>29</v>
      </c>
      <c r="E70" s="10" t="s">
        <v>2203</v>
      </c>
      <c r="F70" s="10" t="s">
        <v>2223</v>
      </c>
      <c r="G70" s="10" t="s">
        <v>2190</v>
      </c>
      <c r="H70" s="10" t="s">
        <v>2196</v>
      </c>
    </row>
    <row r="71" customFormat="false" ht="15" hidden="false" customHeight="false" outlineLevel="0" collapsed="false">
      <c r="A71" s="10" t="n">
        <v>70</v>
      </c>
      <c r="B71" s="10" t="n">
        <v>1553</v>
      </c>
      <c r="C71" s="10" t="s">
        <v>1540</v>
      </c>
      <c r="D71" s="10" t="s">
        <v>29</v>
      </c>
      <c r="E71" s="10" t="s">
        <v>2231</v>
      </c>
      <c r="F71" s="10" t="s">
        <v>2223</v>
      </c>
      <c r="G71" s="10" t="s">
        <v>2190</v>
      </c>
      <c r="H71" s="10" t="s">
        <v>2196</v>
      </c>
    </row>
    <row r="72" customFormat="false" ht="15" hidden="false" customHeight="false" outlineLevel="0" collapsed="false">
      <c r="A72" s="10" t="n">
        <v>71</v>
      </c>
      <c r="B72" s="10" t="n">
        <v>1569</v>
      </c>
      <c r="C72" s="10" t="s">
        <v>1549</v>
      </c>
      <c r="D72" s="10" t="s">
        <v>23</v>
      </c>
      <c r="E72" s="10" t="s">
        <v>2211</v>
      </c>
      <c r="F72" s="10" t="s">
        <v>2185</v>
      </c>
      <c r="G72" s="10" t="s">
        <v>101</v>
      </c>
      <c r="H72" s="10" t="s">
        <v>2183</v>
      </c>
    </row>
    <row r="73" customFormat="false" ht="15" hidden="false" customHeight="false" outlineLevel="0" collapsed="false">
      <c r="A73" s="10" t="n">
        <v>72</v>
      </c>
      <c r="B73" s="10" t="n">
        <v>1570</v>
      </c>
      <c r="C73" s="10" t="s">
        <v>1549</v>
      </c>
      <c r="D73" s="10" t="s">
        <v>23</v>
      </c>
      <c r="E73" s="10" t="s">
        <v>2191</v>
      </c>
      <c r="F73" s="10" t="s">
        <v>2185</v>
      </c>
      <c r="G73" s="10" t="s">
        <v>81</v>
      </c>
      <c r="H73" s="10" t="s">
        <v>2183</v>
      </c>
    </row>
    <row r="74" customFormat="false" ht="15" hidden="false" customHeight="false" outlineLevel="0" collapsed="false">
      <c r="A74" s="10" t="n">
        <v>73</v>
      </c>
      <c r="B74" s="10" t="n">
        <v>1578</v>
      </c>
      <c r="C74" s="10" t="s">
        <v>1555</v>
      </c>
      <c r="D74" s="10" t="s">
        <v>26</v>
      </c>
      <c r="E74" s="10" t="s">
        <v>2179</v>
      </c>
      <c r="F74" s="10" t="s">
        <v>2186</v>
      </c>
      <c r="G74" s="10" t="s">
        <v>2224</v>
      </c>
      <c r="H74" s="10" t="s">
        <v>2181</v>
      </c>
    </row>
    <row r="75" customFormat="false" ht="15" hidden="false" customHeight="false" outlineLevel="0" collapsed="false">
      <c r="A75" s="10" t="n">
        <v>74</v>
      </c>
      <c r="B75" s="10" t="n">
        <v>1599</v>
      </c>
      <c r="C75" s="10" t="s">
        <v>1573</v>
      </c>
      <c r="D75" s="10" t="s">
        <v>24</v>
      </c>
      <c r="E75" s="10" t="s">
        <v>1575</v>
      </c>
      <c r="F75" s="10" t="s">
        <v>2182</v>
      </c>
      <c r="G75" s="10" t="s">
        <v>1574</v>
      </c>
      <c r="H75" s="10" t="s">
        <v>2183</v>
      </c>
    </row>
    <row r="76" customFormat="false" ht="15" hidden="false" customHeight="false" outlineLevel="0" collapsed="false">
      <c r="A76" s="10" t="n">
        <v>75</v>
      </c>
      <c r="B76" s="10" t="n">
        <v>1621</v>
      </c>
      <c r="C76" s="10" t="s">
        <v>1593</v>
      </c>
      <c r="D76" s="10" t="s">
        <v>28</v>
      </c>
      <c r="E76" s="10" t="s">
        <v>2179</v>
      </c>
      <c r="F76" s="10" t="s">
        <v>2206</v>
      </c>
      <c r="G76" s="10" t="s">
        <v>2190</v>
      </c>
      <c r="H76" s="10" t="s">
        <v>2181</v>
      </c>
    </row>
    <row r="77" customFormat="false" ht="15" hidden="false" customHeight="false" outlineLevel="0" collapsed="false">
      <c r="A77" s="10" t="n">
        <v>76</v>
      </c>
      <c r="B77" s="10" t="n">
        <v>1623</v>
      </c>
      <c r="C77" s="10" t="s">
        <v>1595</v>
      </c>
      <c r="D77" s="10" t="s">
        <v>22</v>
      </c>
      <c r="E77" s="10" t="s">
        <v>2232</v>
      </c>
      <c r="F77" s="10" t="s">
        <v>2198</v>
      </c>
      <c r="G77" s="10" t="s">
        <v>2190</v>
      </c>
      <c r="H77" s="10" t="s">
        <v>2199</v>
      </c>
    </row>
    <row r="78" customFormat="false" ht="15" hidden="false" customHeight="false" outlineLevel="0" collapsed="false">
      <c r="A78" s="10" t="n">
        <v>77</v>
      </c>
      <c r="B78" s="10" t="n">
        <v>1664</v>
      </c>
      <c r="C78" s="10" t="s">
        <v>1624</v>
      </c>
      <c r="D78" s="10" t="s">
        <v>22</v>
      </c>
      <c r="E78" s="10" t="s">
        <v>2233</v>
      </c>
      <c r="F78" s="10" t="s">
        <v>2198</v>
      </c>
      <c r="G78" s="10" t="s">
        <v>2190</v>
      </c>
      <c r="H78" s="10" t="s">
        <v>2199</v>
      </c>
    </row>
    <row r="79" customFormat="false" ht="15" hidden="false" customHeight="false" outlineLevel="0" collapsed="false">
      <c r="A79" s="10" t="n">
        <v>78</v>
      </c>
      <c r="B79" s="10" t="n">
        <v>1675</v>
      </c>
      <c r="C79" s="10" t="s">
        <v>1634</v>
      </c>
      <c r="D79" s="10" t="s">
        <v>24</v>
      </c>
      <c r="E79" s="10" t="s">
        <v>1635</v>
      </c>
      <c r="F79" s="10" t="s">
        <v>2182</v>
      </c>
      <c r="G79" s="10" t="s">
        <v>260</v>
      </c>
      <c r="H79" s="10" t="s">
        <v>2183</v>
      </c>
    </row>
    <row r="80" customFormat="false" ht="15" hidden="false" customHeight="false" outlineLevel="0" collapsed="false">
      <c r="A80" s="10" t="n">
        <v>79</v>
      </c>
      <c r="B80" s="10" t="n">
        <v>1740</v>
      </c>
      <c r="C80" s="10" t="s">
        <v>1682</v>
      </c>
      <c r="D80" s="10" t="s">
        <v>27</v>
      </c>
      <c r="E80" s="10" t="s">
        <v>2203</v>
      </c>
      <c r="F80" s="10" t="s">
        <v>2194</v>
      </c>
      <c r="G80" s="10" t="s">
        <v>2234</v>
      </c>
      <c r="H80" s="10" t="s">
        <v>2196</v>
      </c>
    </row>
    <row r="81" customFormat="false" ht="15" hidden="false" customHeight="false" outlineLevel="0" collapsed="false">
      <c r="A81" s="10" t="n">
        <v>80</v>
      </c>
      <c r="B81" s="10" t="n">
        <v>1770</v>
      </c>
      <c r="C81" s="10" t="s">
        <v>1699</v>
      </c>
      <c r="D81" s="10" t="s">
        <v>23</v>
      </c>
      <c r="E81" s="10" t="s">
        <v>2235</v>
      </c>
      <c r="F81" s="10" t="s">
        <v>2185</v>
      </c>
      <c r="G81" s="10" t="s">
        <v>84</v>
      </c>
      <c r="H81" s="10" t="s">
        <v>2183</v>
      </c>
    </row>
    <row r="82" customFormat="false" ht="15" hidden="false" customHeight="false" outlineLevel="0" collapsed="false">
      <c r="A82" s="10" t="n">
        <v>81</v>
      </c>
      <c r="B82" s="10" t="n">
        <v>1779</v>
      </c>
      <c r="C82" s="10" t="s">
        <v>1706</v>
      </c>
      <c r="D82" s="10" t="s">
        <v>29</v>
      </c>
      <c r="E82" s="10" t="s">
        <v>2231</v>
      </c>
      <c r="F82" s="10" t="s">
        <v>2223</v>
      </c>
      <c r="G82" s="10" t="s">
        <v>2190</v>
      </c>
      <c r="H82" s="10" t="s">
        <v>2196</v>
      </c>
    </row>
    <row r="83" customFormat="false" ht="15" hidden="false" customHeight="false" outlineLevel="0" collapsed="false">
      <c r="A83" s="10" t="n">
        <v>82</v>
      </c>
      <c r="B83" s="10" t="n">
        <v>1780</v>
      </c>
      <c r="C83" s="10" t="s">
        <v>1707</v>
      </c>
      <c r="D83" s="10" t="s">
        <v>26</v>
      </c>
      <c r="E83" s="10" t="s">
        <v>2179</v>
      </c>
      <c r="F83" s="10" t="s">
        <v>2186</v>
      </c>
      <c r="G83" s="10" t="s">
        <v>2234</v>
      </c>
      <c r="H83" s="10" t="s">
        <v>2181</v>
      </c>
    </row>
    <row r="84" customFormat="false" ht="15" hidden="false" customHeight="false" outlineLevel="0" collapsed="false">
      <c r="A84" s="10" t="n">
        <v>83</v>
      </c>
      <c r="B84" s="10" t="n">
        <v>1791</v>
      </c>
      <c r="C84" s="10" t="s">
        <v>1718</v>
      </c>
      <c r="D84" s="10" t="s">
        <v>26</v>
      </c>
      <c r="E84" s="10" t="s">
        <v>2179</v>
      </c>
      <c r="F84" s="10" t="s">
        <v>2186</v>
      </c>
      <c r="G84" s="10" t="s">
        <v>2234</v>
      </c>
      <c r="H84" s="10" t="s">
        <v>2181</v>
      </c>
    </row>
    <row r="85" customFormat="false" ht="15" hidden="false" customHeight="false" outlineLevel="0" collapsed="false">
      <c r="A85" s="10" t="n">
        <v>84</v>
      </c>
      <c r="B85" s="10" t="n">
        <v>1820</v>
      </c>
      <c r="C85" s="10" t="s">
        <v>1738</v>
      </c>
      <c r="D85" s="10" t="s">
        <v>27</v>
      </c>
      <c r="E85" s="10" t="s">
        <v>2203</v>
      </c>
      <c r="F85" s="10" t="s">
        <v>2194</v>
      </c>
      <c r="G85" s="10" t="s">
        <v>2195</v>
      </c>
      <c r="H85" s="10" t="s">
        <v>2196</v>
      </c>
    </row>
    <row r="86" customFormat="false" ht="15" hidden="false" customHeight="false" outlineLevel="0" collapsed="false">
      <c r="A86" s="10" t="n">
        <v>85</v>
      </c>
      <c r="B86" s="10" t="n">
        <v>1822</v>
      </c>
      <c r="C86" s="10" t="s">
        <v>1739</v>
      </c>
      <c r="D86" s="10" t="s">
        <v>29</v>
      </c>
      <c r="E86" s="10" t="s">
        <v>2203</v>
      </c>
      <c r="F86" s="10" t="s">
        <v>2223</v>
      </c>
      <c r="G86" s="10" t="s">
        <v>2190</v>
      </c>
      <c r="H86" s="10" t="s">
        <v>2196</v>
      </c>
    </row>
    <row r="87" customFormat="false" ht="15" hidden="false" customHeight="false" outlineLevel="0" collapsed="false">
      <c r="A87" s="10" t="n">
        <v>86</v>
      </c>
      <c r="B87" s="10" t="n">
        <v>1838</v>
      </c>
      <c r="C87" s="10" t="s">
        <v>1749</v>
      </c>
      <c r="D87" s="10" t="s">
        <v>23</v>
      </c>
      <c r="E87" s="10" t="s">
        <v>2236</v>
      </c>
      <c r="F87" s="10" t="s">
        <v>2185</v>
      </c>
      <c r="G87" s="10" t="s">
        <v>92</v>
      </c>
      <c r="H87" s="10" t="s">
        <v>2183</v>
      </c>
    </row>
    <row r="88" customFormat="false" ht="15" hidden="false" customHeight="false" outlineLevel="0" collapsed="false">
      <c r="A88" s="10" t="n">
        <v>87</v>
      </c>
      <c r="B88" s="10" t="n">
        <v>1843</v>
      </c>
      <c r="C88" s="10" t="s">
        <v>1754</v>
      </c>
      <c r="D88" s="10" t="s">
        <v>24</v>
      </c>
      <c r="E88" s="10" t="s">
        <v>1755</v>
      </c>
      <c r="F88" s="10" t="s">
        <v>2182</v>
      </c>
      <c r="G88" s="10" t="s">
        <v>2237</v>
      </c>
      <c r="H88" s="10" t="s">
        <v>2183</v>
      </c>
    </row>
    <row r="89" customFormat="false" ht="15" hidden="false" customHeight="false" outlineLevel="0" collapsed="false">
      <c r="A89" s="10" t="n">
        <v>88</v>
      </c>
      <c r="B89" s="10" t="n">
        <v>1872</v>
      </c>
      <c r="C89" s="10" t="s">
        <v>1777</v>
      </c>
      <c r="D89" s="10" t="s">
        <v>24</v>
      </c>
      <c r="E89" s="10" t="s">
        <v>1778</v>
      </c>
      <c r="F89" s="10" t="s">
        <v>2182</v>
      </c>
      <c r="G89" s="10" t="s">
        <v>1275</v>
      </c>
      <c r="H89" s="10" t="s">
        <v>2183</v>
      </c>
    </row>
    <row r="90" customFormat="false" ht="15" hidden="false" customHeight="false" outlineLevel="0" collapsed="false">
      <c r="A90" s="10" t="n">
        <v>89</v>
      </c>
      <c r="B90" s="10" t="n">
        <v>1904</v>
      </c>
      <c r="C90" s="10" t="s">
        <v>1796</v>
      </c>
      <c r="D90" s="10" t="s">
        <v>23</v>
      </c>
      <c r="E90" s="10" t="s">
        <v>2238</v>
      </c>
      <c r="F90" s="10" t="s">
        <v>2185</v>
      </c>
      <c r="G90" s="10" t="s">
        <v>186</v>
      </c>
      <c r="H90" s="10" t="s">
        <v>2183</v>
      </c>
    </row>
    <row r="91" customFormat="false" ht="15" hidden="false" customHeight="false" outlineLevel="0" collapsed="false">
      <c r="A91" s="10" t="n">
        <v>90</v>
      </c>
      <c r="B91" s="10" t="n">
        <v>1916</v>
      </c>
      <c r="C91" s="10" t="s">
        <v>1804</v>
      </c>
      <c r="D91" s="10" t="s">
        <v>22</v>
      </c>
      <c r="E91" s="10" t="s">
        <v>2239</v>
      </c>
      <c r="F91" s="10" t="s">
        <v>2198</v>
      </c>
      <c r="G91" s="10" t="s">
        <v>2190</v>
      </c>
      <c r="H91" s="10" t="s">
        <v>2199</v>
      </c>
    </row>
    <row r="92" customFormat="false" ht="15" hidden="false" customHeight="false" outlineLevel="0" collapsed="false">
      <c r="A92" s="10" t="n">
        <v>91</v>
      </c>
      <c r="B92" s="10" t="n">
        <v>1952</v>
      </c>
      <c r="C92" s="10" t="s">
        <v>1831</v>
      </c>
      <c r="D92" s="10" t="s">
        <v>22</v>
      </c>
      <c r="E92" s="10" t="s">
        <v>2240</v>
      </c>
      <c r="F92" s="10" t="s">
        <v>2198</v>
      </c>
      <c r="G92" s="10" t="s">
        <v>2190</v>
      </c>
      <c r="H92" s="10" t="s">
        <v>2199</v>
      </c>
    </row>
    <row r="93" customFormat="false" ht="15" hidden="false" customHeight="false" outlineLevel="0" collapsed="false">
      <c r="A93" s="10" t="n">
        <v>92</v>
      </c>
      <c r="B93" s="10" t="n">
        <v>1962</v>
      </c>
      <c r="C93" s="10" t="s">
        <v>1836</v>
      </c>
      <c r="D93" s="10" t="s">
        <v>22</v>
      </c>
      <c r="E93" s="10" t="s">
        <v>2241</v>
      </c>
      <c r="F93" s="10" t="s">
        <v>2198</v>
      </c>
      <c r="G93" s="10" t="s">
        <v>2190</v>
      </c>
      <c r="H93" s="10" t="s">
        <v>2199</v>
      </c>
    </row>
    <row r="94" customFormat="false" ht="15" hidden="false" customHeight="false" outlineLevel="0" collapsed="false">
      <c r="A94" s="10" t="n">
        <v>93</v>
      </c>
      <c r="B94" s="10" t="n">
        <v>2013</v>
      </c>
      <c r="C94" s="10" t="s">
        <v>1872</v>
      </c>
      <c r="D94" s="10" t="s">
        <v>24</v>
      </c>
      <c r="E94" s="10" t="s">
        <v>1873</v>
      </c>
      <c r="F94" s="10" t="s">
        <v>2182</v>
      </c>
      <c r="G94" s="10" t="s">
        <v>1000</v>
      </c>
      <c r="H94" s="10" t="s">
        <v>2183</v>
      </c>
    </row>
    <row r="95" customFormat="false" ht="15" hidden="false" customHeight="false" outlineLevel="0" collapsed="false">
      <c r="A95" s="10" t="n">
        <v>94</v>
      </c>
      <c r="B95" s="10" t="n">
        <v>2070</v>
      </c>
      <c r="C95" s="10" t="s">
        <v>1913</v>
      </c>
      <c r="D95" s="10" t="s">
        <v>24</v>
      </c>
      <c r="E95" s="10" t="s">
        <v>1914</v>
      </c>
      <c r="F95" s="10" t="s">
        <v>2182</v>
      </c>
      <c r="G95" s="10" t="s">
        <v>1413</v>
      </c>
      <c r="H95" s="10" t="s">
        <v>2183</v>
      </c>
    </row>
    <row r="96" customFormat="false" ht="15" hidden="false" customHeight="false" outlineLevel="0" collapsed="false">
      <c r="A96" s="10" t="n">
        <v>95</v>
      </c>
      <c r="B96" s="10" t="n">
        <v>2074</v>
      </c>
      <c r="C96" s="10" t="s">
        <v>1916</v>
      </c>
      <c r="D96" s="10" t="s">
        <v>24</v>
      </c>
      <c r="E96" s="10" t="s">
        <v>1917</v>
      </c>
      <c r="F96" s="10" t="s">
        <v>2182</v>
      </c>
      <c r="G96" s="10" t="s">
        <v>1361</v>
      </c>
      <c r="H96" s="10" t="s">
        <v>2183</v>
      </c>
    </row>
    <row r="97" customFormat="false" ht="15" hidden="false" customHeight="false" outlineLevel="0" collapsed="false">
      <c r="A97" s="10" t="n">
        <v>96</v>
      </c>
      <c r="B97" s="10" t="n">
        <v>2081</v>
      </c>
      <c r="C97" s="10" t="s">
        <v>1921</v>
      </c>
      <c r="D97" s="10" t="s">
        <v>27</v>
      </c>
      <c r="E97" s="10" t="s">
        <v>2193</v>
      </c>
      <c r="F97" s="10" t="s">
        <v>2194</v>
      </c>
      <c r="G97" s="10" t="s">
        <v>2195</v>
      </c>
      <c r="H97" s="10" t="s">
        <v>2196</v>
      </c>
    </row>
    <row r="98" customFormat="false" ht="15" hidden="false" customHeight="false" outlineLevel="0" collapsed="false">
      <c r="A98" s="10" t="n">
        <v>97</v>
      </c>
      <c r="B98" s="10" t="n">
        <v>2112</v>
      </c>
      <c r="C98" s="10" t="s">
        <v>1944</v>
      </c>
      <c r="D98" s="10" t="s">
        <v>29</v>
      </c>
      <c r="E98" s="10" t="s">
        <v>2231</v>
      </c>
      <c r="F98" s="10" t="s">
        <v>2223</v>
      </c>
      <c r="G98" s="10" t="s">
        <v>2190</v>
      </c>
      <c r="H98" s="10" t="s">
        <v>2196</v>
      </c>
    </row>
    <row r="99" customFormat="false" ht="15" hidden="false" customHeight="false" outlineLevel="0" collapsed="false">
      <c r="A99" s="10" t="n">
        <v>98</v>
      </c>
      <c r="B99" s="10" t="n">
        <v>2117</v>
      </c>
      <c r="C99" s="10" t="s">
        <v>1949</v>
      </c>
      <c r="D99" s="10" t="s">
        <v>26</v>
      </c>
      <c r="E99" s="10" t="s">
        <v>2179</v>
      </c>
      <c r="F99" s="10" t="s">
        <v>2186</v>
      </c>
      <c r="G99" s="10" t="s">
        <v>2187</v>
      </c>
      <c r="H99" s="10" t="s">
        <v>2181</v>
      </c>
    </row>
    <row r="100" customFormat="false" ht="15" hidden="false" customHeight="false" outlineLevel="0" collapsed="false">
      <c r="A100" s="10" t="n">
        <v>99</v>
      </c>
      <c r="B100" s="10" t="n">
        <v>2122</v>
      </c>
      <c r="C100" s="10" t="s">
        <v>1952</v>
      </c>
      <c r="D100" s="10" t="s">
        <v>23</v>
      </c>
      <c r="E100" s="10" t="s">
        <v>2242</v>
      </c>
      <c r="F100" s="10" t="s">
        <v>2185</v>
      </c>
      <c r="G100" s="10" t="s">
        <v>132</v>
      </c>
      <c r="H100" s="10" t="s">
        <v>2183</v>
      </c>
    </row>
    <row r="101" customFormat="false" ht="15" hidden="false" customHeight="false" outlineLevel="0" collapsed="false">
      <c r="A101" s="10" t="n">
        <v>100</v>
      </c>
      <c r="B101" s="10" t="n">
        <v>2155</v>
      </c>
      <c r="C101" s="10" t="s">
        <v>1979</v>
      </c>
      <c r="D101" s="10" t="s">
        <v>24</v>
      </c>
      <c r="E101" s="10" t="s">
        <v>1980</v>
      </c>
      <c r="F101" s="10" t="s">
        <v>2182</v>
      </c>
      <c r="G101" s="10" t="s">
        <v>908</v>
      </c>
      <c r="H101" s="10" t="s">
        <v>2183</v>
      </c>
    </row>
    <row r="102" customFormat="false" ht="15" hidden="false" customHeight="false" outlineLevel="0" collapsed="false">
      <c r="A102" s="10" t="n">
        <v>101</v>
      </c>
      <c r="B102" s="10" t="n">
        <v>2163</v>
      </c>
      <c r="C102" s="10" t="s">
        <v>1984</v>
      </c>
      <c r="D102" s="10" t="s">
        <v>22</v>
      </c>
      <c r="E102" s="10" t="s">
        <v>2243</v>
      </c>
      <c r="F102" s="10" t="s">
        <v>2198</v>
      </c>
      <c r="G102" s="10" t="s">
        <v>2190</v>
      </c>
      <c r="H102" s="10" t="s">
        <v>2199</v>
      </c>
    </row>
    <row r="103" customFormat="false" ht="15" hidden="false" customHeight="false" outlineLevel="0" collapsed="false">
      <c r="A103" s="10" t="n">
        <v>102</v>
      </c>
      <c r="B103" s="10" t="n">
        <v>2168</v>
      </c>
      <c r="C103" s="10" t="s">
        <v>1987</v>
      </c>
      <c r="D103" s="10" t="s">
        <v>22</v>
      </c>
      <c r="E103" s="10" t="s">
        <v>2244</v>
      </c>
      <c r="F103" s="10" t="s">
        <v>2198</v>
      </c>
      <c r="G103" s="10" t="s">
        <v>2190</v>
      </c>
      <c r="H103" s="10" t="s">
        <v>2199</v>
      </c>
    </row>
    <row r="104" customFormat="false" ht="15" hidden="false" customHeight="false" outlineLevel="0" collapsed="false">
      <c r="A104" s="10" t="n">
        <v>103</v>
      </c>
      <c r="B104" s="10" t="n">
        <v>2221</v>
      </c>
      <c r="C104" s="10" t="s">
        <v>2027</v>
      </c>
      <c r="D104" s="10" t="s">
        <v>22</v>
      </c>
      <c r="E104" s="10" t="s">
        <v>2245</v>
      </c>
      <c r="F104" s="10" t="s">
        <v>2198</v>
      </c>
      <c r="G104" s="10" t="s">
        <v>2190</v>
      </c>
      <c r="H104" s="10" t="s">
        <v>2199</v>
      </c>
    </row>
    <row r="105" customFormat="false" ht="15" hidden="false" customHeight="false" outlineLevel="0" collapsed="false">
      <c r="A105" s="10" t="n">
        <v>104</v>
      </c>
      <c r="B105" s="10" t="n">
        <v>2249</v>
      </c>
      <c r="C105" s="10" t="s">
        <v>2048</v>
      </c>
      <c r="D105" s="10" t="s">
        <v>24</v>
      </c>
      <c r="E105" s="10" t="s">
        <v>2049</v>
      </c>
      <c r="F105" s="10" t="s">
        <v>2182</v>
      </c>
      <c r="G105" s="10" t="s">
        <v>596</v>
      </c>
      <c r="H105" s="10" t="s">
        <v>2183</v>
      </c>
    </row>
    <row r="106" customFormat="false" ht="15" hidden="false" customHeight="false" outlineLevel="0" collapsed="false">
      <c r="A106" s="10" t="n">
        <v>105</v>
      </c>
      <c r="B106" s="10" t="n">
        <v>2274</v>
      </c>
      <c r="C106" s="10" t="s">
        <v>2066</v>
      </c>
      <c r="D106" s="10" t="s">
        <v>26</v>
      </c>
      <c r="E106" s="10" t="s">
        <v>2179</v>
      </c>
      <c r="F106" s="10" t="s">
        <v>2186</v>
      </c>
      <c r="G106" s="10" t="s">
        <v>2187</v>
      </c>
      <c r="H106" s="10" t="s">
        <v>2181</v>
      </c>
    </row>
    <row r="107" customFormat="false" ht="15" hidden="false" customHeight="false" outlineLevel="0" collapsed="false">
      <c r="A107" s="10" t="n">
        <v>106</v>
      </c>
      <c r="B107" s="10" t="n">
        <v>2360</v>
      </c>
      <c r="C107" s="10" t="s">
        <v>2130</v>
      </c>
      <c r="D107" s="10" t="s">
        <v>23</v>
      </c>
      <c r="E107" s="10" t="s">
        <v>2246</v>
      </c>
      <c r="F107" s="10" t="s">
        <v>2185</v>
      </c>
      <c r="G107" s="10" t="s">
        <v>101</v>
      </c>
      <c r="H107" s="10" t="s">
        <v>2183</v>
      </c>
    </row>
    <row r="108" customFormat="false" ht="15" hidden="false" customHeight="false" outlineLevel="0" collapsed="false">
      <c r="A108" s="10" t="n">
        <v>107</v>
      </c>
      <c r="B108" s="10" t="n">
        <v>2363</v>
      </c>
      <c r="C108" s="10" t="s">
        <v>2133</v>
      </c>
      <c r="D108" s="10" t="s">
        <v>27</v>
      </c>
      <c r="E108" s="10" t="s">
        <v>2203</v>
      </c>
      <c r="F108" s="10" t="s">
        <v>2194</v>
      </c>
      <c r="G108" s="10" t="s">
        <v>2187</v>
      </c>
      <c r="H108" s="10" t="s">
        <v>2196</v>
      </c>
    </row>
    <row r="109" customFormat="false" ht="15" hidden="false" customHeight="false" outlineLevel="0" collapsed="false">
      <c r="A109" s="10" t="n">
        <v>108</v>
      </c>
      <c r="B109" s="10" t="n">
        <v>2395</v>
      </c>
      <c r="C109" s="10" t="s">
        <v>2152</v>
      </c>
      <c r="D109" s="10" t="s">
        <v>22</v>
      </c>
      <c r="E109" s="10" t="s">
        <v>2247</v>
      </c>
      <c r="F109" s="10" t="s">
        <v>2198</v>
      </c>
      <c r="G109" s="10" t="s">
        <v>2190</v>
      </c>
      <c r="H109" s="10" t="s">
        <v>2199</v>
      </c>
    </row>
    <row r="110" customFormat="false" ht="15" hidden="false" customHeight="false" outlineLevel="0" collapsed="false">
      <c r="A110" s="10" t="n">
        <v>109</v>
      </c>
      <c r="B110" s="10" t="n">
        <v>2422</v>
      </c>
      <c r="C110" s="10" t="s">
        <v>2167</v>
      </c>
      <c r="D110" s="10" t="s">
        <v>22</v>
      </c>
      <c r="E110" s="10" t="s">
        <v>2248</v>
      </c>
      <c r="F110" s="10" t="s">
        <v>2198</v>
      </c>
      <c r="G110" s="10" t="s">
        <v>2190</v>
      </c>
      <c r="H110" s="10" t="s">
        <v>2199</v>
      </c>
    </row>
  </sheetData>
  <autoFilter ref="A1:H1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5" min="4" style="0" width="9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2" min="11" style="0" width="14"/>
  </cols>
  <sheetData>
    <row r="1" customFormat="false" ht="23.85" hidden="false" customHeight="false" outlineLevel="0" collapsed="false">
      <c r="A1" s="12" t="s">
        <v>36</v>
      </c>
      <c r="B1" s="12" t="s">
        <v>39</v>
      </c>
      <c r="C1" s="12" t="s">
        <v>41</v>
      </c>
      <c r="D1" s="12" t="s">
        <v>43</v>
      </c>
      <c r="E1" s="12" t="s">
        <v>46</v>
      </c>
      <c r="F1" s="12" t="s">
        <v>49</v>
      </c>
      <c r="G1" s="12" t="s">
        <v>51</v>
      </c>
      <c r="H1" s="12" t="s">
        <v>54</v>
      </c>
      <c r="I1" s="12" t="s">
        <v>57</v>
      </c>
      <c r="J1" s="12" t="s">
        <v>59</v>
      </c>
      <c r="K1" s="12" t="s">
        <v>61</v>
      </c>
      <c r="L1" s="12" t="s">
        <v>63</v>
      </c>
    </row>
    <row r="2" customFormat="false" ht="15" hidden="false" customHeight="false" outlineLevel="0" collapsed="false">
      <c r="A2" s="2" t="s">
        <v>78</v>
      </c>
      <c r="B2" s="13" t="n">
        <v>46266</v>
      </c>
      <c r="C2" s="2" t="s">
        <v>79</v>
      </c>
      <c r="D2" s="2" t="n">
        <v>2</v>
      </c>
      <c r="E2" s="15" t="n">
        <v>0.45625</v>
      </c>
      <c r="F2" s="7" t="n">
        <v>16000</v>
      </c>
      <c r="G2" s="7" t="n">
        <f aca="false">D2*F2</f>
        <v>32000</v>
      </c>
      <c r="H2" s="2" t="str">
        <f aca="false">INDEX(Daftar_Menu!$B$2:$B$13,MATCH(C2,Daftar_Menu!$A$2:$A$13,0))</f>
        <v>Makanan</v>
      </c>
      <c r="I2" s="2" t="str">
        <f aca="false">CHOOSE(WEEKDAY(B2,2),"Senin","Selasa","Rabu","Kamis","Jumat","Sabtu","Minggu")</f>
        <v>Selasa</v>
      </c>
      <c r="J2" s="2" t="n">
        <f aca="false">HOUR(E2)</f>
        <v>10</v>
      </c>
      <c r="K2" s="2" t="str">
        <f aca="false">IF(J2&lt;11,"Pagi",IF(J2&lt;17,"Siang","Malam"))</f>
        <v>Pagi</v>
      </c>
      <c r="L2" s="2" t="n">
        <f aca="false">IF(A2&lt;&gt;A1,1,0)</f>
        <v>1</v>
      </c>
    </row>
    <row r="3" customFormat="false" ht="15" hidden="false" customHeight="false" outlineLevel="0" collapsed="false">
      <c r="A3" s="2" t="s">
        <v>78</v>
      </c>
      <c r="B3" s="13" t="n">
        <v>46266</v>
      </c>
      <c r="C3" s="2" t="s">
        <v>81</v>
      </c>
      <c r="D3" s="2" t="n">
        <v>1</v>
      </c>
      <c r="E3" s="15" t="n">
        <v>0.45625</v>
      </c>
      <c r="F3" s="7" t="n">
        <v>15000</v>
      </c>
      <c r="G3" s="7" t="n">
        <f aca="false">D3*F3</f>
        <v>15000</v>
      </c>
      <c r="H3" s="2" t="str">
        <f aca="false">INDEX(Daftar_Menu!$B$2:$B$13,MATCH(C3,Daftar_Menu!$A$2:$A$13,0))</f>
        <v>Makanan</v>
      </c>
      <c r="I3" s="2" t="str">
        <f aca="false">CHOOSE(WEEKDAY(B3,2),"Senin","Selasa","Rabu","Kamis","Jumat","Sabtu","Minggu")</f>
        <v>Selasa</v>
      </c>
      <c r="J3" s="2" t="n">
        <f aca="false">HOUR(E3)</f>
        <v>10</v>
      </c>
      <c r="K3" s="2" t="str">
        <f aca="false">IF(J3&lt;11,"Pagi",IF(J3&lt;17,"Siang","Malam"))</f>
        <v>Pagi</v>
      </c>
      <c r="L3" s="2" t="n">
        <f aca="false">IF(A3&lt;&gt;A2,1,0)</f>
        <v>0</v>
      </c>
    </row>
    <row r="4" customFormat="false" ht="15" hidden="false" customHeight="false" outlineLevel="0" collapsed="false">
      <c r="A4" s="2" t="s">
        <v>78</v>
      </c>
      <c r="B4" s="13" t="n">
        <v>46266</v>
      </c>
      <c r="C4" s="2" t="s">
        <v>82</v>
      </c>
      <c r="D4" s="2" t="n">
        <v>2</v>
      </c>
      <c r="E4" s="15" t="n">
        <v>0.45625</v>
      </c>
      <c r="F4" s="7" t="n">
        <v>13000</v>
      </c>
      <c r="G4" s="7" t="n">
        <f aca="false">D4*F4</f>
        <v>26000</v>
      </c>
      <c r="H4" s="2" t="str">
        <f aca="false">INDEX(Daftar_Menu!$B$2:$B$13,MATCH(C4,Daftar_Menu!$A$2:$A$13,0))</f>
        <v>Makanan</v>
      </c>
      <c r="I4" s="2" t="str">
        <f aca="false">CHOOSE(WEEKDAY(B4,2),"Senin","Selasa","Rabu","Kamis","Jumat","Sabtu","Minggu")</f>
        <v>Selasa</v>
      </c>
      <c r="J4" s="2" t="n">
        <f aca="false">HOUR(E4)</f>
        <v>10</v>
      </c>
      <c r="K4" s="2" t="str">
        <f aca="false">IF(J4&lt;11,"Pagi",IF(J4&lt;17,"Siang","Malam"))</f>
        <v>Pagi</v>
      </c>
      <c r="L4" s="2" t="n">
        <f aca="false">IF(A4&lt;&gt;A3,1,0)</f>
        <v>0</v>
      </c>
    </row>
    <row r="5" customFormat="false" ht="15" hidden="false" customHeight="false" outlineLevel="0" collapsed="false">
      <c r="A5" s="2" t="s">
        <v>83</v>
      </c>
      <c r="B5" s="13" t="n">
        <v>46266</v>
      </c>
      <c r="C5" s="2" t="s">
        <v>84</v>
      </c>
      <c r="D5" s="2" t="n">
        <v>1</v>
      </c>
      <c r="E5" s="15" t="n">
        <v>0.460416666666667</v>
      </c>
      <c r="F5" s="7" t="n">
        <v>5000</v>
      </c>
      <c r="G5" s="7" t="n">
        <f aca="false">D5*F5</f>
        <v>5000</v>
      </c>
      <c r="H5" s="2" t="str">
        <f aca="false">INDEX(Daftar_Menu!$B$2:$B$13,MATCH(C5,Daftar_Menu!$A$2:$A$13,0))</f>
        <v>Minuman</v>
      </c>
      <c r="I5" s="2" t="str">
        <f aca="false">CHOOSE(WEEKDAY(B5,2),"Senin","Selasa","Rabu","Kamis","Jumat","Sabtu","Minggu")</f>
        <v>Selasa</v>
      </c>
      <c r="J5" s="2" t="n">
        <f aca="false">HOUR(E5)</f>
        <v>11</v>
      </c>
      <c r="K5" s="2" t="str">
        <f aca="false">IF(J5&lt;11,"Pagi",IF(J5&lt;17,"Siang","Malam"))</f>
        <v>Siang</v>
      </c>
      <c r="L5" s="2" t="n">
        <f aca="false">IF(A5&lt;&gt;A4,1,0)</f>
        <v>1</v>
      </c>
    </row>
    <row r="6" customFormat="false" ht="15" hidden="false" customHeight="false" outlineLevel="0" collapsed="false">
      <c r="A6" s="2" t="s">
        <v>86</v>
      </c>
      <c r="B6" s="13" t="n">
        <v>46266</v>
      </c>
      <c r="C6" s="2" t="s">
        <v>84</v>
      </c>
      <c r="D6" s="2" t="n">
        <v>1</v>
      </c>
      <c r="E6" s="15" t="n">
        <v>0.504166666666667</v>
      </c>
      <c r="F6" s="7" t="n">
        <v>5000</v>
      </c>
      <c r="G6" s="7" t="n">
        <f aca="false">D6*F6</f>
        <v>5000</v>
      </c>
      <c r="H6" s="2" t="str">
        <f aca="false">INDEX(Daftar_Menu!$B$2:$B$13,MATCH(C6,Daftar_Menu!$A$2:$A$13,0))</f>
        <v>Minuman</v>
      </c>
      <c r="I6" s="2" t="str">
        <f aca="false">CHOOSE(WEEKDAY(B6,2),"Senin","Selasa","Rabu","Kamis","Jumat","Sabtu","Minggu")</f>
        <v>Selasa</v>
      </c>
      <c r="J6" s="2" t="n">
        <f aca="false">HOUR(E6)</f>
        <v>12</v>
      </c>
      <c r="K6" s="2" t="str">
        <f aca="false">IF(J6&lt;11,"Pagi",IF(J6&lt;17,"Siang","Malam"))</f>
        <v>Siang</v>
      </c>
      <c r="L6" s="2" t="n">
        <f aca="false">IF(A6&lt;&gt;A5,1,0)</f>
        <v>1</v>
      </c>
    </row>
    <row r="7" customFormat="false" ht="15" hidden="false" customHeight="false" outlineLevel="0" collapsed="false">
      <c r="A7" s="2" t="s">
        <v>88</v>
      </c>
      <c r="B7" s="13" t="n">
        <v>46266</v>
      </c>
      <c r="C7" s="2" t="s">
        <v>89</v>
      </c>
      <c r="D7" s="2" t="n">
        <v>1</v>
      </c>
      <c r="E7" s="15" t="n">
        <v>0.522222222222222</v>
      </c>
      <c r="F7" s="7" t="n">
        <v>14000</v>
      </c>
      <c r="G7" s="7" t="n">
        <f aca="false">D7*F7</f>
        <v>14000</v>
      </c>
      <c r="H7" s="2" t="str">
        <f aca="false">INDEX(Daftar_Menu!$B$2:$B$13,MATCH(C7,Daftar_Menu!$A$2:$A$13,0))</f>
        <v>Makanan</v>
      </c>
      <c r="I7" s="2" t="str">
        <f aca="false">CHOOSE(WEEKDAY(B7,2),"Senin","Selasa","Rabu","Kamis","Jumat","Sabtu","Minggu")</f>
        <v>Selasa</v>
      </c>
      <c r="J7" s="2" t="n">
        <f aca="false">HOUR(E7)</f>
        <v>12</v>
      </c>
      <c r="K7" s="2" t="str">
        <f aca="false">IF(J7&lt;11,"Pagi",IF(J7&lt;17,"Siang","Malam"))</f>
        <v>Siang</v>
      </c>
      <c r="L7" s="2" t="n">
        <f aca="false">IF(A7&lt;&gt;A6,1,0)</f>
        <v>1</v>
      </c>
    </row>
    <row r="8" customFormat="false" ht="15" hidden="false" customHeight="false" outlineLevel="0" collapsed="false">
      <c r="A8" s="2" t="s">
        <v>91</v>
      </c>
      <c r="B8" s="13" t="n">
        <v>46266</v>
      </c>
      <c r="C8" s="2" t="s">
        <v>92</v>
      </c>
      <c r="D8" s="2" t="n">
        <v>2</v>
      </c>
      <c r="E8" s="15" t="n">
        <v>0.524305555555556</v>
      </c>
      <c r="F8" s="7" t="n">
        <v>4000</v>
      </c>
      <c r="G8" s="7" t="n">
        <f aca="false">D8*F8</f>
        <v>8000</v>
      </c>
      <c r="H8" s="2" t="str">
        <f aca="false">INDEX(Daftar_Menu!$B$2:$B$13,MATCH(C8,Daftar_Menu!$A$2:$A$13,0))</f>
        <v>Minuman</v>
      </c>
      <c r="I8" s="2" t="str">
        <f aca="false">CHOOSE(WEEKDAY(B8,2),"Senin","Selasa","Rabu","Kamis","Jumat","Sabtu","Minggu")</f>
        <v>Selasa</v>
      </c>
      <c r="J8" s="2" t="n">
        <f aca="false">HOUR(E8)</f>
        <v>12</v>
      </c>
      <c r="K8" s="2" t="str">
        <f aca="false">IF(J8&lt;11,"Pagi",IF(J8&lt;17,"Siang","Malam"))</f>
        <v>Siang</v>
      </c>
      <c r="L8" s="2" t="n">
        <f aca="false">IF(A8&lt;&gt;A7,1,0)</f>
        <v>1</v>
      </c>
    </row>
    <row r="9" customFormat="false" ht="15" hidden="false" customHeight="false" outlineLevel="0" collapsed="false">
      <c r="A9" s="2" t="s">
        <v>91</v>
      </c>
      <c r="B9" s="13" t="n">
        <v>46266</v>
      </c>
      <c r="C9" s="2" t="s">
        <v>84</v>
      </c>
      <c r="D9" s="2" t="n">
        <v>1</v>
      </c>
      <c r="E9" s="15" t="n">
        <v>0.524305555555556</v>
      </c>
      <c r="F9" s="7" t="n">
        <v>5000</v>
      </c>
      <c r="G9" s="7" t="n">
        <f aca="false">D9*F9</f>
        <v>5000</v>
      </c>
      <c r="H9" s="2" t="str">
        <f aca="false">INDEX(Daftar_Menu!$B$2:$B$13,MATCH(C9,Daftar_Menu!$A$2:$A$13,0))</f>
        <v>Minuman</v>
      </c>
      <c r="I9" s="2" t="str">
        <f aca="false">CHOOSE(WEEKDAY(B9,2),"Senin","Selasa","Rabu","Kamis","Jumat","Sabtu","Minggu")</f>
        <v>Selasa</v>
      </c>
      <c r="J9" s="2" t="n">
        <f aca="false">HOUR(E9)</f>
        <v>12</v>
      </c>
      <c r="K9" s="2" t="str">
        <f aca="false">IF(J9&lt;11,"Pagi",IF(J9&lt;17,"Siang","Malam"))</f>
        <v>Siang</v>
      </c>
      <c r="L9" s="2" t="n">
        <f aca="false">IF(A9&lt;&gt;A8,1,0)</f>
        <v>0</v>
      </c>
    </row>
    <row r="10" customFormat="false" ht="15" hidden="false" customHeight="false" outlineLevel="0" collapsed="false">
      <c r="A10" s="2" t="s">
        <v>94</v>
      </c>
      <c r="B10" s="13" t="n">
        <v>46266</v>
      </c>
      <c r="C10" s="2" t="s">
        <v>79</v>
      </c>
      <c r="D10" s="2" t="n">
        <v>1</v>
      </c>
      <c r="E10" s="15" t="n">
        <v>0.541666666666667</v>
      </c>
      <c r="F10" s="7" t="n">
        <v>16000</v>
      </c>
      <c r="G10" s="7" t="n">
        <f aca="false">D10*F10</f>
        <v>16000</v>
      </c>
      <c r="H10" s="2" t="str">
        <f aca="false">INDEX(Daftar_Menu!$B$2:$B$13,MATCH(C10,Daftar_Menu!$A$2:$A$13,0))</f>
        <v>Makanan</v>
      </c>
      <c r="I10" s="2" t="str">
        <f aca="false">CHOOSE(WEEKDAY(B10,2),"Senin","Selasa","Rabu","Kamis","Jumat","Sabtu","Minggu")</f>
        <v>Selasa</v>
      </c>
      <c r="J10" s="2" t="n">
        <f aca="false">HOUR(E10)</f>
        <v>13</v>
      </c>
      <c r="K10" s="2" t="str">
        <f aca="false">IF(J10&lt;11,"Pagi",IF(J10&lt;17,"Siang","Malam"))</f>
        <v>Siang</v>
      </c>
      <c r="L10" s="2" t="n">
        <f aca="false">IF(A10&lt;&gt;A9,1,0)</f>
        <v>1</v>
      </c>
    </row>
    <row r="11" customFormat="false" ht="15" hidden="false" customHeight="false" outlineLevel="0" collapsed="false">
      <c r="A11" s="2" t="s">
        <v>94</v>
      </c>
      <c r="B11" s="13" t="n">
        <v>46266</v>
      </c>
      <c r="C11" s="2" t="s">
        <v>84</v>
      </c>
      <c r="D11" s="2" t="n">
        <v>1</v>
      </c>
      <c r="E11" s="15" t="n">
        <v>0.541666666666667</v>
      </c>
      <c r="F11" s="7" t="n">
        <v>5000</v>
      </c>
      <c r="G11" s="7" t="n">
        <f aca="false">D11*F11</f>
        <v>5000</v>
      </c>
      <c r="H11" s="2" t="str">
        <f aca="false">INDEX(Daftar_Menu!$B$2:$B$13,MATCH(C11,Daftar_Menu!$A$2:$A$13,0))</f>
        <v>Minuman</v>
      </c>
      <c r="I11" s="2" t="str">
        <f aca="false">CHOOSE(WEEKDAY(B11,2),"Senin","Selasa","Rabu","Kamis","Jumat","Sabtu","Minggu")</f>
        <v>Selasa</v>
      </c>
      <c r="J11" s="2" t="n">
        <f aca="false">HOUR(E11)</f>
        <v>13</v>
      </c>
      <c r="K11" s="2" t="str">
        <f aca="false">IF(J11&lt;11,"Pagi",IF(J11&lt;17,"Siang","Malam"))</f>
        <v>Siang</v>
      </c>
      <c r="L11" s="2" t="n">
        <f aca="false">IF(A11&lt;&gt;A10,1,0)</f>
        <v>0</v>
      </c>
    </row>
    <row r="12" customFormat="false" ht="15" hidden="false" customHeight="false" outlineLevel="0" collapsed="false">
      <c r="A12" s="2" t="s">
        <v>96</v>
      </c>
      <c r="B12" s="13" t="n">
        <v>46266</v>
      </c>
      <c r="C12" s="2" t="s">
        <v>81</v>
      </c>
      <c r="D12" s="2" t="n">
        <v>1</v>
      </c>
      <c r="E12" s="15" t="n">
        <v>0.556944444444445</v>
      </c>
      <c r="F12" s="7" t="n">
        <v>15000</v>
      </c>
      <c r="G12" s="7" t="n">
        <f aca="false">D12*F12</f>
        <v>15000</v>
      </c>
      <c r="H12" s="2" t="str">
        <f aca="false">INDEX(Daftar_Menu!$B$2:$B$13,MATCH(C12,Daftar_Menu!$A$2:$A$13,0))</f>
        <v>Makanan</v>
      </c>
      <c r="I12" s="2" t="str">
        <f aca="false">CHOOSE(WEEKDAY(B12,2),"Senin","Selasa","Rabu","Kamis","Jumat","Sabtu","Minggu")</f>
        <v>Selasa</v>
      </c>
      <c r="J12" s="2" t="n">
        <f aca="false">HOUR(E12)</f>
        <v>13</v>
      </c>
      <c r="K12" s="2" t="str">
        <f aca="false">IF(J12&lt;11,"Pagi",IF(J12&lt;17,"Siang","Malam"))</f>
        <v>Siang</v>
      </c>
      <c r="L12" s="2" t="n">
        <f aca="false">IF(A12&lt;&gt;A11,1,0)</f>
        <v>1</v>
      </c>
    </row>
    <row r="13" customFormat="false" ht="15" hidden="false" customHeight="false" outlineLevel="0" collapsed="false">
      <c r="A13" s="2" t="s">
        <v>98</v>
      </c>
      <c r="B13" s="13" t="n">
        <v>46266</v>
      </c>
      <c r="C13" s="2" t="s">
        <v>79</v>
      </c>
      <c r="D13" s="2" t="n">
        <v>1</v>
      </c>
      <c r="E13" s="15" t="n">
        <v>0.558333333333333</v>
      </c>
      <c r="F13" s="7" t="n">
        <v>16000</v>
      </c>
      <c r="G13" s="7" t="n">
        <f aca="false">D13*F13</f>
        <v>16000</v>
      </c>
      <c r="H13" s="2" t="str">
        <f aca="false">INDEX(Daftar_Menu!$B$2:$B$13,MATCH(C13,Daftar_Menu!$A$2:$A$13,0))</f>
        <v>Makanan</v>
      </c>
      <c r="I13" s="2" t="str">
        <f aca="false">CHOOSE(WEEKDAY(B13,2),"Senin","Selasa","Rabu","Kamis","Jumat","Sabtu","Minggu")</f>
        <v>Selasa</v>
      </c>
      <c r="J13" s="2" t="n">
        <f aca="false">HOUR(E13)</f>
        <v>13</v>
      </c>
      <c r="K13" s="2" t="str">
        <f aca="false">IF(J13&lt;11,"Pagi",IF(J13&lt;17,"Siang","Malam"))</f>
        <v>Siang</v>
      </c>
      <c r="L13" s="2" t="n">
        <f aca="false">IF(A13&lt;&gt;A12,1,0)</f>
        <v>1</v>
      </c>
    </row>
    <row r="14" customFormat="false" ht="15" hidden="false" customHeight="false" outlineLevel="0" collapsed="false">
      <c r="A14" s="2" t="s">
        <v>100</v>
      </c>
      <c r="B14" s="13" t="n">
        <v>46266</v>
      </c>
      <c r="C14" s="2" t="s">
        <v>101</v>
      </c>
      <c r="D14" s="2" t="n">
        <v>1</v>
      </c>
      <c r="E14" s="15" t="n">
        <v>0.560416666666667</v>
      </c>
      <c r="F14" s="7" t="n">
        <v>18000</v>
      </c>
      <c r="G14" s="7" t="n">
        <f aca="false">D14*F14</f>
        <v>18000</v>
      </c>
      <c r="H14" s="2" t="str">
        <f aca="false">INDEX(Daftar_Menu!$B$2:$B$13,MATCH(C14,Daftar_Menu!$A$2:$A$13,0))</f>
        <v>Makanan</v>
      </c>
      <c r="I14" s="2" t="str">
        <f aca="false">CHOOSE(WEEKDAY(B14,2),"Senin","Selasa","Rabu","Kamis","Jumat","Sabtu","Minggu")</f>
        <v>Selasa</v>
      </c>
      <c r="J14" s="2" t="n">
        <f aca="false">HOUR(E14)</f>
        <v>13</v>
      </c>
      <c r="K14" s="2" t="str">
        <f aca="false">IF(J14&lt;11,"Pagi",IF(J14&lt;17,"Siang","Malam"))</f>
        <v>Siang</v>
      </c>
      <c r="L14" s="2" t="n">
        <f aca="false">IF(A14&lt;&gt;A13,1,0)</f>
        <v>1</v>
      </c>
    </row>
    <row r="15" customFormat="false" ht="15" hidden="false" customHeight="false" outlineLevel="0" collapsed="false">
      <c r="A15" s="2" t="s">
        <v>103</v>
      </c>
      <c r="B15" s="13" t="n">
        <v>46266</v>
      </c>
      <c r="C15" s="2" t="s">
        <v>101</v>
      </c>
      <c r="D15" s="2" t="n">
        <v>1</v>
      </c>
      <c r="E15" s="15" t="n">
        <v>0.566666666666667</v>
      </c>
      <c r="F15" s="7" t="n">
        <v>18000</v>
      </c>
      <c r="G15" s="7" t="n">
        <f aca="false">D15*F15</f>
        <v>18000</v>
      </c>
      <c r="H15" s="2" t="str">
        <f aca="false">INDEX(Daftar_Menu!$B$2:$B$13,MATCH(C15,Daftar_Menu!$A$2:$A$13,0))</f>
        <v>Makanan</v>
      </c>
      <c r="I15" s="2" t="str">
        <f aca="false">CHOOSE(WEEKDAY(B15,2),"Senin","Selasa","Rabu","Kamis","Jumat","Sabtu","Minggu")</f>
        <v>Selasa</v>
      </c>
      <c r="J15" s="2" t="n">
        <f aca="false">HOUR(E15)</f>
        <v>13</v>
      </c>
      <c r="K15" s="2" t="str">
        <f aca="false">IF(J15&lt;11,"Pagi",IF(J15&lt;17,"Siang","Malam"))</f>
        <v>Siang</v>
      </c>
      <c r="L15" s="2" t="n">
        <f aca="false">IF(A15&lt;&gt;A14,1,0)</f>
        <v>1</v>
      </c>
    </row>
    <row r="16" customFormat="false" ht="15" hidden="false" customHeight="false" outlineLevel="0" collapsed="false">
      <c r="A16" s="2" t="s">
        <v>105</v>
      </c>
      <c r="B16" s="13" t="n">
        <v>46266</v>
      </c>
      <c r="C16" s="2" t="s">
        <v>101</v>
      </c>
      <c r="D16" s="2" t="n">
        <v>1</v>
      </c>
      <c r="E16" s="15" t="n">
        <v>0.577777777777778</v>
      </c>
      <c r="F16" s="7" t="n">
        <v>18000</v>
      </c>
      <c r="G16" s="7" t="n">
        <f aca="false">D16*F16</f>
        <v>18000</v>
      </c>
      <c r="H16" s="2" t="str">
        <f aca="false">INDEX(Daftar_Menu!$B$2:$B$13,MATCH(C16,Daftar_Menu!$A$2:$A$13,0))</f>
        <v>Makanan</v>
      </c>
      <c r="I16" s="2" t="str">
        <f aca="false">CHOOSE(WEEKDAY(B16,2),"Senin","Selasa","Rabu","Kamis","Jumat","Sabtu","Minggu")</f>
        <v>Selasa</v>
      </c>
      <c r="J16" s="2" t="n">
        <f aca="false">HOUR(E16)</f>
        <v>13</v>
      </c>
      <c r="K16" s="2" t="str">
        <f aca="false">IF(J16&lt;11,"Pagi",IF(J16&lt;17,"Siang","Malam"))</f>
        <v>Siang</v>
      </c>
      <c r="L16" s="2" t="n">
        <f aca="false">IF(A16&lt;&gt;A15,1,0)</f>
        <v>1</v>
      </c>
    </row>
    <row r="17" customFormat="false" ht="15" hidden="false" customHeight="false" outlineLevel="0" collapsed="false">
      <c r="A17" s="2" t="s">
        <v>105</v>
      </c>
      <c r="B17" s="13" t="n">
        <v>46266</v>
      </c>
      <c r="C17" s="2" t="s">
        <v>81</v>
      </c>
      <c r="D17" s="2" t="n">
        <v>1</v>
      </c>
      <c r="E17" s="15" t="n">
        <v>0.577777777777778</v>
      </c>
      <c r="F17" s="7" t="n">
        <v>15000</v>
      </c>
      <c r="G17" s="7" t="n">
        <f aca="false">D17*F17</f>
        <v>15000</v>
      </c>
      <c r="H17" s="2" t="str">
        <f aca="false">INDEX(Daftar_Menu!$B$2:$B$13,MATCH(C17,Daftar_Menu!$A$2:$A$13,0))</f>
        <v>Makanan</v>
      </c>
      <c r="I17" s="2" t="str">
        <f aca="false">CHOOSE(WEEKDAY(B17,2),"Senin","Selasa","Rabu","Kamis","Jumat","Sabtu","Minggu")</f>
        <v>Selasa</v>
      </c>
      <c r="J17" s="2" t="n">
        <f aca="false">HOUR(E17)</f>
        <v>13</v>
      </c>
      <c r="K17" s="2" t="str">
        <f aca="false">IF(J17&lt;11,"Pagi",IF(J17&lt;17,"Siang","Malam"))</f>
        <v>Siang</v>
      </c>
      <c r="L17" s="2" t="n">
        <f aca="false">IF(A17&lt;&gt;A16,1,0)</f>
        <v>0</v>
      </c>
    </row>
    <row r="18" customFormat="false" ht="15" hidden="false" customHeight="false" outlineLevel="0" collapsed="false">
      <c r="A18" s="2" t="s">
        <v>107</v>
      </c>
      <c r="B18" s="13" t="n">
        <v>46266</v>
      </c>
      <c r="C18" s="2" t="s">
        <v>108</v>
      </c>
      <c r="D18" s="2" t="n">
        <v>1</v>
      </c>
      <c r="E18" s="15" t="n">
        <v>0.582638888888889</v>
      </c>
      <c r="F18" s="7" t="n">
        <v>20000</v>
      </c>
      <c r="G18" s="7" t="n">
        <f aca="false">D18*F18</f>
        <v>20000</v>
      </c>
      <c r="H18" s="2" t="str">
        <f aca="false">INDEX(Daftar_Menu!$B$2:$B$13,MATCH(C18,Daftar_Menu!$A$2:$A$13,0))</f>
        <v>Makanan</v>
      </c>
      <c r="I18" s="2" t="str">
        <f aca="false">CHOOSE(WEEKDAY(B18,2),"Senin","Selasa","Rabu","Kamis","Jumat","Sabtu","Minggu")</f>
        <v>Selasa</v>
      </c>
      <c r="J18" s="2" t="n">
        <f aca="false">HOUR(E18)</f>
        <v>13</v>
      </c>
      <c r="K18" s="2" t="str">
        <f aca="false">IF(J18&lt;11,"Pagi",IF(J18&lt;17,"Siang","Malam"))</f>
        <v>Siang</v>
      </c>
      <c r="L18" s="2" t="n">
        <f aca="false">IF(A18&lt;&gt;A17,1,0)</f>
        <v>1</v>
      </c>
    </row>
    <row r="19" customFormat="false" ht="15" hidden="false" customHeight="false" outlineLevel="0" collapsed="false">
      <c r="A19" s="2" t="s">
        <v>107</v>
      </c>
      <c r="B19" s="13" t="n">
        <v>46266</v>
      </c>
      <c r="C19" s="2" t="s">
        <v>101</v>
      </c>
      <c r="D19" s="2" t="n">
        <v>1</v>
      </c>
      <c r="E19" s="15" t="n">
        <v>0.582638888888889</v>
      </c>
      <c r="F19" s="7" t="n">
        <v>18000</v>
      </c>
      <c r="G19" s="7" t="n">
        <f aca="false">D19*F19</f>
        <v>18000</v>
      </c>
      <c r="H19" s="2" t="str">
        <f aca="false">INDEX(Daftar_Menu!$B$2:$B$13,MATCH(C19,Daftar_Menu!$A$2:$A$13,0))</f>
        <v>Makanan</v>
      </c>
      <c r="I19" s="2" t="str">
        <f aca="false">CHOOSE(WEEKDAY(B19,2),"Senin","Selasa","Rabu","Kamis","Jumat","Sabtu","Minggu")</f>
        <v>Selasa</v>
      </c>
      <c r="J19" s="2" t="n">
        <f aca="false">HOUR(E19)</f>
        <v>13</v>
      </c>
      <c r="K19" s="2" t="str">
        <f aca="false">IF(J19&lt;11,"Pagi",IF(J19&lt;17,"Siang","Malam"))</f>
        <v>Siang</v>
      </c>
      <c r="L19" s="2" t="n">
        <f aca="false">IF(A19&lt;&gt;A18,1,0)</f>
        <v>0</v>
      </c>
    </row>
    <row r="20" customFormat="false" ht="15" hidden="false" customHeight="false" outlineLevel="0" collapsed="false">
      <c r="A20" s="2" t="s">
        <v>110</v>
      </c>
      <c r="B20" s="13" t="n">
        <v>46266</v>
      </c>
      <c r="C20" s="2" t="s">
        <v>81</v>
      </c>
      <c r="D20" s="2" t="n">
        <v>1</v>
      </c>
      <c r="E20" s="15" t="n">
        <v>0.622222222222222</v>
      </c>
      <c r="F20" s="7" t="n">
        <v>15000</v>
      </c>
      <c r="G20" s="7" t="n">
        <f aca="false">D20*F20</f>
        <v>15000</v>
      </c>
      <c r="H20" s="2" t="str">
        <f aca="false">INDEX(Daftar_Menu!$B$2:$B$13,MATCH(C20,Daftar_Menu!$A$2:$A$13,0))</f>
        <v>Makanan</v>
      </c>
      <c r="I20" s="2" t="str">
        <f aca="false">CHOOSE(WEEKDAY(B20,2),"Senin","Selasa","Rabu","Kamis","Jumat","Sabtu","Minggu")</f>
        <v>Selasa</v>
      </c>
      <c r="J20" s="2" t="n">
        <f aca="false">HOUR(E20)</f>
        <v>14</v>
      </c>
      <c r="K20" s="2" t="str">
        <f aca="false">IF(J20&lt;11,"Pagi",IF(J20&lt;17,"Siang","Malam"))</f>
        <v>Siang</v>
      </c>
      <c r="L20" s="2" t="n">
        <f aca="false">IF(A20&lt;&gt;A19,1,0)</f>
        <v>1</v>
      </c>
    </row>
    <row r="21" customFormat="false" ht="15" hidden="false" customHeight="false" outlineLevel="0" collapsed="false">
      <c r="A21" s="2" t="s">
        <v>110</v>
      </c>
      <c r="B21" s="13" t="n">
        <v>46266</v>
      </c>
      <c r="C21" s="2" t="s">
        <v>108</v>
      </c>
      <c r="D21" s="2" t="n">
        <v>1</v>
      </c>
      <c r="E21" s="15" t="n">
        <v>0.622222222222222</v>
      </c>
      <c r="F21" s="7" t="n">
        <v>20000</v>
      </c>
      <c r="G21" s="7" t="n">
        <f aca="false">D21*F21</f>
        <v>20000</v>
      </c>
      <c r="H21" s="2" t="str">
        <f aca="false">INDEX(Daftar_Menu!$B$2:$B$13,MATCH(C21,Daftar_Menu!$A$2:$A$13,0))</f>
        <v>Makanan</v>
      </c>
      <c r="I21" s="2" t="str">
        <f aca="false">CHOOSE(WEEKDAY(B21,2),"Senin","Selasa","Rabu","Kamis","Jumat","Sabtu","Minggu")</f>
        <v>Selasa</v>
      </c>
      <c r="J21" s="2" t="n">
        <f aca="false">HOUR(E21)</f>
        <v>14</v>
      </c>
      <c r="K21" s="2" t="str">
        <f aca="false">IF(J21&lt;11,"Pagi",IF(J21&lt;17,"Siang","Malam"))</f>
        <v>Siang</v>
      </c>
      <c r="L21" s="2" t="n">
        <f aca="false">IF(A21&lt;&gt;A20,1,0)</f>
        <v>0</v>
      </c>
    </row>
    <row r="22" customFormat="false" ht="15" hidden="false" customHeight="false" outlineLevel="0" collapsed="false">
      <c r="A22" s="2" t="s">
        <v>110</v>
      </c>
      <c r="B22" s="13" t="n">
        <v>46266</v>
      </c>
      <c r="C22" s="2" t="s">
        <v>112</v>
      </c>
      <c r="D22" s="2" t="n">
        <v>1</v>
      </c>
      <c r="E22" s="15" t="n">
        <v>0.622222222222222</v>
      </c>
      <c r="F22" s="7" t="n">
        <v>10000</v>
      </c>
      <c r="G22" s="7" t="n">
        <f aca="false">D22*F22</f>
        <v>10000</v>
      </c>
      <c r="H22" s="2" t="str">
        <f aca="false">INDEX(Daftar_Menu!$B$2:$B$13,MATCH(C22,Daftar_Menu!$A$2:$A$13,0))</f>
        <v>Minuman</v>
      </c>
      <c r="I22" s="2" t="str">
        <f aca="false">CHOOSE(WEEKDAY(B22,2),"Senin","Selasa","Rabu","Kamis","Jumat","Sabtu","Minggu")</f>
        <v>Selasa</v>
      </c>
      <c r="J22" s="2" t="n">
        <f aca="false">HOUR(E22)</f>
        <v>14</v>
      </c>
      <c r="K22" s="2" t="str">
        <f aca="false">IF(J22&lt;11,"Pagi",IF(J22&lt;17,"Siang","Malam"))</f>
        <v>Siang</v>
      </c>
      <c r="L22" s="2" t="n">
        <f aca="false">IF(A22&lt;&gt;A21,1,0)</f>
        <v>0</v>
      </c>
    </row>
    <row r="23" customFormat="false" ht="15" hidden="false" customHeight="false" outlineLevel="0" collapsed="false">
      <c r="A23" s="2" t="s">
        <v>113</v>
      </c>
      <c r="B23" s="13" t="n">
        <v>46266</v>
      </c>
      <c r="C23" s="2" t="s">
        <v>92</v>
      </c>
      <c r="D23" s="2" t="n">
        <v>1</v>
      </c>
      <c r="E23" s="15" t="n">
        <v>0.623611111111111</v>
      </c>
      <c r="F23" s="7" t="n">
        <v>4000</v>
      </c>
      <c r="G23" s="7" t="n">
        <f aca="false">D23*F23</f>
        <v>4000</v>
      </c>
      <c r="H23" s="2" t="str">
        <f aca="false">INDEX(Daftar_Menu!$B$2:$B$13,MATCH(C23,Daftar_Menu!$A$2:$A$13,0))</f>
        <v>Minuman</v>
      </c>
      <c r="I23" s="2" t="str">
        <f aca="false">CHOOSE(WEEKDAY(B23,2),"Senin","Selasa","Rabu","Kamis","Jumat","Sabtu","Minggu")</f>
        <v>Selasa</v>
      </c>
      <c r="J23" s="2" t="n">
        <f aca="false">HOUR(E23)</f>
        <v>14</v>
      </c>
      <c r="K23" s="2" t="str">
        <f aca="false">IF(J23&lt;11,"Pagi",IF(J23&lt;17,"Siang","Malam"))</f>
        <v>Siang</v>
      </c>
      <c r="L23" s="2" t="n">
        <f aca="false">IF(A23&lt;&gt;A22,1,0)</f>
        <v>1</v>
      </c>
    </row>
    <row r="24" customFormat="false" ht="15" hidden="false" customHeight="false" outlineLevel="0" collapsed="false">
      <c r="A24" s="2" t="s">
        <v>115</v>
      </c>
      <c r="B24" s="13" t="n">
        <v>46266</v>
      </c>
      <c r="C24" s="2" t="s">
        <v>112</v>
      </c>
      <c r="D24" s="2" t="n">
        <v>1</v>
      </c>
      <c r="E24" s="15" t="n">
        <v>0.625694444444444</v>
      </c>
      <c r="F24" s="7" t="n">
        <v>10000</v>
      </c>
      <c r="G24" s="7" t="n">
        <f aca="false">D24*F24</f>
        <v>10000</v>
      </c>
      <c r="H24" s="2" t="str">
        <f aca="false">INDEX(Daftar_Menu!$B$2:$B$13,MATCH(C24,Daftar_Menu!$A$2:$A$13,0))</f>
        <v>Minuman</v>
      </c>
      <c r="I24" s="2" t="str">
        <f aca="false">CHOOSE(WEEKDAY(B24,2),"Senin","Selasa","Rabu","Kamis","Jumat","Sabtu","Minggu")</f>
        <v>Selasa</v>
      </c>
      <c r="J24" s="2" t="n">
        <f aca="false">HOUR(E24)</f>
        <v>15</v>
      </c>
      <c r="K24" s="2" t="str">
        <f aca="false">IF(J24&lt;11,"Pagi",IF(J24&lt;17,"Siang","Malam"))</f>
        <v>Siang</v>
      </c>
      <c r="L24" s="2" t="n">
        <f aca="false">IF(A24&lt;&gt;A23,1,0)</f>
        <v>1</v>
      </c>
    </row>
    <row r="25" customFormat="false" ht="15" hidden="false" customHeight="false" outlineLevel="0" collapsed="false">
      <c r="A25" s="2" t="s">
        <v>115</v>
      </c>
      <c r="B25" s="13" t="n">
        <v>46266</v>
      </c>
      <c r="C25" s="2" t="s">
        <v>81</v>
      </c>
      <c r="D25" s="2" t="n">
        <v>2</v>
      </c>
      <c r="E25" s="15" t="n">
        <v>0.625694444444444</v>
      </c>
      <c r="F25" s="7" t="n">
        <v>15000</v>
      </c>
      <c r="G25" s="7" t="n">
        <f aca="false">D25*F25</f>
        <v>30000</v>
      </c>
      <c r="H25" s="2" t="str">
        <f aca="false">INDEX(Daftar_Menu!$B$2:$B$13,MATCH(C25,Daftar_Menu!$A$2:$A$13,0))</f>
        <v>Makanan</v>
      </c>
      <c r="I25" s="2" t="str">
        <f aca="false">CHOOSE(WEEKDAY(B25,2),"Senin","Selasa","Rabu","Kamis","Jumat","Sabtu","Minggu")</f>
        <v>Selasa</v>
      </c>
      <c r="J25" s="2" t="n">
        <f aca="false">HOUR(E25)</f>
        <v>15</v>
      </c>
      <c r="K25" s="2" t="str">
        <f aca="false">IF(J25&lt;11,"Pagi",IF(J25&lt;17,"Siang","Malam"))</f>
        <v>Siang</v>
      </c>
      <c r="L25" s="2" t="n">
        <f aca="false">IF(A25&lt;&gt;A24,1,0)</f>
        <v>0</v>
      </c>
    </row>
    <row r="26" customFormat="false" ht="15" hidden="false" customHeight="false" outlineLevel="0" collapsed="false">
      <c r="A26" s="2" t="s">
        <v>117</v>
      </c>
      <c r="B26" s="13" t="n">
        <v>46266</v>
      </c>
      <c r="C26" s="2" t="s">
        <v>112</v>
      </c>
      <c r="D26" s="2" t="n">
        <v>2</v>
      </c>
      <c r="E26" s="15" t="n">
        <v>0.6375</v>
      </c>
      <c r="F26" s="7" t="n">
        <v>10000</v>
      </c>
      <c r="G26" s="7" t="n">
        <f aca="false">D26*F26</f>
        <v>20000</v>
      </c>
      <c r="H26" s="2" t="str">
        <f aca="false">INDEX(Daftar_Menu!$B$2:$B$13,MATCH(C26,Daftar_Menu!$A$2:$A$13,0))</f>
        <v>Minuman</v>
      </c>
      <c r="I26" s="2" t="str">
        <f aca="false">CHOOSE(WEEKDAY(B26,2),"Senin","Selasa","Rabu","Kamis","Jumat","Sabtu","Minggu")</f>
        <v>Selasa</v>
      </c>
      <c r="J26" s="2" t="n">
        <f aca="false">HOUR(E26)</f>
        <v>15</v>
      </c>
      <c r="K26" s="2" t="str">
        <f aca="false">IF(J26&lt;11,"Pagi",IF(J26&lt;17,"Siang","Malam"))</f>
        <v>Siang</v>
      </c>
      <c r="L26" s="2" t="n">
        <f aca="false">IF(A26&lt;&gt;A25,1,0)</f>
        <v>1</v>
      </c>
    </row>
    <row r="27" customFormat="false" ht="15" hidden="false" customHeight="false" outlineLevel="0" collapsed="false">
      <c r="A27" s="2" t="s">
        <v>119</v>
      </c>
      <c r="B27" s="13" t="n">
        <v>46266</v>
      </c>
      <c r="C27" s="2" t="s">
        <v>82</v>
      </c>
      <c r="D27" s="2" t="n">
        <v>1</v>
      </c>
      <c r="E27" s="15" t="n">
        <v>0.656944444444444</v>
      </c>
      <c r="F27" s="7" t="n">
        <v>13000</v>
      </c>
      <c r="G27" s="7" t="n">
        <f aca="false">D27*F27</f>
        <v>13000</v>
      </c>
      <c r="H27" s="2" t="str">
        <f aca="false">INDEX(Daftar_Menu!$B$2:$B$13,MATCH(C27,Daftar_Menu!$A$2:$A$13,0))</f>
        <v>Makanan</v>
      </c>
      <c r="I27" s="2" t="str">
        <f aca="false">CHOOSE(WEEKDAY(B27,2),"Senin","Selasa","Rabu","Kamis","Jumat","Sabtu","Minggu")</f>
        <v>Selasa</v>
      </c>
      <c r="J27" s="2" t="n">
        <f aca="false">HOUR(E27)</f>
        <v>15</v>
      </c>
      <c r="K27" s="2" t="str">
        <f aca="false">IF(J27&lt;11,"Pagi",IF(J27&lt;17,"Siang","Malam"))</f>
        <v>Siang</v>
      </c>
      <c r="L27" s="2" t="n">
        <f aca="false">IF(A27&lt;&gt;A26,1,0)</f>
        <v>1</v>
      </c>
    </row>
    <row r="28" customFormat="false" ht="15" hidden="false" customHeight="false" outlineLevel="0" collapsed="false">
      <c r="A28" s="2" t="s">
        <v>119</v>
      </c>
      <c r="B28" s="13" t="n">
        <v>46266</v>
      </c>
      <c r="C28" s="2" t="s">
        <v>89</v>
      </c>
      <c r="D28" s="2" t="n">
        <v>1</v>
      </c>
      <c r="E28" s="15" t="n">
        <v>0.656944444444444</v>
      </c>
      <c r="F28" s="7" t="n">
        <v>14000</v>
      </c>
      <c r="G28" s="7" t="n">
        <f aca="false">D28*F28</f>
        <v>14000</v>
      </c>
      <c r="H28" s="2" t="str">
        <f aca="false">INDEX(Daftar_Menu!$B$2:$B$13,MATCH(C28,Daftar_Menu!$A$2:$A$13,0))</f>
        <v>Makanan</v>
      </c>
      <c r="I28" s="2" t="str">
        <f aca="false">CHOOSE(WEEKDAY(B28,2),"Senin","Selasa","Rabu","Kamis","Jumat","Sabtu","Minggu")</f>
        <v>Selasa</v>
      </c>
      <c r="J28" s="2" t="n">
        <f aca="false">HOUR(E28)</f>
        <v>15</v>
      </c>
      <c r="K28" s="2" t="str">
        <f aca="false">IF(J28&lt;11,"Pagi",IF(J28&lt;17,"Siang","Malam"))</f>
        <v>Siang</v>
      </c>
      <c r="L28" s="2" t="n">
        <f aca="false">IF(A28&lt;&gt;A27,1,0)</f>
        <v>0</v>
      </c>
    </row>
    <row r="29" customFormat="false" ht="15" hidden="false" customHeight="false" outlineLevel="0" collapsed="false">
      <c r="A29" s="2" t="s">
        <v>121</v>
      </c>
      <c r="B29" s="13" t="n">
        <v>46266</v>
      </c>
      <c r="C29" s="2" t="s">
        <v>81</v>
      </c>
      <c r="D29" s="2" t="n">
        <v>1</v>
      </c>
      <c r="E29" s="15" t="n">
        <v>0.658333333333333</v>
      </c>
      <c r="F29" s="7" t="n">
        <v>15000</v>
      </c>
      <c r="G29" s="7" t="n">
        <f aca="false">D29*F29</f>
        <v>15000</v>
      </c>
      <c r="H29" s="2" t="str">
        <f aca="false">INDEX(Daftar_Menu!$B$2:$B$13,MATCH(C29,Daftar_Menu!$A$2:$A$13,0))</f>
        <v>Makanan</v>
      </c>
      <c r="I29" s="2" t="str">
        <f aca="false">CHOOSE(WEEKDAY(B29,2),"Senin","Selasa","Rabu","Kamis","Jumat","Sabtu","Minggu")</f>
        <v>Selasa</v>
      </c>
      <c r="J29" s="2" t="n">
        <f aca="false">HOUR(E29)</f>
        <v>15</v>
      </c>
      <c r="K29" s="2" t="str">
        <f aca="false">IF(J29&lt;11,"Pagi",IF(J29&lt;17,"Siang","Malam"))</f>
        <v>Siang</v>
      </c>
      <c r="L29" s="2" t="n">
        <f aca="false">IF(A29&lt;&gt;A28,1,0)</f>
        <v>1</v>
      </c>
    </row>
    <row r="30" customFormat="false" ht="15" hidden="false" customHeight="false" outlineLevel="0" collapsed="false">
      <c r="A30" s="2" t="s">
        <v>121</v>
      </c>
      <c r="B30" s="13" t="n">
        <v>46266</v>
      </c>
      <c r="C30" s="2" t="s">
        <v>112</v>
      </c>
      <c r="D30" s="2" t="n">
        <v>1</v>
      </c>
      <c r="E30" s="15" t="n">
        <v>0.658333333333333</v>
      </c>
      <c r="F30" s="7" t="n">
        <v>10000</v>
      </c>
      <c r="G30" s="7" t="n">
        <f aca="false">D30*F30</f>
        <v>10000</v>
      </c>
      <c r="H30" s="2" t="str">
        <f aca="false">INDEX(Daftar_Menu!$B$2:$B$13,MATCH(C30,Daftar_Menu!$A$2:$A$13,0))</f>
        <v>Minuman</v>
      </c>
      <c r="I30" s="2" t="str">
        <f aca="false">CHOOSE(WEEKDAY(B30,2),"Senin","Selasa","Rabu","Kamis","Jumat","Sabtu","Minggu")</f>
        <v>Selasa</v>
      </c>
      <c r="J30" s="2" t="n">
        <f aca="false">HOUR(E30)</f>
        <v>15</v>
      </c>
      <c r="K30" s="2" t="str">
        <f aca="false">IF(J30&lt;11,"Pagi",IF(J30&lt;17,"Siang","Malam"))</f>
        <v>Siang</v>
      </c>
      <c r="L30" s="2" t="n">
        <f aca="false">IF(A30&lt;&gt;A29,1,0)</f>
        <v>0</v>
      </c>
    </row>
    <row r="31" customFormat="false" ht="15" hidden="false" customHeight="false" outlineLevel="0" collapsed="false">
      <c r="A31" s="2" t="s">
        <v>123</v>
      </c>
      <c r="B31" s="13" t="n">
        <v>46266</v>
      </c>
      <c r="C31" s="2" t="s">
        <v>81</v>
      </c>
      <c r="D31" s="2" t="n">
        <v>1</v>
      </c>
      <c r="E31" s="15" t="n">
        <v>0.6625</v>
      </c>
      <c r="F31" s="7" t="n">
        <v>15000</v>
      </c>
      <c r="G31" s="7" t="n">
        <f aca="false">D31*F31</f>
        <v>15000</v>
      </c>
      <c r="H31" s="2" t="str">
        <f aca="false">INDEX(Daftar_Menu!$B$2:$B$13,MATCH(C31,Daftar_Menu!$A$2:$A$13,0))</f>
        <v>Makanan</v>
      </c>
      <c r="I31" s="2" t="str">
        <f aca="false">CHOOSE(WEEKDAY(B31,2),"Senin","Selasa","Rabu","Kamis","Jumat","Sabtu","Minggu")</f>
        <v>Selasa</v>
      </c>
      <c r="J31" s="2" t="n">
        <f aca="false">HOUR(E31)</f>
        <v>15</v>
      </c>
      <c r="K31" s="2" t="str">
        <f aca="false">IF(J31&lt;11,"Pagi",IF(J31&lt;17,"Siang","Malam"))</f>
        <v>Siang</v>
      </c>
      <c r="L31" s="2" t="n">
        <f aca="false">IF(A31&lt;&gt;A30,1,0)</f>
        <v>1</v>
      </c>
    </row>
    <row r="32" customFormat="false" ht="15" hidden="false" customHeight="false" outlineLevel="0" collapsed="false">
      <c r="A32" s="2" t="s">
        <v>125</v>
      </c>
      <c r="B32" s="13" t="n">
        <v>46266</v>
      </c>
      <c r="C32" s="2" t="s">
        <v>126</v>
      </c>
      <c r="D32" s="2" t="n">
        <v>1</v>
      </c>
      <c r="E32" s="15" t="n">
        <v>0.667361111111111</v>
      </c>
      <c r="F32" s="7" t="n">
        <v>3000</v>
      </c>
      <c r="G32" s="7" t="n">
        <f aca="false">D32*F32</f>
        <v>3000</v>
      </c>
      <c r="H32" s="2" t="str">
        <f aca="false">INDEX(Daftar_Menu!$B$2:$B$13,MATCH(C32,Daftar_Menu!$A$2:$A$13,0))</f>
        <v>Minuman</v>
      </c>
      <c r="I32" s="2" t="str">
        <f aca="false">CHOOSE(WEEKDAY(B32,2),"Senin","Selasa","Rabu","Kamis","Jumat","Sabtu","Minggu")</f>
        <v>Selasa</v>
      </c>
      <c r="J32" s="2" t="n">
        <f aca="false">HOUR(E32)</f>
        <v>16</v>
      </c>
      <c r="K32" s="2" t="str">
        <f aca="false">IF(J32&lt;11,"Pagi",IF(J32&lt;17,"Siang","Malam"))</f>
        <v>Siang</v>
      </c>
      <c r="L32" s="2" t="n">
        <f aca="false">IF(A32&lt;&gt;A31,1,0)</f>
        <v>1</v>
      </c>
    </row>
    <row r="33" customFormat="false" ht="15" hidden="false" customHeight="false" outlineLevel="0" collapsed="false">
      <c r="A33" s="2" t="s">
        <v>128</v>
      </c>
      <c r="B33" s="13" t="n">
        <v>46266</v>
      </c>
      <c r="C33" s="2" t="s">
        <v>82</v>
      </c>
      <c r="D33" s="2" t="n">
        <v>2</v>
      </c>
      <c r="E33" s="15" t="n">
        <v>0.688194444444444</v>
      </c>
      <c r="F33" s="7" t="n">
        <v>13000</v>
      </c>
      <c r="G33" s="7" t="n">
        <f aca="false">D33*F33</f>
        <v>26000</v>
      </c>
      <c r="H33" s="2" t="str">
        <f aca="false">INDEX(Daftar_Menu!$B$2:$B$13,MATCH(C33,Daftar_Menu!$A$2:$A$13,0))</f>
        <v>Makanan</v>
      </c>
      <c r="I33" s="2" t="str">
        <f aca="false">CHOOSE(WEEKDAY(B33,2),"Senin","Selasa","Rabu","Kamis","Jumat","Sabtu","Minggu")</f>
        <v>Selasa</v>
      </c>
      <c r="J33" s="2" t="n">
        <f aca="false">HOUR(E33)</f>
        <v>16</v>
      </c>
      <c r="K33" s="2" t="str">
        <f aca="false">IF(J33&lt;11,"Pagi",IF(J33&lt;17,"Siang","Malam"))</f>
        <v>Siang</v>
      </c>
      <c r="L33" s="2" t="n">
        <f aca="false">IF(A33&lt;&gt;A32,1,0)</f>
        <v>1</v>
      </c>
    </row>
    <row r="34" customFormat="false" ht="15" hidden="false" customHeight="false" outlineLevel="0" collapsed="false">
      <c r="A34" s="2" t="s">
        <v>130</v>
      </c>
      <c r="B34" s="13" t="n">
        <v>46266</v>
      </c>
      <c r="C34" s="2" t="s">
        <v>101</v>
      </c>
      <c r="D34" s="2" t="n">
        <v>1</v>
      </c>
      <c r="E34" s="15" t="n">
        <v>0.690972222222222</v>
      </c>
      <c r="F34" s="7" t="n">
        <v>18000</v>
      </c>
      <c r="G34" s="7" t="n">
        <f aca="false">D34*F34</f>
        <v>18000</v>
      </c>
      <c r="H34" s="2" t="str">
        <f aca="false">INDEX(Daftar_Menu!$B$2:$B$13,MATCH(C34,Daftar_Menu!$A$2:$A$13,0))</f>
        <v>Makanan</v>
      </c>
      <c r="I34" s="2" t="str">
        <f aca="false">CHOOSE(WEEKDAY(B34,2),"Senin","Selasa","Rabu","Kamis","Jumat","Sabtu","Minggu")</f>
        <v>Selasa</v>
      </c>
      <c r="J34" s="2" t="n">
        <f aca="false">HOUR(E34)</f>
        <v>16</v>
      </c>
      <c r="K34" s="2" t="str">
        <f aca="false">IF(J34&lt;11,"Pagi",IF(J34&lt;17,"Siang","Malam"))</f>
        <v>Siang</v>
      </c>
      <c r="L34" s="2" t="n">
        <f aca="false">IF(A34&lt;&gt;A33,1,0)</f>
        <v>1</v>
      </c>
    </row>
    <row r="35" customFormat="false" ht="15" hidden="false" customHeight="false" outlineLevel="0" collapsed="false">
      <c r="A35" s="2" t="s">
        <v>130</v>
      </c>
      <c r="B35" s="13" t="n">
        <v>46266</v>
      </c>
      <c r="C35" s="2" t="s">
        <v>108</v>
      </c>
      <c r="D35" s="2" t="n">
        <v>1</v>
      </c>
      <c r="E35" s="15" t="n">
        <v>0.690972222222222</v>
      </c>
      <c r="F35" s="7" t="n">
        <v>20000</v>
      </c>
      <c r="G35" s="7" t="n">
        <f aca="false">D35*F35</f>
        <v>20000</v>
      </c>
      <c r="H35" s="2" t="str">
        <f aca="false">INDEX(Daftar_Menu!$B$2:$B$13,MATCH(C35,Daftar_Menu!$A$2:$A$13,0))</f>
        <v>Makanan</v>
      </c>
      <c r="I35" s="2" t="str">
        <f aca="false">CHOOSE(WEEKDAY(B35,2),"Senin","Selasa","Rabu","Kamis","Jumat","Sabtu","Minggu")</f>
        <v>Selasa</v>
      </c>
      <c r="J35" s="2" t="n">
        <f aca="false">HOUR(E35)</f>
        <v>16</v>
      </c>
      <c r="K35" s="2" t="str">
        <f aca="false">IF(J35&lt;11,"Pagi",IF(J35&lt;17,"Siang","Malam"))</f>
        <v>Siang</v>
      </c>
      <c r="L35" s="2" t="n">
        <f aca="false">IF(A35&lt;&gt;A34,1,0)</f>
        <v>0</v>
      </c>
    </row>
    <row r="36" customFormat="false" ht="15" hidden="false" customHeight="false" outlineLevel="0" collapsed="false">
      <c r="A36" s="2" t="s">
        <v>130</v>
      </c>
      <c r="B36" s="13" t="n">
        <v>46266</v>
      </c>
      <c r="C36" s="2" t="s">
        <v>132</v>
      </c>
      <c r="D36" s="2" t="n">
        <v>1</v>
      </c>
      <c r="E36" s="15" t="n">
        <v>0.690972222222222</v>
      </c>
      <c r="F36" s="7" t="n">
        <v>15000</v>
      </c>
      <c r="G36" s="7" t="n">
        <f aca="false">D36*F36</f>
        <v>15000</v>
      </c>
      <c r="H36" s="2" t="str">
        <f aca="false">INDEX(Daftar_Menu!$B$2:$B$13,MATCH(C36,Daftar_Menu!$A$2:$A$13,0))</f>
        <v>Makanan</v>
      </c>
      <c r="I36" s="2" t="str">
        <f aca="false">CHOOSE(WEEKDAY(B36,2),"Senin","Selasa","Rabu","Kamis","Jumat","Sabtu","Minggu")</f>
        <v>Selasa</v>
      </c>
      <c r="J36" s="2" t="n">
        <f aca="false">HOUR(E36)</f>
        <v>16</v>
      </c>
      <c r="K36" s="2" t="str">
        <f aca="false">IF(J36&lt;11,"Pagi",IF(J36&lt;17,"Siang","Malam"))</f>
        <v>Siang</v>
      </c>
      <c r="L36" s="2" t="n">
        <f aca="false">IF(A36&lt;&gt;A35,1,0)</f>
        <v>0</v>
      </c>
    </row>
    <row r="37" customFormat="false" ht="15" hidden="false" customHeight="false" outlineLevel="0" collapsed="false">
      <c r="A37" s="2" t="s">
        <v>133</v>
      </c>
      <c r="B37" s="13" t="n">
        <v>46266</v>
      </c>
      <c r="C37" s="2" t="s">
        <v>84</v>
      </c>
      <c r="D37" s="2" t="n">
        <v>1</v>
      </c>
      <c r="E37" s="15" t="n">
        <v>0.700694444444444</v>
      </c>
      <c r="F37" s="7" t="n">
        <v>5000</v>
      </c>
      <c r="G37" s="7" t="n">
        <f aca="false">D37*F37</f>
        <v>5000</v>
      </c>
      <c r="H37" s="2" t="str">
        <f aca="false">INDEX(Daftar_Menu!$B$2:$B$13,MATCH(C37,Daftar_Menu!$A$2:$A$13,0))</f>
        <v>Minuman</v>
      </c>
      <c r="I37" s="2" t="str">
        <f aca="false">CHOOSE(WEEKDAY(B37,2),"Senin","Selasa","Rabu","Kamis","Jumat","Sabtu","Minggu")</f>
        <v>Selasa</v>
      </c>
      <c r="J37" s="2" t="n">
        <f aca="false">HOUR(E37)</f>
        <v>16</v>
      </c>
      <c r="K37" s="2" t="str">
        <f aca="false">IF(J37&lt;11,"Pagi",IF(J37&lt;17,"Siang","Malam"))</f>
        <v>Siang</v>
      </c>
      <c r="L37" s="2" t="n">
        <f aca="false">IF(A37&lt;&gt;A36,1,0)</f>
        <v>1</v>
      </c>
    </row>
    <row r="38" customFormat="false" ht="15" hidden="false" customHeight="false" outlineLevel="0" collapsed="false">
      <c r="A38" s="2" t="s">
        <v>133</v>
      </c>
      <c r="B38" s="13" t="n">
        <v>46266</v>
      </c>
      <c r="C38" s="2" t="s">
        <v>112</v>
      </c>
      <c r="D38" s="2" t="n">
        <v>1</v>
      </c>
      <c r="E38" s="15" t="n">
        <v>0.700694444444444</v>
      </c>
      <c r="F38" s="7" t="n">
        <v>10000</v>
      </c>
      <c r="G38" s="7" t="n">
        <f aca="false">D38*F38</f>
        <v>10000</v>
      </c>
      <c r="H38" s="2" t="str">
        <f aca="false">INDEX(Daftar_Menu!$B$2:$B$13,MATCH(C38,Daftar_Menu!$A$2:$A$13,0))</f>
        <v>Minuman</v>
      </c>
      <c r="I38" s="2" t="str">
        <f aca="false">CHOOSE(WEEKDAY(B38,2),"Senin","Selasa","Rabu","Kamis","Jumat","Sabtu","Minggu")</f>
        <v>Selasa</v>
      </c>
      <c r="J38" s="2" t="n">
        <f aca="false">HOUR(E38)</f>
        <v>16</v>
      </c>
      <c r="K38" s="2" t="str">
        <f aca="false">IF(J38&lt;11,"Pagi",IF(J38&lt;17,"Siang","Malam"))</f>
        <v>Siang</v>
      </c>
      <c r="L38" s="2" t="n">
        <f aca="false">IF(A38&lt;&gt;A37,1,0)</f>
        <v>0</v>
      </c>
    </row>
    <row r="39" customFormat="false" ht="15" hidden="false" customHeight="false" outlineLevel="0" collapsed="false">
      <c r="A39" s="2" t="s">
        <v>135</v>
      </c>
      <c r="B39" s="13" t="n">
        <v>46266</v>
      </c>
      <c r="C39" s="2" t="s">
        <v>81</v>
      </c>
      <c r="D39" s="2" t="n">
        <v>2</v>
      </c>
      <c r="E39" s="15" t="n">
        <v>0.7125</v>
      </c>
      <c r="F39" s="7" t="n">
        <v>15000</v>
      </c>
      <c r="G39" s="7" t="n">
        <f aca="false">D39*F39</f>
        <v>30000</v>
      </c>
      <c r="H39" s="2" t="str">
        <f aca="false">INDEX(Daftar_Menu!$B$2:$B$13,MATCH(C39,Daftar_Menu!$A$2:$A$13,0))</f>
        <v>Makanan</v>
      </c>
      <c r="I39" s="2" t="str">
        <f aca="false">CHOOSE(WEEKDAY(B39,2),"Senin","Selasa","Rabu","Kamis","Jumat","Sabtu","Minggu")</f>
        <v>Selasa</v>
      </c>
      <c r="J39" s="2" t="n">
        <f aca="false">HOUR(E39)</f>
        <v>17</v>
      </c>
      <c r="K39" s="2" t="str">
        <f aca="false">IF(J39&lt;11,"Pagi",IF(J39&lt;17,"Siang","Malam"))</f>
        <v>Malam</v>
      </c>
      <c r="L39" s="2" t="n">
        <f aca="false">IF(A39&lt;&gt;A38,1,0)</f>
        <v>1</v>
      </c>
    </row>
    <row r="40" customFormat="false" ht="15" hidden="false" customHeight="false" outlineLevel="0" collapsed="false">
      <c r="A40" s="2" t="s">
        <v>137</v>
      </c>
      <c r="B40" s="13" t="n">
        <v>46266</v>
      </c>
      <c r="C40" s="2" t="s">
        <v>89</v>
      </c>
      <c r="D40" s="2" t="n">
        <v>1</v>
      </c>
      <c r="E40" s="15" t="n">
        <v>0.713194444444445</v>
      </c>
      <c r="F40" s="7" t="n">
        <v>14000</v>
      </c>
      <c r="G40" s="7" t="n">
        <f aca="false">D40*F40</f>
        <v>14000</v>
      </c>
      <c r="H40" s="2" t="str">
        <f aca="false">INDEX(Daftar_Menu!$B$2:$B$13,MATCH(C40,Daftar_Menu!$A$2:$A$13,0))</f>
        <v>Makanan</v>
      </c>
      <c r="I40" s="2" t="str">
        <f aca="false">CHOOSE(WEEKDAY(B40,2),"Senin","Selasa","Rabu","Kamis","Jumat","Sabtu","Minggu")</f>
        <v>Selasa</v>
      </c>
      <c r="J40" s="2" t="n">
        <f aca="false">HOUR(E40)</f>
        <v>17</v>
      </c>
      <c r="K40" s="2" t="str">
        <f aca="false">IF(J40&lt;11,"Pagi",IF(J40&lt;17,"Siang","Malam"))</f>
        <v>Malam</v>
      </c>
      <c r="L40" s="2" t="n">
        <f aca="false">IF(A40&lt;&gt;A39,1,0)</f>
        <v>1</v>
      </c>
    </row>
    <row r="41" customFormat="false" ht="15" hidden="false" customHeight="false" outlineLevel="0" collapsed="false">
      <c r="A41" s="2" t="s">
        <v>137</v>
      </c>
      <c r="B41" s="13" t="n">
        <v>46266</v>
      </c>
      <c r="C41" s="2" t="s">
        <v>108</v>
      </c>
      <c r="D41" s="2" t="n">
        <v>2</v>
      </c>
      <c r="E41" s="15" t="n">
        <v>0.713194444444445</v>
      </c>
      <c r="F41" s="7" t="n">
        <v>20000</v>
      </c>
      <c r="G41" s="7" t="n">
        <f aca="false">D41*F41</f>
        <v>40000</v>
      </c>
      <c r="H41" s="2" t="str">
        <f aca="false">INDEX(Daftar_Menu!$B$2:$B$13,MATCH(C41,Daftar_Menu!$A$2:$A$13,0))</f>
        <v>Makanan</v>
      </c>
      <c r="I41" s="2" t="str">
        <f aca="false">CHOOSE(WEEKDAY(B41,2),"Senin","Selasa","Rabu","Kamis","Jumat","Sabtu","Minggu")</f>
        <v>Selasa</v>
      </c>
      <c r="J41" s="2" t="n">
        <f aca="false">HOUR(E41)</f>
        <v>17</v>
      </c>
      <c r="K41" s="2" t="str">
        <f aca="false">IF(J41&lt;11,"Pagi",IF(J41&lt;17,"Siang","Malam"))</f>
        <v>Malam</v>
      </c>
      <c r="L41" s="2" t="n">
        <f aca="false">IF(A41&lt;&gt;A40,1,0)</f>
        <v>0</v>
      </c>
    </row>
    <row r="42" customFormat="false" ht="15" hidden="false" customHeight="false" outlineLevel="0" collapsed="false">
      <c r="A42" s="2" t="s">
        <v>137</v>
      </c>
      <c r="B42" s="13" t="n">
        <v>46266</v>
      </c>
      <c r="C42" s="2" t="s">
        <v>84</v>
      </c>
      <c r="D42" s="2" t="n">
        <v>1</v>
      </c>
      <c r="E42" s="15" t="n">
        <v>0.713194444444445</v>
      </c>
      <c r="F42" s="7" t="n">
        <v>5000</v>
      </c>
      <c r="G42" s="7" t="n">
        <f aca="false">D42*F42</f>
        <v>5000</v>
      </c>
      <c r="H42" s="2" t="str">
        <f aca="false">INDEX(Daftar_Menu!$B$2:$B$13,MATCH(C42,Daftar_Menu!$A$2:$A$13,0))</f>
        <v>Minuman</v>
      </c>
      <c r="I42" s="2" t="str">
        <f aca="false">CHOOSE(WEEKDAY(B42,2),"Senin","Selasa","Rabu","Kamis","Jumat","Sabtu","Minggu")</f>
        <v>Selasa</v>
      </c>
      <c r="J42" s="2" t="n">
        <f aca="false">HOUR(E42)</f>
        <v>17</v>
      </c>
      <c r="K42" s="2" t="str">
        <f aca="false">IF(J42&lt;11,"Pagi",IF(J42&lt;17,"Siang","Malam"))</f>
        <v>Malam</v>
      </c>
      <c r="L42" s="2" t="n">
        <f aca="false">IF(A42&lt;&gt;A41,1,0)</f>
        <v>0</v>
      </c>
    </row>
    <row r="43" customFormat="false" ht="15" hidden="false" customHeight="false" outlineLevel="0" collapsed="false">
      <c r="A43" s="2" t="s">
        <v>139</v>
      </c>
      <c r="B43" s="13" t="n">
        <v>46266</v>
      </c>
      <c r="C43" s="2" t="s">
        <v>132</v>
      </c>
      <c r="D43" s="2" t="n">
        <v>2</v>
      </c>
      <c r="E43" s="15" t="n">
        <v>0.717361111111111</v>
      </c>
      <c r="F43" s="7" t="n">
        <v>15000</v>
      </c>
      <c r="G43" s="7" t="n">
        <f aca="false">D43*F43</f>
        <v>30000</v>
      </c>
      <c r="H43" s="2" t="str">
        <f aca="false">INDEX(Daftar_Menu!$B$2:$B$13,MATCH(C43,Daftar_Menu!$A$2:$A$13,0))</f>
        <v>Makanan</v>
      </c>
      <c r="I43" s="2" t="str">
        <f aca="false">CHOOSE(WEEKDAY(B43,2),"Senin","Selasa","Rabu","Kamis","Jumat","Sabtu","Minggu")</f>
        <v>Selasa</v>
      </c>
      <c r="J43" s="2" t="n">
        <f aca="false">HOUR(E43)</f>
        <v>17</v>
      </c>
      <c r="K43" s="2" t="str">
        <f aca="false">IF(J43&lt;11,"Pagi",IF(J43&lt;17,"Siang","Malam"))</f>
        <v>Malam</v>
      </c>
      <c r="L43" s="2" t="n">
        <f aca="false">IF(A43&lt;&gt;A42,1,0)</f>
        <v>1</v>
      </c>
    </row>
    <row r="44" customFormat="false" ht="15" hidden="false" customHeight="false" outlineLevel="0" collapsed="false">
      <c r="A44" s="2" t="s">
        <v>141</v>
      </c>
      <c r="B44" s="13" t="n">
        <v>46266</v>
      </c>
      <c r="C44" s="2" t="s">
        <v>84</v>
      </c>
      <c r="D44" s="2" t="n">
        <v>1</v>
      </c>
      <c r="E44" s="15" t="n">
        <v>0.739583333333333</v>
      </c>
      <c r="F44" s="7" t="n">
        <v>5000</v>
      </c>
      <c r="G44" s="7" t="n">
        <f aca="false">D44*F44</f>
        <v>5000</v>
      </c>
      <c r="H44" s="2" t="str">
        <f aca="false">INDEX(Daftar_Menu!$B$2:$B$13,MATCH(C44,Daftar_Menu!$A$2:$A$13,0))</f>
        <v>Minuman</v>
      </c>
      <c r="I44" s="2" t="str">
        <f aca="false">CHOOSE(WEEKDAY(B44,2),"Senin","Selasa","Rabu","Kamis","Jumat","Sabtu","Minggu")</f>
        <v>Selasa</v>
      </c>
      <c r="J44" s="2" t="n">
        <f aca="false">HOUR(E44)</f>
        <v>17</v>
      </c>
      <c r="K44" s="2" t="str">
        <f aca="false">IF(J44&lt;11,"Pagi",IF(J44&lt;17,"Siang","Malam"))</f>
        <v>Malam</v>
      </c>
      <c r="L44" s="2" t="n">
        <f aca="false">IF(A44&lt;&gt;A43,1,0)</f>
        <v>1</v>
      </c>
    </row>
    <row r="45" customFormat="false" ht="15" hidden="false" customHeight="false" outlineLevel="0" collapsed="false">
      <c r="A45" s="2" t="s">
        <v>143</v>
      </c>
      <c r="B45" s="13" t="n">
        <v>46266</v>
      </c>
      <c r="C45" s="2" t="s">
        <v>101</v>
      </c>
      <c r="D45" s="2" t="n">
        <v>1</v>
      </c>
      <c r="E45" s="15" t="n">
        <v>0.740277777777778</v>
      </c>
      <c r="F45" s="7" t="n">
        <v>18000</v>
      </c>
      <c r="G45" s="7" t="n">
        <f aca="false">D45*F45</f>
        <v>18000</v>
      </c>
      <c r="H45" s="2" t="str">
        <f aca="false">INDEX(Daftar_Menu!$B$2:$B$13,MATCH(C45,Daftar_Menu!$A$2:$A$13,0))</f>
        <v>Makanan</v>
      </c>
      <c r="I45" s="2" t="str">
        <f aca="false">CHOOSE(WEEKDAY(B45,2),"Senin","Selasa","Rabu","Kamis","Jumat","Sabtu","Minggu")</f>
        <v>Selasa</v>
      </c>
      <c r="J45" s="2" t="n">
        <f aca="false">HOUR(E45)</f>
        <v>17</v>
      </c>
      <c r="K45" s="2" t="str">
        <f aca="false">IF(J45&lt;11,"Pagi",IF(J45&lt;17,"Siang","Malam"))</f>
        <v>Malam</v>
      </c>
      <c r="L45" s="2" t="n">
        <f aca="false">IF(A45&lt;&gt;A44,1,0)</f>
        <v>1</v>
      </c>
    </row>
    <row r="46" customFormat="false" ht="15" hidden="false" customHeight="false" outlineLevel="0" collapsed="false">
      <c r="A46" s="2" t="s">
        <v>145</v>
      </c>
      <c r="B46" s="13" t="n">
        <v>46266</v>
      </c>
      <c r="C46" s="2" t="s">
        <v>84</v>
      </c>
      <c r="D46" s="2" t="n">
        <v>1</v>
      </c>
      <c r="E46" s="15" t="n">
        <v>0.76875</v>
      </c>
      <c r="F46" s="7" t="n">
        <v>5000</v>
      </c>
      <c r="G46" s="7" t="n">
        <f aca="false">D46*F46</f>
        <v>5000</v>
      </c>
      <c r="H46" s="2" t="str">
        <f aca="false">INDEX(Daftar_Menu!$B$2:$B$13,MATCH(C46,Daftar_Menu!$A$2:$A$13,0))</f>
        <v>Minuman</v>
      </c>
      <c r="I46" s="2" t="str">
        <f aca="false">CHOOSE(WEEKDAY(B46,2),"Senin","Selasa","Rabu","Kamis","Jumat","Sabtu","Minggu")</f>
        <v>Selasa</v>
      </c>
      <c r="J46" s="2" t="n">
        <f aca="false">HOUR(E46)</f>
        <v>18</v>
      </c>
      <c r="K46" s="2" t="str">
        <f aca="false">IF(J46&lt;11,"Pagi",IF(J46&lt;17,"Siang","Malam"))</f>
        <v>Malam</v>
      </c>
      <c r="L46" s="2" t="n">
        <f aca="false">IF(A46&lt;&gt;A45,1,0)</f>
        <v>1</v>
      </c>
    </row>
    <row r="47" customFormat="false" ht="15" hidden="false" customHeight="false" outlineLevel="0" collapsed="false">
      <c r="A47" s="2" t="s">
        <v>147</v>
      </c>
      <c r="B47" s="13" t="n">
        <v>46266</v>
      </c>
      <c r="C47" s="2" t="s">
        <v>84</v>
      </c>
      <c r="D47" s="2" t="n">
        <v>1</v>
      </c>
      <c r="E47" s="15" t="n">
        <v>0.771527777777778</v>
      </c>
      <c r="F47" s="7" t="n">
        <v>5000</v>
      </c>
      <c r="G47" s="7" t="n">
        <f aca="false">D47*F47</f>
        <v>5000</v>
      </c>
      <c r="H47" s="2" t="str">
        <f aca="false">INDEX(Daftar_Menu!$B$2:$B$13,MATCH(C47,Daftar_Menu!$A$2:$A$13,0))</f>
        <v>Minuman</v>
      </c>
      <c r="I47" s="2" t="str">
        <f aca="false">CHOOSE(WEEKDAY(B47,2),"Senin","Selasa","Rabu","Kamis","Jumat","Sabtu","Minggu")</f>
        <v>Selasa</v>
      </c>
      <c r="J47" s="2" t="n">
        <f aca="false">HOUR(E47)</f>
        <v>18</v>
      </c>
      <c r="K47" s="2" t="str">
        <f aca="false">IF(J47&lt;11,"Pagi",IF(J47&lt;17,"Siang","Malam"))</f>
        <v>Malam</v>
      </c>
      <c r="L47" s="2" t="n">
        <f aca="false">IF(A47&lt;&gt;A46,1,0)</f>
        <v>1</v>
      </c>
    </row>
    <row r="48" customFormat="false" ht="15" hidden="false" customHeight="false" outlineLevel="0" collapsed="false">
      <c r="A48" s="2" t="s">
        <v>147</v>
      </c>
      <c r="B48" s="13" t="n">
        <v>46266</v>
      </c>
      <c r="C48" s="2" t="s">
        <v>108</v>
      </c>
      <c r="D48" s="2" t="n">
        <v>1</v>
      </c>
      <c r="E48" s="15" t="n">
        <v>0.771527777777778</v>
      </c>
      <c r="F48" s="7" t="n">
        <v>20000</v>
      </c>
      <c r="G48" s="7" t="n">
        <f aca="false">D48*F48</f>
        <v>20000</v>
      </c>
      <c r="H48" s="2" t="str">
        <f aca="false">INDEX(Daftar_Menu!$B$2:$B$13,MATCH(C48,Daftar_Menu!$A$2:$A$13,0))</f>
        <v>Makanan</v>
      </c>
      <c r="I48" s="2" t="str">
        <f aca="false">CHOOSE(WEEKDAY(B48,2),"Senin","Selasa","Rabu","Kamis","Jumat","Sabtu","Minggu")</f>
        <v>Selasa</v>
      </c>
      <c r="J48" s="2" t="n">
        <f aca="false">HOUR(E48)</f>
        <v>18</v>
      </c>
      <c r="K48" s="2" t="str">
        <f aca="false">IF(J48&lt;11,"Pagi",IF(J48&lt;17,"Siang","Malam"))</f>
        <v>Malam</v>
      </c>
      <c r="L48" s="2" t="n">
        <f aca="false">IF(A48&lt;&gt;A47,1,0)</f>
        <v>0</v>
      </c>
    </row>
    <row r="49" customFormat="false" ht="15" hidden="false" customHeight="false" outlineLevel="0" collapsed="false">
      <c r="A49" s="2" t="s">
        <v>149</v>
      </c>
      <c r="B49" s="13" t="n">
        <v>46266</v>
      </c>
      <c r="C49" s="2" t="s">
        <v>112</v>
      </c>
      <c r="D49" s="2" t="n">
        <v>2</v>
      </c>
      <c r="E49" s="15" t="n">
        <v>0.775694444444445</v>
      </c>
      <c r="F49" s="7" t="n">
        <v>10000</v>
      </c>
      <c r="G49" s="7" t="n">
        <f aca="false">D49*F49</f>
        <v>20000</v>
      </c>
      <c r="H49" s="2" t="str">
        <f aca="false">INDEX(Daftar_Menu!$B$2:$B$13,MATCH(C49,Daftar_Menu!$A$2:$A$13,0))</f>
        <v>Minuman</v>
      </c>
      <c r="I49" s="2" t="str">
        <f aca="false">CHOOSE(WEEKDAY(B49,2),"Senin","Selasa","Rabu","Kamis","Jumat","Sabtu","Minggu")</f>
        <v>Selasa</v>
      </c>
      <c r="J49" s="2" t="n">
        <f aca="false">HOUR(E49)</f>
        <v>18</v>
      </c>
      <c r="K49" s="2" t="str">
        <f aca="false">IF(J49&lt;11,"Pagi",IF(J49&lt;17,"Siang","Malam"))</f>
        <v>Malam</v>
      </c>
      <c r="L49" s="2" t="n">
        <f aca="false">IF(A49&lt;&gt;A48,1,0)</f>
        <v>1</v>
      </c>
    </row>
    <row r="50" customFormat="false" ht="15" hidden="false" customHeight="false" outlineLevel="0" collapsed="false">
      <c r="A50" s="2" t="s">
        <v>151</v>
      </c>
      <c r="B50" s="13" t="n">
        <v>46266</v>
      </c>
      <c r="C50" s="2" t="s">
        <v>81</v>
      </c>
      <c r="D50" s="2" t="n">
        <v>2</v>
      </c>
      <c r="E50" s="15" t="n">
        <v>0.795833333333333</v>
      </c>
      <c r="F50" s="7" t="n">
        <v>15000</v>
      </c>
      <c r="G50" s="7" t="n">
        <f aca="false">D50*F50</f>
        <v>30000</v>
      </c>
      <c r="H50" s="2" t="str">
        <f aca="false">INDEX(Daftar_Menu!$B$2:$B$13,MATCH(C50,Daftar_Menu!$A$2:$A$13,0))</f>
        <v>Makanan</v>
      </c>
      <c r="I50" s="2" t="str">
        <f aca="false">CHOOSE(WEEKDAY(B50,2),"Senin","Selasa","Rabu","Kamis","Jumat","Sabtu","Minggu")</f>
        <v>Selasa</v>
      </c>
      <c r="J50" s="2" t="n">
        <f aca="false">HOUR(E50)</f>
        <v>19</v>
      </c>
      <c r="K50" s="2" t="str">
        <f aca="false">IF(J50&lt;11,"Pagi",IF(J50&lt;17,"Siang","Malam"))</f>
        <v>Malam</v>
      </c>
      <c r="L50" s="2" t="n">
        <f aca="false">IF(A50&lt;&gt;A49,1,0)</f>
        <v>1</v>
      </c>
    </row>
    <row r="51" customFormat="false" ht="15" hidden="false" customHeight="false" outlineLevel="0" collapsed="false">
      <c r="A51" s="2" t="s">
        <v>153</v>
      </c>
      <c r="B51" s="13" t="n">
        <v>46266</v>
      </c>
      <c r="C51" s="2" t="s">
        <v>132</v>
      </c>
      <c r="D51" s="2" t="n">
        <v>2</v>
      </c>
      <c r="E51" s="15" t="n">
        <v>0.807638888888889</v>
      </c>
      <c r="F51" s="7" t="n">
        <v>15000</v>
      </c>
      <c r="G51" s="7" t="n">
        <f aca="false">D51*F51</f>
        <v>30000</v>
      </c>
      <c r="H51" s="2" t="str">
        <f aca="false">INDEX(Daftar_Menu!$B$2:$B$13,MATCH(C51,Daftar_Menu!$A$2:$A$13,0))</f>
        <v>Makanan</v>
      </c>
      <c r="I51" s="2" t="str">
        <f aca="false">CHOOSE(WEEKDAY(B51,2),"Senin","Selasa","Rabu","Kamis","Jumat","Sabtu","Minggu")</f>
        <v>Selasa</v>
      </c>
      <c r="J51" s="2" t="n">
        <f aca="false">HOUR(E51)</f>
        <v>19</v>
      </c>
      <c r="K51" s="2" t="str">
        <f aca="false">IF(J51&lt;11,"Pagi",IF(J51&lt;17,"Siang","Malam"))</f>
        <v>Malam</v>
      </c>
      <c r="L51" s="2" t="n">
        <f aca="false">IF(A51&lt;&gt;A50,1,0)</f>
        <v>1</v>
      </c>
    </row>
    <row r="52" customFormat="false" ht="15" hidden="false" customHeight="false" outlineLevel="0" collapsed="false">
      <c r="A52" s="2" t="s">
        <v>155</v>
      </c>
      <c r="B52" s="13" t="n">
        <v>46266</v>
      </c>
      <c r="C52" s="2" t="s">
        <v>79</v>
      </c>
      <c r="D52" s="2" t="n">
        <v>1</v>
      </c>
      <c r="E52" s="15" t="n">
        <v>0.810416666666667</v>
      </c>
      <c r="F52" s="7" t="n">
        <v>16000</v>
      </c>
      <c r="G52" s="7" t="n">
        <f aca="false">D52*F52</f>
        <v>16000</v>
      </c>
      <c r="H52" s="2" t="str">
        <f aca="false">INDEX(Daftar_Menu!$B$2:$B$13,MATCH(C52,Daftar_Menu!$A$2:$A$13,0))</f>
        <v>Makanan</v>
      </c>
      <c r="I52" s="2" t="str">
        <f aca="false">CHOOSE(WEEKDAY(B52,2),"Senin","Selasa","Rabu","Kamis","Jumat","Sabtu","Minggu")</f>
        <v>Selasa</v>
      </c>
      <c r="J52" s="2" t="n">
        <f aca="false">HOUR(E52)</f>
        <v>19</v>
      </c>
      <c r="K52" s="2" t="str">
        <f aca="false">IF(J52&lt;11,"Pagi",IF(J52&lt;17,"Siang","Malam"))</f>
        <v>Malam</v>
      </c>
      <c r="L52" s="2" t="n">
        <f aca="false">IF(A52&lt;&gt;A51,1,0)</f>
        <v>1</v>
      </c>
    </row>
    <row r="53" customFormat="false" ht="15" hidden="false" customHeight="false" outlineLevel="0" collapsed="false">
      <c r="A53" s="2" t="s">
        <v>157</v>
      </c>
      <c r="B53" s="13" t="n">
        <v>46266</v>
      </c>
      <c r="C53" s="2" t="s">
        <v>101</v>
      </c>
      <c r="D53" s="2" t="n">
        <v>1</v>
      </c>
      <c r="E53" s="15" t="n">
        <v>0.813194444444444</v>
      </c>
      <c r="F53" s="7" t="n">
        <v>18000</v>
      </c>
      <c r="G53" s="7" t="n">
        <f aca="false">D53*F53</f>
        <v>18000</v>
      </c>
      <c r="H53" s="2" t="str">
        <f aca="false">INDEX(Daftar_Menu!$B$2:$B$13,MATCH(C53,Daftar_Menu!$A$2:$A$13,0))</f>
        <v>Makanan</v>
      </c>
      <c r="I53" s="2" t="str">
        <f aca="false">CHOOSE(WEEKDAY(B53,2),"Senin","Selasa","Rabu","Kamis","Jumat","Sabtu","Minggu")</f>
        <v>Selasa</v>
      </c>
      <c r="J53" s="2" t="n">
        <f aca="false">HOUR(E53)</f>
        <v>19</v>
      </c>
      <c r="K53" s="2" t="str">
        <f aca="false">IF(J53&lt;11,"Pagi",IF(J53&lt;17,"Siang","Malam"))</f>
        <v>Malam</v>
      </c>
      <c r="L53" s="2" t="n">
        <f aca="false">IF(A53&lt;&gt;A52,1,0)</f>
        <v>1</v>
      </c>
    </row>
    <row r="54" customFormat="false" ht="15" hidden="false" customHeight="false" outlineLevel="0" collapsed="false">
      <c r="A54" s="2" t="s">
        <v>159</v>
      </c>
      <c r="B54" s="13" t="n">
        <v>46266</v>
      </c>
      <c r="C54" s="2" t="s">
        <v>101</v>
      </c>
      <c r="D54" s="2" t="n">
        <v>1</v>
      </c>
      <c r="E54" s="15" t="n">
        <v>0.830555555555556</v>
      </c>
      <c r="F54" s="7" t="n">
        <v>18000</v>
      </c>
      <c r="G54" s="7" t="n">
        <f aca="false">D54*F54</f>
        <v>18000</v>
      </c>
      <c r="H54" s="2" t="str">
        <f aca="false">INDEX(Daftar_Menu!$B$2:$B$13,MATCH(C54,Daftar_Menu!$A$2:$A$13,0))</f>
        <v>Makanan</v>
      </c>
      <c r="I54" s="2" t="str">
        <f aca="false">CHOOSE(WEEKDAY(B54,2),"Senin","Selasa","Rabu","Kamis","Jumat","Sabtu","Minggu")</f>
        <v>Selasa</v>
      </c>
      <c r="J54" s="2" t="n">
        <f aca="false">HOUR(E54)</f>
        <v>19</v>
      </c>
      <c r="K54" s="2" t="str">
        <f aca="false">IF(J54&lt;11,"Pagi",IF(J54&lt;17,"Siang","Malam"))</f>
        <v>Malam</v>
      </c>
      <c r="L54" s="2" t="n">
        <f aca="false">IF(A54&lt;&gt;A53,1,0)</f>
        <v>1</v>
      </c>
    </row>
    <row r="55" customFormat="false" ht="15" hidden="false" customHeight="false" outlineLevel="0" collapsed="false">
      <c r="A55" s="2" t="s">
        <v>159</v>
      </c>
      <c r="B55" s="13" t="n">
        <v>46266</v>
      </c>
      <c r="C55" s="2" t="s">
        <v>81</v>
      </c>
      <c r="D55" s="2" t="n">
        <v>1</v>
      </c>
      <c r="E55" s="15" t="n">
        <v>0.830555555555556</v>
      </c>
      <c r="F55" s="7" t="n">
        <v>15000</v>
      </c>
      <c r="G55" s="7" t="n">
        <f aca="false">D55*F55</f>
        <v>15000</v>
      </c>
      <c r="H55" s="2" t="str">
        <f aca="false">INDEX(Daftar_Menu!$B$2:$B$13,MATCH(C55,Daftar_Menu!$A$2:$A$13,0))</f>
        <v>Makanan</v>
      </c>
      <c r="I55" s="2" t="str">
        <f aca="false">CHOOSE(WEEKDAY(B55,2),"Senin","Selasa","Rabu","Kamis","Jumat","Sabtu","Minggu")</f>
        <v>Selasa</v>
      </c>
      <c r="J55" s="2" t="n">
        <f aca="false">HOUR(E55)</f>
        <v>19</v>
      </c>
      <c r="K55" s="2" t="str">
        <f aca="false">IF(J55&lt;11,"Pagi",IF(J55&lt;17,"Siang","Malam"))</f>
        <v>Malam</v>
      </c>
      <c r="L55" s="2" t="n">
        <f aca="false">IF(A55&lt;&gt;A54,1,0)</f>
        <v>0</v>
      </c>
    </row>
    <row r="56" customFormat="false" ht="15" hidden="false" customHeight="false" outlineLevel="0" collapsed="false">
      <c r="A56" s="2" t="s">
        <v>159</v>
      </c>
      <c r="B56" s="13" t="n">
        <v>46266</v>
      </c>
      <c r="C56" s="2" t="s">
        <v>79</v>
      </c>
      <c r="D56" s="2" t="n">
        <v>1</v>
      </c>
      <c r="E56" s="15" t="n">
        <v>0.830555555555556</v>
      </c>
      <c r="F56" s="7" t="n">
        <v>16000</v>
      </c>
      <c r="G56" s="7" t="n">
        <f aca="false">D56*F56</f>
        <v>16000</v>
      </c>
      <c r="H56" s="2" t="str">
        <f aca="false">INDEX(Daftar_Menu!$B$2:$B$13,MATCH(C56,Daftar_Menu!$A$2:$A$13,0))</f>
        <v>Makanan</v>
      </c>
      <c r="I56" s="2" t="str">
        <f aca="false">CHOOSE(WEEKDAY(B56,2),"Senin","Selasa","Rabu","Kamis","Jumat","Sabtu","Minggu")</f>
        <v>Selasa</v>
      </c>
      <c r="J56" s="2" t="n">
        <f aca="false">HOUR(E56)</f>
        <v>19</v>
      </c>
      <c r="K56" s="2" t="str">
        <f aca="false">IF(J56&lt;11,"Pagi",IF(J56&lt;17,"Siang","Malam"))</f>
        <v>Malam</v>
      </c>
      <c r="L56" s="2" t="n">
        <f aca="false">IF(A56&lt;&gt;A55,1,0)</f>
        <v>0</v>
      </c>
    </row>
    <row r="57" customFormat="false" ht="15" hidden="false" customHeight="false" outlineLevel="0" collapsed="false">
      <c r="A57" s="2" t="s">
        <v>161</v>
      </c>
      <c r="B57" s="13" t="n">
        <v>46266</v>
      </c>
      <c r="C57" s="2" t="s">
        <v>84</v>
      </c>
      <c r="D57" s="2" t="n">
        <v>1</v>
      </c>
      <c r="E57" s="15" t="n">
        <v>0.83125</v>
      </c>
      <c r="F57" s="7" t="n">
        <v>5000</v>
      </c>
      <c r="G57" s="7" t="n">
        <f aca="false">D57*F57</f>
        <v>5000</v>
      </c>
      <c r="H57" s="2" t="str">
        <f aca="false">INDEX(Daftar_Menu!$B$2:$B$13,MATCH(C57,Daftar_Menu!$A$2:$A$13,0))</f>
        <v>Minuman</v>
      </c>
      <c r="I57" s="2" t="str">
        <f aca="false">CHOOSE(WEEKDAY(B57,2),"Senin","Selasa","Rabu","Kamis","Jumat","Sabtu","Minggu")</f>
        <v>Selasa</v>
      </c>
      <c r="J57" s="2" t="n">
        <f aca="false">HOUR(E57)</f>
        <v>19</v>
      </c>
      <c r="K57" s="2" t="str">
        <f aca="false">IF(J57&lt;11,"Pagi",IF(J57&lt;17,"Siang","Malam"))</f>
        <v>Malam</v>
      </c>
      <c r="L57" s="2" t="n">
        <f aca="false">IF(A57&lt;&gt;A56,1,0)</f>
        <v>1</v>
      </c>
    </row>
    <row r="58" customFormat="false" ht="15" hidden="false" customHeight="false" outlineLevel="0" collapsed="false">
      <c r="A58" s="2" t="s">
        <v>161</v>
      </c>
      <c r="B58" s="13" t="n">
        <v>46266</v>
      </c>
      <c r="C58" s="2" t="s">
        <v>101</v>
      </c>
      <c r="D58" s="2" t="n">
        <v>1</v>
      </c>
      <c r="E58" s="15" t="n">
        <v>0.83125</v>
      </c>
      <c r="F58" s="7" t="n">
        <v>18000</v>
      </c>
      <c r="G58" s="7" t="n">
        <f aca="false">D58*F58</f>
        <v>18000</v>
      </c>
      <c r="H58" s="2" t="str">
        <f aca="false">INDEX(Daftar_Menu!$B$2:$B$13,MATCH(C58,Daftar_Menu!$A$2:$A$13,0))</f>
        <v>Makanan</v>
      </c>
      <c r="I58" s="2" t="str">
        <f aca="false">CHOOSE(WEEKDAY(B58,2),"Senin","Selasa","Rabu","Kamis","Jumat","Sabtu","Minggu")</f>
        <v>Selasa</v>
      </c>
      <c r="J58" s="2" t="n">
        <f aca="false">HOUR(E58)</f>
        <v>19</v>
      </c>
      <c r="K58" s="2" t="str">
        <f aca="false">IF(J58&lt;11,"Pagi",IF(J58&lt;17,"Siang","Malam"))</f>
        <v>Malam</v>
      </c>
      <c r="L58" s="2" t="n">
        <f aca="false">IF(A58&lt;&gt;A57,1,0)</f>
        <v>0</v>
      </c>
    </row>
    <row r="59" customFormat="false" ht="15" hidden="false" customHeight="false" outlineLevel="0" collapsed="false">
      <c r="A59" s="2" t="s">
        <v>163</v>
      </c>
      <c r="B59" s="13" t="n">
        <v>46266</v>
      </c>
      <c r="C59" s="2" t="s">
        <v>84</v>
      </c>
      <c r="D59" s="2" t="n">
        <v>2</v>
      </c>
      <c r="E59" s="15" t="n">
        <v>0.855555555555556</v>
      </c>
      <c r="F59" s="7" t="n">
        <v>5000</v>
      </c>
      <c r="G59" s="7" t="n">
        <f aca="false">D59*F59</f>
        <v>10000</v>
      </c>
      <c r="H59" s="2" t="str">
        <f aca="false">INDEX(Daftar_Menu!$B$2:$B$13,MATCH(C59,Daftar_Menu!$A$2:$A$13,0))</f>
        <v>Minuman</v>
      </c>
      <c r="I59" s="2" t="str">
        <f aca="false">CHOOSE(WEEKDAY(B59,2),"Senin","Selasa","Rabu","Kamis","Jumat","Sabtu","Minggu")</f>
        <v>Selasa</v>
      </c>
      <c r="J59" s="2" t="n">
        <f aca="false">HOUR(E59)</f>
        <v>20</v>
      </c>
      <c r="K59" s="2" t="str">
        <f aca="false">IF(J59&lt;11,"Pagi",IF(J59&lt;17,"Siang","Malam"))</f>
        <v>Malam</v>
      </c>
      <c r="L59" s="2" t="n">
        <f aca="false">IF(A59&lt;&gt;A58,1,0)</f>
        <v>1</v>
      </c>
    </row>
    <row r="60" customFormat="false" ht="15" hidden="false" customHeight="false" outlineLevel="0" collapsed="false">
      <c r="A60" s="2" t="s">
        <v>163</v>
      </c>
      <c r="B60" s="13" t="n">
        <v>46266</v>
      </c>
      <c r="C60" s="2" t="s">
        <v>81</v>
      </c>
      <c r="D60" s="2" t="n">
        <v>1</v>
      </c>
      <c r="E60" s="15" t="n">
        <v>0.855555555555556</v>
      </c>
      <c r="F60" s="7" t="n">
        <v>15000</v>
      </c>
      <c r="G60" s="7" t="n">
        <f aca="false">D60*F60</f>
        <v>15000</v>
      </c>
      <c r="H60" s="2" t="str">
        <f aca="false">INDEX(Daftar_Menu!$B$2:$B$13,MATCH(C60,Daftar_Menu!$A$2:$A$13,0))</f>
        <v>Makanan</v>
      </c>
      <c r="I60" s="2" t="str">
        <f aca="false">CHOOSE(WEEKDAY(B60,2),"Senin","Selasa","Rabu","Kamis","Jumat","Sabtu","Minggu")</f>
        <v>Selasa</v>
      </c>
      <c r="J60" s="2" t="n">
        <f aca="false">HOUR(E60)</f>
        <v>20</v>
      </c>
      <c r="K60" s="2" t="str">
        <f aca="false">IF(J60&lt;11,"Pagi",IF(J60&lt;17,"Siang","Malam"))</f>
        <v>Malam</v>
      </c>
      <c r="L60" s="2" t="n">
        <f aca="false">IF(A60&lt;&gt;A59,1,0)</f>
        <v>0</v>
      </c>
    </row>
    <row r="61" customFormat="false" ht="15" hidden="false" customHeight="false" outlineLevel="0" collapsed="false">
      <c r="A61" s="2" t="s">
        <v>163</v>
      </c>
      <c r="B61" s="13" t="n">
        <v>46266</v>
      </c>
      <c r="C61" s="2" t="s">
        <v>101</v>
      </c>
      <c r="D61" s="2" t="n">
        <v>2</v>
      </c>
      <c r="E61" s="15" t="n">
        <v>0.855555555555556</v>
      </c>
      <c r="F61" s="7" t="n">
        <v>18000</v>
      </c>
      <c r="G61" s="7" t="n">
        <f aca="false">D61*F61</f>
        <v>36000</v>
      </c>
      <c r="H61" s="2" t="str">
        <f aca="false">INDEX(Daftar_Menu!$B$2:$B$13,MATCH(C61,Daftar_Menu!$A$2:$A$13,0))</f>
        <v>Makanan</v>
      </c>
      <c r="I61" s="2" t="str">
        <f aca="false">CHOOSE(WEEKDAY(B61,2),"Senin","Selasa","Rabu","Kamis","Jumat","Sabtu","Minggu")</f>
        <v>Selasa</v>
      </c>
      <c r="J61" s="2" t="n">
        <f aca="false">HOUR(E61)</f>
        <v>20</v>
      </c>
      <c r="K61" s="2" t="str">
        <f aca="false">IF(J61&lt;11,"Pagi",IF(J61&lt;17,"Siang","Malam"))</f>
        <v>Malam</v>
      </c>
      <c r="L61" s="2" t="n">
        <f aca="false">IF(A61&lt;&gt;A60,1,0)</f>
        <v>0</v>
      </c>
    </row>
    <row r="62" customFormat="false" ht="15" hidden="false" customHeight="false" outlineLevel="0" collapsed="false">
      <c r="A62" s="2" t="s">
        <v>165</v>
      </c>
      <c r="B62" s="13" t="n">
        <v>46266</v>
      </c>
      <c r="C62" s="2" t="s">
        <v>112</v>
      </c>
      <c r="D62" s="2" t="n">
        <v>1</v>
      </c>
      <c r="E62" s="15" t="n">
        <v>0.855555555555556</v>
      </c>
      <c r="F62" s="7" t="n">
        <v>10000</v>
      </c>
      <c r="G62" s="7" t="n">
        <f aca="false">D62*F62</f>
        <v>10000</v>
      </c>
      <c r="H62" s="2" t="str">
        <f aca="false">INDEX(Daftar_Menu!$B$2:$B$13,MATCH(C62,Daftar_Menu!$A$2:$A$13,0))</f>
        <v>Minuman</v>
      </c>
      <c r="I62" s="2" t="str">
        <f aca="false">CHOOSE(WEEKDAY(B62,2),"Senin","Selasa","Rabu","Kamis","Jumat","Sabtu","Minggu")</f>
        <v>Selasa</v>
      </c>
      <c r="J62" s="2" t="n">
        <f aca="false">HOUR(E62)</f>
        <v>20</v>
      </c>
      <c r="K62" s="2" t="str">
        <f aca="false">IF(J62&lt;11,"Pagi",IF(J62&lt;17,"Siang","Malam"))</f>
        <v>Malam</v>
      </c>
      <c r="L62" s="2" t="n">
        <f aca="false">IF(A62&lt;&gt;A61,1,0)</f>
        <v>1</v>
      </c>
    </row>
    <row r="63" customFormat="false" ht="15" hidden="false" customHeight="false" outlineLevel="0" collapsed="false">
      <c r="A63" s="2" t="s">
        <v>165</v>
      </c>
      <c r="B63" s="13" t="n">
        <v>46266</v>
      </c>
      <c r="C63" s="2" t="s">
        <v>84</v>
      </c>
      <c r="D63" s="2" t="n">
        <v>2</v>
      </c>
      <c r="E63" s="15" t="n">
        <v>0.855555555555556</v>
      </c>
      <c r="F63" s="7" t="n">
        <v>5000</v>
      </c>
      <c r="G63" s="7" t="n">
        <f aca="false">D63*F63</f>
        <v>10000</v>
      </c>
      <c r="H63" s="2" t="str">
        <f aca="false">INDEX(Daftar_Menu!$B$2:$B$13,MATCH(C63,Daftar_Menu!$A$2:$A$13,0))</f>
        <v>Minuman</v>
      </c>
      <c r="I63" s="2" t="str">
        <f aca="false">CHOOSE(WEEKDAY(B63,2),"Senin","Selasa","Rabu","Kamis","Jumat","Sabtu","Minggu")</f>
        <v>Selasa</v>
      </c>
      <c r="J63" s="2" t="n">
        <f aca="false">HOUR(E63)</f>
        <v>20</v>
      </c>
      <c r="K63" s="2" t="str">
        <f aca="false">IF(J63&lt;11,"Pagi",IF(J63&lt;17,"Siang","Malam"))</f>
        <v>Malam</v>
      </c>
      <c r="L63" s="2" t="n">
        <f aca="false">IF(A63&lt;&gt;A62,1,0)</f>
        <v>0</v>
      </c>
    </row>
    <row r="64" customFormat="false" ht="15" hidden="false" customHeight="false" outlineLevel="0" collapsed="false">
      <c r="A64" s="2" t="s">
        <v>165</v>
      </c>
      <c r="B64" s="13" t="n">
        <v>46266</v>
      </c>
      <c r="C64" s="2" t="s">
        <v>101</v>
      </c>
      <c r="D64" s="2" t="n">
        <v>1</v>
      </c>
      <c r="E64" s="15" t="n">
        <v>0.855555555555556</v>
      </c>
      <c r="F64" s="7" t="n">
        <v>18000</v>
      </c>
      <c r="G64" s="7" t="n">
        <f aca="false">D64*F64</f>
        <v>18000</v>
      </c>
      <c r="H64" s="2" t="str">
        <f aca="false">INDEX(Daftar_Menu!$B$2:$B$13,MATCH(C64,Daftar_Menu!$A$2:$A$13,0))</f>
        <v>Makanan</v>
      </c>
      <c r="I64" s="2" t="str">
        <f aca="false">CHOOSE(WEEKDAY(B64,2),"Senin","Selasa","Rabu","Kamis","Jumat","Sabtu","Minggu")</f>
        <v>Selasa</v>
      </c>
      <c r="J64" s="2" t="n">
        <f aca="false">HOUR(E64)</f>
        <v>20</v>
      </c>
      <c r="K64" s="2" t="str">
        <f aca="false">IF(J64&lt;11,"Pagi",IF(J64&lt;17,"Siang","Malam"))</f>
        <v>Malam</v>
      </c>
      <c r="L64" s="2" t="n">
        <f aca="false">IF(A64&lt;&gt;A63,1,0)</f>
        <v>0</v>
      </c>
    </row>
    <row r="65" customFormat="false" ht="15" hidden="false" customHeight="false" outlineLevel="0" collapsed="false">
      <c r="A65" s="2" t="s">
        <v>166</v>
      </c>
      <c r="B65" s="13" t="n">
        <v>46266</v>
      </c>
      <c r="C65" s="2" t="s">
        <v>79</v>
      </c>
      <c r="D65" s="2" t="n">
        <v>2</v>
      </c>
      <c r="E65" s="15" t="n">
        <v>0.85625</v>
      </c>
      <c r="F65" s="7" t="n">
        <v>16000</v>
      </c>
      <c r="G65" s="7" t="n">
        <f aca="false">D65*F65</f>
        <v>32000</v>
      </c>
      <c r="H65" s="2" t="str">
        <f aca="false">INDEX(Daftar_Menu!$B$2:$B$13,MATCH(C65,Daftar_Menu!$A$2:$A$13,0))</f>
        <v>Makanan</v>
      </c>
      <c r="I65" s="2" t="str">
        <f aca="false">CHOOSE(WEEKDAY(B65,2),"Senin","Selasa","Rabu","Kamis","Jumat","Sabtu","Minggu")</f>
        <v>Selasa</v>
      </c>
      <c r="J65" s="2" t="n">
        <f aca="false">HOUR(E65)</f>
        <v>20</v>
      </c>
      <c r="K65" s="2" t="str">
        <f aca="false">IF(J65&lt;11,"Pagi",IF(J65&lt;17,"Siang","Malam"))</f>
        <v>Malam</v>
      </c>
      <c r="L65" s="2" t="n">
        <f aca="false">IF(A65&lt;&gt;A64,1,0)</f>
        <v>1</v>
      </c>
    </row>
    <row r="66" customFormat="false" ht="15" hidden="false" customHeight="false" outlineLevel="0" collapsed="false">
      <c r="A66" s="2" t="s">
        <v>168</v>
      </c>
      <c r="B66" s="13" t="n">
        <v>46266</v>
      </c>
      <c r="C66" s="2" t="s">
        <v>79</v>
      </c>
      <c r="D66" s="2" t="n">
        <v>1</v>
      </c>
      <c r="E66" s="15" t="n">
        <v>0.874305555555556</v>
      </c>
      <c r="F66" s="7" t="n">
        <v>16000</v>
      </c>
      <c r="G66" s="7" t="n">
        <f aca="false">D66*F66</f>
        <v>16000</v>
      </c>
      <c r="H66" s="2" t="str">
        <f aca="false">INDEX(Daftar_Menu!$B$2:$B$13,MATCH(C66,Daftar_Menu!$A$2:$A$13,0))</f>
        <v>Makanan</v>
      </c>
      <c r="I66" s="2" t="str">
        <f aca="false">CHOOSE(WEEKDAY(B66,2),"Senin","Selasa","Rabu","Kamis","Jumat","Sabtu","Minggu")</f>
        <v>Selasa</v>
      </c>
      <c r="J66" s="2" t="n">
        <f aca="false">HOUR(E66)</f>
        <v>20</v>
      </c>
      <c r="K66" s="2" t="str">
        <f aca="false">IF(J66&lt;11,"Pagi",IF(J66&lt;17,"Siang","Malam"))</f>
        <v>Malam</v>
      </c>
      <c r="L66" s="2" t="n">
        <f aca="false">IF(A66&lt;&gt;A65,1,0)</f>
        <v>1</v>
      </c>
    </row>
    <row r="67" customFormat="false" ht="15" hidden="false" customHeight="false" outlineLevel="0" collapsed="false">
      <c r="A67" s="2" t="s">
        <v>170</v>
      </c>
      <c r="B67" s="13" t="n">
        <v>46267</v>
      </c>
      <c r="C67" s="2" t="s">
        <v>89</v>
      </c>
      <c r="D67" s="2" t="n">
        <v>1</v>
      </c>
      <c r="E67" s="15" t="n">
        <v>0.333333333333333</v>
      </c>
      <c r="F67" s="7" t="n">
        <v>14000</v>
      </c>
      <c r="G67" s="7" t="n">
        <f aca="false">D67*F67</f>
        <v>14000</v>
      </c>
      <c r="H67" s="2" t="str">
        <f aca="false">INDEX(Daftar_Menu!$B$2:$B$13,MATCH(C67,Daftar_Menu!$A$2:$A$13,0))</f>
        <v>Makanan</v>
      </c>
      <c r="I67" s="2" t="str">
        <f aca="false">CHOOSE(WEEKDAY(B67,2),"Senin","Selasa","Rabu","Kamis","Jumat","Sabtu","Minggu")</f>
        <v>Rabu</v>
      </c>
      <c r="J67" s="2" t="n">
        <f aca="false">HOUR(E67)</f>
        <v>8</v>
      </c>
      <c r="K67" s="2" t="str">
        <f aca="false">IF(J67&lt;11,"Pagi",IF(J67&lt;17,"Siang","Malam"))</f>
        <v>Pagi</v>
      </c>
      <c r="L67" s="2" t="n">
        <f aca="false">IF(A67&lt;&gt;A66,1,0)</f>
        <v>1</v>
      </c>
    </row>
    <row r="68" customFormat="false" ht="15" hidden="false" customHeight="false" outlineLevel="0" collapsed="false">
      <c r="A68" s="2" t="s">
        <v>170</v>
      </c>
      <c r="B68" s="13" t="n">
        <v>46267</v>
      </c>
      <c r="C68" s="2" t="s">
        <v>84</v>
      </c>
      <c r="D68" s="2" t="n">
        <v>1</v>
      </c>
      <c r="E68" s="15" t="n">
        <v>0.333333333333333</v>
      </c>
      <c r="F68" s="7" t="n">
        <v>5000</v>
      </c>
      <c r="G68" s="7" t="n">
        <f aca="false">D68*F68</f>
        <v>5000</v>
      </c>
      <c r="H68" s="2" t="str">
        <f aca="false">INDEX(Daftar_Menu!$B$2:$B$13,MATCH(C68,Daftar_Menu!$A$2:$A$13,0))</f>
        <v>Minuman</v>
      </c>
      <c r="I68" s="2" t="str">
        <f aca="false">CHOOSE(WEEKDAY(B68,2),"Senin","Selasa","Rabu","Kamis","Jumat","Sabtu","Minggu")</f>
        <v>Rabu</v>
      </c>
      <c r="J68" s="2" t="n">
        <f aca="false">HOUR(E68)</f>
        <v>8</v>
      </c>
      <c r="K68" s="2" t="str">
        <f aca="false">IF(J68&lt;11,"Pagi",IF(J68&lt;17,"Siang","Malam"))</f>
        <v>Pagi</v>
      </c>
      <c r="L68" s="2" t="n">
        <f aca="false">IF(A68&lt;&gt;A67,1,0)</f>
        <v>0</v>
      </c>
    </row>
    <row r="69" customFormat="false" ht="15" hidden="false" customHeight="false" outlineLevel="0" collapsed="false">
      <c r="A69" s="2" t="s">
        <v>170</v>
      </c>
      <c r="B69" s="13" t="n">
        <v>46267</v>
      </c>
      <c r="C69" s="2" t="s">
        <v>101</v>
      </c>
      <c r="D69" s="2" t="n">
        <v>1</v>
      </c>
      <c r="E69" s="15" t="n">
        <v>0.333333333333333</v>
      </c>
      <c r="F69" s="7" t="n">
        <v>18000</v>
      </c>
      <c r="G69" s="7" t="n">
        <f aca="false">D69*F69</f>
        <v>18000</v>
      </c>
      <c r="H69" s="2" t="str">
        <f aca="false">INDEX(Daftar_Menu!$B$2:$B$13,MATCH(C69,Daftar_Menu!$A$2:$A$13,0))</f>
        <v>Makanan</v>
      </c>
      <c r="I69" s="2" t="str">
        <f aca="false">CHOOSE(WEEKDAY(B69,2),"Senin","Selasa","Rabu","Kamis","Jumat","Sabtu","Minggu")</f>
        <v>Rabu</v>
      </c>
      <c r="J69" s="2" t="n">
        <f aca="false">HOUR(E69)</f>
        <v>8</v>
      </c>
      <c r="K69" s="2" t="str">
        <f aca="false">IF(J69&lt;11,"Pagi",IF(J69&lt;17,"Siang","Malam"))</f>
        <v>Pagi</v>
      </c>
      <c r="L69" s="2" t="n">
        <f aca="false">IF(A69&lt;&gt;A68,1,0)</f>
        <v>0</v>
      </c>
    </row>
    <row r="70" customFormat="false" ht="15" hidden="false" customHeight="false" outlineLevel="0" collapsed="false">
      <c r="A70" s="2" t="s">
        <v>172</v>
      </c>
      <c r="B70" s="13" t="n">
        <v>46267</v>
      </c>
      <c r="C70" s="2" t="s">
        <v>79</v>
      </c>
      <c r="D70" s="2" t="n">
        <v>1</v>
      </c>
      <c r="E70" s="15" t="n">
        <v>0.398611111111111</v>
      </c>
      <c r="F70" s="7" t="n">
        <v>16000</v>
      </c>
      <c r="G70" s="7" t="n">
        <f aca="false">D70*F70</f>
        <v>16000</v>
      </c>
      <c r="H70" s="2" t="str">
        <f aca="false">INDEX(Daftar_Menu!$B$2:$B$13,MATCH(C70,Daftar_Menu!$A$2:$A$13,0))</f>
        <v>Makanan</v>
      </c>
      <c r="I70" s="2" t="str">
        <f aca="false">CHOOSE(WEEKDAY(B70,2),"Senin","Selasa","Rabu","Kamis","Jumat","Sabtu","Minggu")</f>
        <v>Rabu</v>
      </c>
      <c r="J70" s="2" t="n">
        <f aca="false">HOUR(E70)</f>
        <v>9</v>
      </c>
      <c r="K70" s="2" t="str">
        <f aca="false">IF(J70&lt;11,"Pagi",IF(J70&lt;17,"Siang","Malam"))</f>
        <v>Pagi</v>
      </c>
      <c r="L70" s="2" t="n">
        <f aca="false">IF(A70&lt;&gt;A69,1,0)</f>
        <v>1</v>
      </c>
    </row>
    <row r="71" customFormat="false" ht="15" hidden="false" customHeight="false" outlineLevel="0" collapsed="false">
      <c r="A71" s="2" t="s">
        <v>174</v>
      </c>
      <c r="B71" s="13" t="n">
        <v>46267</v>
      </c>
      <c r="C71" s="2" t="s">
        <v>84</v>
      </c>
      <c r="D71" s="2" t="n">
        <v>1</v>
      </c>
      <c r="E71" s="15" t="n">
        <v>0.403472222222222</v>
      </c>
      <c r="F71" s="7" t="n">
        <v>5000</v>
      </c>
      <c r="G71" s="7" t="n">
        <f aca="false">D71*F71</f>
        <v>5000</v>
      </c>
      <c r="H71" s="2" t="str">
        <f aca="false">INDEX(Daftar_Menu!$B$2:$B$13,MATCH(C71,Daftar_Menu!$A$2:$A$13,0))</f>
        <v>Minuman</v>
      </c>
      <c r="I71" s="2" t="str">
        <f aca="false">CHOOSE(WEEKDAY(B71,2),"Senin","Selasa","Rabu","Kamis","Jumat","Sabtu","Minggu")</f>
        <v>Rabu</v>
      </c>
      <c r="J71" s="2" t="n">
        <f aca="false">HOUR(E71)</f>
        <v>9</v>
      </c>
      <c r="K71" s="2" t="str">
        <f aca="false">IF(J71&lt;11,"Pagi",IF(J71&lt;17,"Siang","Malam"))</f>
        <v>Pagi</v>
      </c>
      <c r="L71" s="2" t="n">
        <f aca="false">IF(A71&lt;&gt;A70,1,0)</f>
        <v>1</v>
      </c>
    </row>
    <row r="72" customFormat="false" ht="15" hidden="false" customHeight="false" outlineLevel="0" collapsed="false">
      <c r="A72" s="2" t="s">
        <v>174</v>
      </c>
      <c r="B72" s="13" t="n">
        <v>46267</v>
      </c>
      <c r="C72" s="2" t="s">
        <v>81</v>
      </c>
      <c r="D72" s="2" t="n">
        <v>2</v>
      </c>
      <c r="E72" s="15" t="n">
        <v>0.403472222222222</v>
      </c>
      <c r="F72" s="7" t="n">
        <v>15000</v>
      </c>
      <c r="G72" s="7" t="n">
        <f aca="false">D72*F72</f>
        <v>30000</v>
      </c>
      <c r="H72" s="2" t="str">
        <f aca="false">INDEX(Daftar_Menu!$B$2:$B$13,MATCH(C72,Daftar_Menu!$A$2:$A$13,0))</f>
        <v>Makanan</v>
      </c>
      <c r="I72" s="2" t="str">
        <f aca="false">CHOOSE(WEEKDAY(B72,2),"Senin","Selasa","Rabu","Kamis","Jumat","Sabtu","Minggu")</f>
        <v>Rabu</v>
      </c>
      <c r="J72" s="2" t="n">
        <f aca="false">HOUR(E72)</f>
        <v>9</v>
      </c>
      <c r="K72" s="2" t="str">
        <f aca="false">IF(J72&lt;11,"Pagi",IF(J72&lt;17,"Siang","Malam"))</f>
        <v>Pagi</v>
      </c>
      <c r="L72" s="2" t="n">
        <f aca="false">IF(A72&lt;&gt;A71,1,0)</f>
        <v>0</v>
      </c>
    </row>
    <row r="73" customFormat="false" ht="15" hidden="false" customHeight="false" outlineLevel="0" collapsed="false">
      <c r="A73" s="2" t="s">
        <v>174</v>
      </c>
      <c r="B73" s="13" t="n">
        <v>46267</v>
      </c>
      <c r="C73" s="2" t="s">
        <v>108</v>
      </c>
      <c r="D73" s="2" t="n">
        <v>1</v>
      </c>
      <c r="E73" s="15" t="n">
        <v>0.403472222222222</v>
      </c>
      <c r="F73" s="7" t="n">
        <v>20000</v>
      </c>
      <c r="G73" s="7" t="n">
        <f aca="false">D73*F73</f>
        <v>20000</v>
      </c>
      <c r="H73" s="2" t="str">
        <f aca="false">INDEX(Daftar_Menu!$B$2:$B$13,MATCH(C73,Daftar_Menu!$A$2:$A$13,0))</f>
        <v>Makanan</v>
      </c>
      <c r="I73" s="2" t="str">
        <f aca="false">CHOOSE(WEEKDAY(B73,2),"Senin","Selasa","Rabu","Kamis","Jumat","Sabtu","Minggu")</f>
        <v>Rabu</v>
      </c>
      <c r="J73" s="2" t="n">
        <f aca="false">HOUR(E73)</f>
        <v>9</v>
      </c>
      <c r="K73" s="2" t="str">
        <f aca="false">IF(J73&lt;11,"Pagi",IF(J73&lt;17,"Siang","Malam"))</f>
        <v>Pagi</v>
      </c>
      <c r="L73" s="2" t="n">
        <f aca="false">IF(A73&lt;&gt;A72,1,0)</f>
        <v>0</v>
      </c>
    </row>
    <row r="74" customFormat="false" ht="15" hidden="false" customHeight="false" outlineLevel="0" collapsed="false">
      <c r="A74" s="2" t="s">
        <v>176</v>
      </c>
      <c r="B74" s="13" t="n">
        <v>46267</v>
      </c>
      <c r="C74" s="2" t="s">
        <v>82</v>
      </c>
      <c r="D74" s="2" t="n">
        <v>1</v>
      </c>
      <c r="E74" s="15" t="n">
        <v>0.447222222222222</v>
      </c>
      <c r="F74" s="7" t="n">
        <v>13000</v>
      </c>
      <c r="G74" s="7" t="n">
        <f aca="false">D74*F74</f>
        <v>13000</v>
      </c>
      <c r="H74" s="2" t="str">
        <f aca="false">INDEX(Daftar_Menu!$B$2:$B$13,MATCH(C74,Daftar_Menu!$A$2:$A$13,0))</f>
        <v>Makanan</v>
      </c>
      <c r="I74" s="2" t="str">
        <f aca="false">CHOOSE(WEEKDAY(B74,2),"Senin","Selasa","Rabu","Kamis","Jumat","Sabtu","Minggu")</f>
        <v>Rabu</v>
      </c>
      <c r="J74" s="2" t="n">
        <f aca="false">HOUR(E74)</f>
        <v>10</v>
      </c>
      <c r="K74" s="2" t="str">
        <f aca="false">IF(J74&lt;11,"Pagi",IF(J74&lt;17,"Siang","Malam"))</f>
        <v>Pagi</v>
      </c>
      <c r="L74" s="2" t="n">
        <f aca="false">IF(A74&lt;&gt;A73,1,0)</f>
        <v>1</v>
      </c>
    </row>
    <row r="75" customFormat="false" ht="15" hidden="false" customHeight="false" outlineLevel="0" collapsed="false">
      <c r="A75" s="2" t="s">
        <v>178</v>
      </c>
      <c r="B75" s="13" t="n">
        <v>46267</v>
      </c>
      <c r="C75" s="2" t="s">
        <v>101</v>
      </c>
      <c r="D75" s="2" t="n">
        <v>1</v>
      </c>
      <c r="E75" s="15" t="n">
        <v>0.472222222222222</v>
      </c>
      <c r="F75" s="7" t="n">
        <v>18000</v>
      </c>
      <c r="G75" s="7" t="n">
        <f aca="false">D75*F75</f>
        <v>18000</v>
      </c>
      <c r="H75" s="2" t="str">
        <f aca="false">INDEX(Daftar_Menu!$B$2:$B$13,MATCH(C75,Daftar_Menu!$A$2:$A$13,0))</f>
        <v>Makanan</v>
      </c>
      <c r="I75" s="2" t="str">
        <f aca="false">CHOOSE(WEEKDAY(B75,2),"Senin","Selasa","Rabu","Kamis","Jumat","Sabtu","Minggu")</f>
        <v>Rabu</v>
      </c>
      <c r="J75" s="2" t="n">
        <f aca="false">HOUR(E75)</f>
        <v>11</v>
      </c>
      <c r="K75" s="2" t="str">
        <f aca="false">IF(J75&lt;11,"Pagi",IF(J75&lt;17,"Siang","Malam"))</f>
        <v>Siang</v>
      </c>
      <c r="L75" s="2" t="n">
        <f aca="false">IF(A75&lt;&gt;A74,1,0)</f>
        <v>1</v>
      </c>
    </row>
    <row r="76" customFormat="false" ht="15" hidden="false" customHeight="false" outlineLevel="0" collapsed="false">
      <c r="A76" s="2" t="s">
        <v>178</v>
      </c>
      <c r="B76" s="13" t="n">
        <v>46267</v>
      </c>
      <c r="C76" s="2" t="s">
        <v>112</v>
      </c>
      <c r="D76" s="2" t="n">
        <v>1</v>
      </c>
      <c r="E76" s="15" t="n">
        <v>0.472222222222222</v>
      </c>
      <c r="F76" s="7" t="n">
        <v>10000</v>
      </c>
      <c r="G76" s="7" t="n">
        <f aca="false">D76*F76</f>
        <v>10000</v>
      </c>
      <c r="H76" s="2" t="str">
        <f aca="false">INDEX(Daftar_Menu!$B$2:$B$13,MATCH(C76,Daftar_Menu!$A$2:$A$13,0))</f>
        <v>Minuman</v>
      </c>
      <c r="I76" s="2" t="str">
        <f aca="false">CHOOSE(WEEKDAY(B76,2),"Senin","Selasa","Rabu","Kamis","Jumat","Sabtu","Minggu")</f>
        <v>Rabu</v>
      </c>
      <c r="J76" s="2" t="n">
        <f aca="false">HOUR(E76)</f>
        <v>11</v>
      </c>
      <c r="K76" s="2" t="str">
        <f aca="false">IF(J76&lt;11,"Pagi",IF(J76&lt;17,"Siang","Malam"))</f>
        <v>Siang</v>
      </c>
      <c r="L76" s="2" t="n">
        <f aca="false">IF(A76&lt;&gt;A75,1,0)</f>
        <v>0</v>
      </c>
    </row>
    <row r="77" customFormat="false" ht="15" hidden="false" customHeight="false" outlineLevel="0" collapsed="false">
      <c r="A77" s="2" t="s">
        <v>180</v>
      </c>
      <c r="B77" s="13" t="n">
        <v>46267</v>
      </c>
      <c r="C77" s="2" t="s">
        <v>112</v>
      </c>
      <c r="D77" s="2" t="n">
        <v>1</v>
      </c>
      <c r="E77" s="15" t="n">
        <v>0.488888888888889</v>
      </c>
      <c r="F77" s="7" t="n">
        <v>10000</v>
      </c>
      <c r="G77" s="7" t="n">
        <f aca="false">D77*F77</f>
        <v>10000</v>
      </c>
      <c r="H77" s="2" t="str">
        <f aca="false">INDEX(Daftar_Menu!$B$2:$B$13,MATCH(C77,Daftar_Menu!$A$2:$A$13,0))</f>
        <v>Minuman</v>
      </c>
      <c r="I77" s="2" t="str">
        <f aca="false">CHOOSE(WEEKDAY(B77,2),"Senin","Selasa","Rabu","Kamis","Jumat","Sabtu","Minggu")</f>
        <v>Rabu</v>
      </c>
      <c r="J77" s="2" t="n">
        <f aca="false">HOUR(E77)</f>
        <v>11</v>
      </c>
      <c r="K77" s="2" t="str">
        <f aca="false">IF(J77&lt;11,"Pagi",IF(J77&lt;17,"Siang","Malam"))</f>
        <v>Siang</v>
      </c>
      <c r="L77" s="2" t="n">
        <f aca="false">IF(A77&lt;&gt;A76,1,0)</f>
        <v>1</v>
      </c>
    </row>
    <row r="78" customFormat="false" ht="15" hidden="false" customHeight="false" outlineLevel="0" collapsed="false">
      <c r="A78" s="2" t="s">
        <v>180</v>
      </c>
      <c r="B78" s="13" t="n">
        <v>46267</v>
      </c>
      <c r="C78" s="2" t="s">
        <v>79</v>
      </c>
      <c r="D78" s="2" t="n">
        <v>2</v>
      </c>
      <c r="E78" s="15" t="n">
        <v>0.488888888888889</v>
      </c>
      <c r="F78" s="7" t="n">
        <v>16000</v>
      </c>
      <c r="G78" s="7" t="n">
        <f aca="false">D78*F78</f>
        <v>32000</v>
      </c>
      <c r="H78" s="2" t="str">
        <f aca="false">INDEX(Daftar_Menu!$B$2:$B$13,MATCH(C78,Daftar_Menu!$A$2:$A$13,0))</f>
        <v>Makanan</v>
      </c>
      <c r="I78" s="2" t="str">
        <f aca="false">CHOOSE(WEEKDAY(B78,2),"Senin","Selasa","Rabu","Kamis","Jumat","Sabtu","Minggu")</f>
        <v>Rabu</v>
      </c>
      <c r="J78" s="2" t="n">
        <f aca="false">HOUR(E78)</f>
        <v>11</v>
      </c>
      <c r="K78" s="2" t="str">
        <f aca="false">IF(J78&lt;11,"Pagi",IF(J78&lt;17,"Siang","Malam"))</f>
        <v>Siang</v>
      </c>
      <c r="L78" s="2" t="n">
        <f aca="false">IF(A78&lt;&gt;A77,1,0)</f>
        <v>0</v>
      </c>
    </row>
    <row r="79" customFormat="false" ht="15" hidden="false" customHeight="false" outlineLevel="0" collapsed="false">
      <c r="A79" s="2" t="s">
        <v>182</v>
      </c>
      <c r="B79" s="13" t="n">
        <v>46267</v>
      </c>
      <c r="C79" s="2" t="s">
        <v>84</v>
      </c>
      <c r="D79" s="2" t="n">
        <v>1</v>
      </c>
      <c r="E79" s="15" t="n">
        <v>0.488888888888889</v>
      </c>
      <c r="F79" s="7" t="n">
        <v>5000</v>
      </c>
      <c r="G79" s="7" t="n">
        <f aca="false">D79*F79</f>
        <v>5000</v>
      </c>
      <c r="H79" s="2" t="str">
        <f aca="false">INDEX(Daftar_Menu!$B$2:$B$13,MATCH(C79,Daftar_Menu!$A$2:$A$13,0))</f>
        <v>Minuman</v>
      </c>
      <c r="I79" s="2" t="str">
        <f aca="false">CHOOSE(WEEKDAY(B79,2),"Senin","Selasa","Rabu","Kamis","Jumat","Sabtu","Minggu")</f>
        <v>Rabu</v>
      </c>
      <c r="J79" s="2" t="n">
        <f aca="false">HOUR(E79)</f>
        <v>11</v>
      </c>
      <c r="K79" s="2" t="str">
        <f aca="false">IF(J79&lt;11,"Pagi",IF(J79&lt;17,"Siang","Malam"))</f>
        <v>Siang</v>
      </c>
      <c r="L79" s="2" t="n">
        <f aca="false">IF(A79&lt;&gt;A78,1,0)</f>
        <v>1</v>
      </c>
    </row>
    <row r="80" customFormat="false" ht="15" hidden="false" customHeight="false" outlineLevel="0" collapsed="false">
      <c r="A80" s="2" t="s">
        <v>182</v>
      </c>
      <c r="B80" s="13" t="n">
        <v>46267</v>
      </c>
      <c r="C80" s="2" t="s">
        <v>112</v>
      </c>
      <c r="D80" s="2" t="n">
        <v>1</v>
      </c>
      <c r="E80" s="15" t="n">
        <v>0.488888888888889</v>
      </c>
      <c r="F80" s="7" t="n">
        <v>10000</v>
      </c>
      <c r="G80" s="7" t="n">
        <f aca="false">D80*F80</f>
        <v>10000</v>
      </c>
      <c r="H80" s="2" t="str">
        <f aca="false">INDEX(Daftar_Menu!$B$2:$B$13,MATCH(C80,Daftar_Menu!$A$2:$A$13,0))</f>
        <v>Minuman</v>
      </c>
      <c r="I80" s="2" t="str">
        <f aca="false">CHOOSE(WEEKDAY(B80,2),"Senin","Selasa","Rabu","Kamis","Jumat","Sabtu","Minggu")</f>
        <v>Rabu</v>
      </c>
      <c r="J80" s="2" t="n">
        <f aca="false">HOUR(E80)</f>
        <v>11</v>
      </c>
      <c r="K80" s="2" t="str">
        <f aca="false">IF(J80&lt;11,"Pagi",IF(J80&lt;17,"Siang","Malam"))</f>
        <v>Siang</v>
      </c>
      <c r="L80" s="2" t="n">
        <f aca="false">IF(A80&lt;&gt;A79,1,0)</f>
        <v>0</v>
      </c>
    </row>
    <row r="81" customFormat="false" ht="15" hidden="false" customHeight="false" outlineLevel="0" collapsed="false">
      <c r="A81" s="2" t="s">
        <v>183</v>
      </c>
      <c r="B81" s="13" t="n">
        <v>46267</v>
      </c>
      <c r="C81" s="2" t="s">
        <v>81</v>
      </c>
      <c r="D81" s="2" t="n">
        <v>1</v>
      </c>
      <c r="E81" s="15" t="n">
        <v>0.497222222222222</v>
      </c>
      <c r="F81" s="7" t="n">
        <v>15000</v>
      </c>
      <c r="G81" s="7" t="n">
        <f aca="false">D81*F81</f>
        <v>15000</v>
      </c>
      <c r="H81" s="2" t="str">
        <f aca="false">INDEX(Daftar_Menu!$B$2:$B$13,MATCH(C81,Daftar_Menu!$A$2:$A$13,0))</f>
        <v>Makanan</v>
      </c>
      <c r="I81" s="2" t="str">
        <f aca="false">CHOOSE(WEEKDAY(B81,2),"Senin","Selasa","Rabu","Kamis","Jumat","Sabtu","Minggu")</f>
        <v>Rabu</v>
      </c>
      <c r="J81" s="2" t="n">
        <f aca="false">HOUR(E81)</f>
        <v>11</v>
      </c>
      <c r="K81" s="2" t="str">
        <f aca="false">IF(J81&lt;11,"Pagi",IF(J81&lt;17,"Siang","Malam"))</f>
        <v>Siang</v>
      </c>
      <c r="L81" s="2" t="n">
        <f aca="false">IF(A81&lt;&gt;A80,1,0)</f>
        <v>1</v>
      </c>
    </row>
    <row r="82" customFormat="false" ht="15" hidden="false" customHeight="false" outlineLevel="0" collapsed="false">
      <c r="A82" s="2" t="s">
        <v>183</v>
      </c>
      <c r="B82" s="13" t="n">
        <v>46267</v>
      </c>
      <c r="C82" s="2" t="s">
        <v>108</v>
      </c>
      <c r="D82" s="2" t="n">
        <v>2</v>
      </c>
      <c r="E82" s="15" t="n">
        <v>0.497222222222222</v>
      </c>
      <c r="F82" s="7" t="n">
        <v>20000</v>
      </c>
      <c r="G82" s="7" t="n">
        <f aca="false">D82*F82</f>
        <v>40000</v>
      </c>
      <c r="H82" s="2" t="str">
        <f aca="false">INDEX(Daftar_Menu!$B$2:$B$13,MATCH(C82,Daftar_Menu!$A$2:$A$13,0))</f>
        <v>Makanan</v>
      </c>
      <c r="I82" s="2" t="str">
        <f aca="false">CHOOSE(WEEKDAY(B82,2),"Senin","Selasa","Rabu","Kamis","Jumat","Sabtu","Minggu")</f>
        <v>Rabu</v>
      </c>
      <c r="J82" s="2" t="n">
        <f aca="false">HOUR(E82)</f>
        <v>11</v>
      </c>
      <c r="K82" s="2" t="str">
        <f aca="false">IF(J82&lt;11,"Pagi",IF(J82&lt;17,"Siang","Malam"))</f>
        <v>Siang</v>
      </c>
      <c r="L82" s="2" t="n">
        <f aca="false">IF(A82&lt;&gt;A81,1,0)</f>
        <v>0</v>
      </c>
    </row>
    <row r="83" customFormat="false" ht="15" hidden="false" customHeight="false" outlineLevel="0" collapsed="false">
      <c r="A83" s="2" t="s">
        <v>185</v>
      </c>
      <c r="B83" s="13" t="n">
        <v>46267</v>
      </c>
      <c r="C83" s="2" t="s">
        <v>186</v>
      </c>
      <c r="D83" s="2" t="n">
        <v>2</v>
      </c>
      <c r="E83" s="15" t="n">
        <v>0.498611111111111</v>
      </c>
      <c r="F83" s="7" t="n">
        <v>7000</v>
      </c>
      <c r="G83" s="7" t="n">
        <f aca="false">D83*F83</f>
        <v>14000</v>
      </c>
      <c r="H83" s="2" t="str">
        <f aca="false">INDEX(Daftar_Menu!$B$2:$B$13,MATCH(C83,Daftar_Menu!$A$2:$A$13,0))</f>
        <v>Minuman</v>
      </c>
      <c r="I83" s="2" t="str">
        <f aca="false">CHOOSE(WEEKDAY(B83,2),"Senin","Selasa","Rabu","Kamis","Jumat","Sabtu","Minggu")</f>
        <v>Rabu</v>
      </c>
      <c r="J83" s="2" t="n">
        <f aca="false">HOUR(E83)</f>
        <v>11</v>
      </c>
      <c r="K83" s="2" t="str">
        <f aca="false">IF(J83&lt;11,"Pagi",IF(J83&lt;17,"Siang","Malam"))</f>
        <v>Siang</v>
      </c>
      <c r="L83" s="2" t="n">
        <f aca="false">IF(A83&lt;&gt;A82,1,0)</f>
        <v>1</v>
      </c>
    </row>
    <row r="84" customFormat="false" ht="15" hidden="false" customHeight="false" outlineLevel="0" collapsed="false">
      <c r="A84" s="2" t="s">
        <v>188</v>
      </c>
      <c r="B84" s="13" t="n">
        <v>46267</v>
      </c>
      <c r="C84" s="2" t="s">
        <v>92</v>
      </c>
      <c r="D84" s="2" t="n">
        <v>1</v>
      </c>
      <c r="E84" s="15" t="n">
        <v>0.517361111111111</v>
      </c>
      <c r="F84" s="7" t="n">
        <v>4000</v>
      </c>
      <c r="G84" s="7" t="n">
        <f aca="false">D84*F84</f>
        <v>4000</v>
      </c>
      <c r="H84" s="2" t="str">
        <f aca="false">INDEX(Daftar_Menu!$B$2:$B$13,MATCH(C84,Daftar_Menu!$A$2:$A$13,0))</f>
        <v>Minuman</v>
      </c>
      <c r="I84" s="2" t="str">
        <f aca="false">CHOOSE(WEEKDAY(B84,2),"Senin","Selasa","Rabu","Kamis","Jumat","Sabtu","Minggu")</f>
        <v>Rabu</v>
      </c>
      <c r="J84" s="2" t="n">
        <f aca="false">HOUR(E84)</f>
        <v>12</v>
      </c>
      <c r="K84" s="2" t="str">
        <f aca="false">IF(J84&lt;11,"Pagi",IF(J84&lt;17,"Siang","Malam"))</f>
        <v>Siang</v>
      </c>
      <c r="L84" s="2" t="n">
        <f aca="false">IF(A84&lt;&gt;A83,1,0)</f>
        <v>1</v>
      </c>
    </row>
    <row r="85" customFormat="false" ht="15" hidden="false" customHeight="false" outlineLevel="0" collapsed="false">
      <c r="A85" s="2" t="s">
        <v>190</v>
      </c>
      <c r="B85" s="13" t="n">
        <v>46267</v>
      </c>
      <c r="C85" s="2" t="s">
        <v>82</v>
      </c>
      <c r="D85" s="2" t="n">
        <v>3</v>
      </c>
      <c r="E85" s="15" t="n">
        <v>0.521527777777778</v>
      </c>
      <c r="F85" s="7" t="n">
        <v>13000</v>
      </c>
      <c r="G85" s="7" t="n">
        <f aca="false">D85*F85</f>
        <v>39000</v>
      </c>
      <c r="H85" s="2" t="str">
        <f aca="false">INDEX(Daftar_Menu!$B$2:$B$13,MATCH(C85,Daftar_Menu!$A$2:$A$13,0))</f>
        <v>Makanan</v>
      </c>
      <c r="I85" s="2" t="str">
        <f aca="false">CHOOSE(WEEKDAY(B85,2),"Senin","Selasa","Rabu","Kamis","Jumat","Sabtu","Minggu")</f>
        <v>Rabu</v>
      </c>
      <c r="J85" s="2" t="n">
        <f aca="false">HOUR(E85)</f>
        <v>12</v>
      </c>
      <c r="K85" s="2" t="str">
        <f aca="false">IF(J85&lt;11,"Pagi",IF(J85&lt;17,"Siang","Malam"))</f>
        <v>Siang</v>
      </c>
      <c r="L85" s="2" t="n">
        <f aca="false">IF(A85&lt;&gt;A84,1,0)</f>
        <v>1</v>
      </c>
    </row>
    <row r="86" customFormat="false" ht="15" hidden="false" customHeight="false" outlineLevel="0" collapsed="false">
      <c r="A86" s="2" t="s">
        <v>190</v>
      </c>
      <c r="B86" s="13" t="n">
        <v>46267</v>
      </c>
      <c r="C86" s="2" t="s">
        <v>112</v>
      </c>
      <c r="D86" s="2" t="n">
        <v>1</v>
      </c>
      <c r="E86" s="15" t="n">
        <v>0.521527777777778</v>
      </c>
      <c r="F86" s="7" t="n">
        <v>10000</v>
      </c>
      <c r="G86" s="7" t="n">
        <f aca="false">D86*F86</f>
        <v>10000</v>
      </c>
      <c r="H86" s="2" t="str">
        <f aca="false">INDEX(Daftar_Menu!$B$2:$B$13,MATCH(C86,Daftar_Menu!$A$2:$A$13,0))</f>
        <v>Minuman</v>
      </c>
      <c r="I86" s="2" t="str">
        <f aca="false">CHOOSE(WEEKDAY(B86,2),"Senin","Selasa","Rabu","Kamis","Jumat","Sabtu","Minggu")</f>
        <v>Rabu</v>
      </c>
      <c r="J86" s="2" t="n">
        <f aca="false">HOUR(E86)</f>
        <v>12</v>
      </c>
      <c r="K86" s="2" t="str">
        <f aca="false">IF(J86&lt;11,"Pagi",IF(J86&lt;17,"Siang","Malam"))</f>
        <v>Siang</v>
      </c>
      <c r="L86" s="2" t="n">
        <f aca="false">IF(A86&lt;&gt;A85,1,0)</f>
        <v>0</v>
      </c>
    </row>
    <row r="87" customFormat="false" ht="15" hidden="false" customHeight="false" outlineLevel="0" collapsed="false">
      <c r="A87" s="2" t="s">
        <v>192</v>
      </c>
      <c r="B87" s="13" t="n">
        <v>46267</v>
      </c>
      <c r="C87" s="2" t="s">
        <v>186</v>
      </c>
      <c r="D87" s="2" t="n">
        <v>2</v>
      </c>
      <c r="E87" s="15" t="n">
        <v>0.525694444444445</v>
      </c>
      <c r="F87" s="7" t="n">
        <v>7000</v>
      </c>
      <c r="G87" s="7" t="n">
        <f aca="false">D87*F87</f>
        <v>14000</v>
      </c>
      <c r="H87" s="2" t="str">
        <f aca="false">INDEX(Daftar_Menu!$B$2:$B$13,MATCH(C87,Daftar_Menu!$A$2:$A$13,0))</f>
        <v>Minuman</v>
      </c>
      <c r="I87" s="2" t="str">
        <f aca="false">CHOOSE(WEEKDAY(B87,2),"Senin","Selasa","Rabu","Kamis","Jumat","Sabtu","Minggu")</f>
        <v>Rabu</v>
      </c>
      <c r="J87" s="2" t="n">
        <f aca="false">HOUR(E87)</f>
        <v>12</v>
      </c>
      <c r="K87" s="2" t="str">
        <f aca="false">IF(J87&lt;11,"Pagi",IF(J87&lt;17,"Siang","Malam"))</f>
        <v>Siang</v>
      </c>
      <c r="L87" s="2" t="n">
        <f aca="false">IF(A87&lt;&gt;A86,1,0)</f>
        <v>1</v>
      </c>
    </row>
    <row r="88" customFormat="false" ht="15" hidden="false" customHeight="false" outlineLevel="0" collapsed="false">
      <c r="A88" s="2" t="s">
        <v>192</v>
      </c>
      <c r="B88" s="13" t="n">
        <v>46267</v>
      </c>
      <c r="C88" s="2" t="s">
        <v>126</v>
      </c>
      <c r="D88" s="2" t="n">
        <v>1</v>
      </c>
      <c r="E88" s="15" t="n">
        <v>0.525694444444445</v>
      </c>
      <c r="F88" s="7" t="n">
        <v>3000</v>
      </c>
      <c r="G88" s="7" t="n">
        <f aca="false">D88*F88</f>
        <v>3000</v>
      </c>
      <c r="H88" s="2" t="str">
        <f aca="false">INDEX(Daftar_Menu!$B$2:$B$13,MATCH(C88,Daftar_Menu!$A$2:$A$13,0))</f>
        <v>Minuman</v>
      </c>
      <c r="I88" s="2" t="str">
        <f aca="false">CHOOSE(WEEKDAY(B88,2),"Senin","Selasa","Rabu","Kamis","Jumat","Sabtu","Minggu")</f>
        <v>Rabu</v>
      </c>
      <c r="J88" s="2" t="n">
        <f aca="false">HOUR(E88)</f>
        <v>12</v>
      </c>
      <c r="K88" s="2" t="str">
        <f aca="false">IF(J88&lt;11,"Pagi",IF(J88&lt;17,"Siang","Malam"))</f>
        <v>Siang</v>
      </c>
      <c r="L88" s="2" t="n">
        <f aca="false">IF(A88&lt;&gt;A87,1,0)</f>
        <v>0</v>
      </c>
    </row>
    <row r="89" customFormat="false" ht="15" hidden="false" customHeight="false" outlineLevel="0" collapsed="false">
      <c r="A89" s="2" t="s">
        <v>194</v>
      </c>
      <c r="B89" s="13" t="n">
        <v>46267</v>
      </c>
      <c r="C89" s="2" t="s">
        <v>108</v>
      </c>
      <c r="D89" s="2" t="n">
        <v>1</v>
      </c>
      <c r="E89" s="15" t="n">
        <v>0.527083333333333</v>
      </c>
      <c r="F89" s="7" t="n">
        <v>20000</v>
      </c>
      <c r="G89" s="7" t="n">
        <f aca="false">D89*F89</f>
        <v>20000</v>
      </c>
      <c r="H89" s="2" t="str">
        <f aca="false">INDEX(Daftar_Menu!$B$2:$B$13,MATCH(C89,Daftar_Menu!$A$2:$A$13,0))</f>
        <v>Makanan</v>
      </c>
      <c r="I89" s="2" t="str">
        <f aca="false">CHOOSE(WEEKDAY(B89,2),"Senin","Selasa","Rabu","Kamis","Jumat","Sabtu","Minggu")</f>
        <v>Rabu</v>
      </c>
      <c r="J89" s="2" t="n">
        <f aca="false">HOUR(E89)</f>
        <v>12</v>
      </c>
      <c r="K89" s="2" t="str">
        <f aca="false">IF(J89&lt;11,"Pagi",IF(J89&lt;17,"Siang","Malam"))</f>
        <v>Siang</v>
      </c>
      <c r="L89" s="2" t="n">
        <f aca="false">IF(A89&lt;&gt;A88,1,0)</f>
        <v>1</v>
      </c>
    </row>
    <row r="90" customFormat="false" ht="15" hidden="false" customHeight="false" outlineLevel="0" collapsed="false">
      <c r="A90" s="2" t="s">
        <v>194</v>
      </c>
      <c r="B90" s="13" t="n">
        <v>46267</v>
      </c>
      <c r="C90" s="2" t="s">
        <v>81</v>
      </c>
      <c r="D90" s="2" t="n">
        <v>2</v>
      </c>
      <c r="E90" s="15" t="n">
        <v>0.527083333333333</v>
      </c>
      <c r="F90" s="7" t="n">
        <v>15000</v>
      </c>
      <c r="G90" s="7" t="n">
        <f aca="false">D90*F90</f>
        <v>30000</v>
      </c>
      <c r="H90" s="2" t="str">
        <f aca="false">INDEX(Daftar_Menu!$B$2:$B$13,MATCH(C90,Daftar_Menu!$A$2:$A$13,0))</f>
        <v>Makanan</v>
      </c>
      <c r="I90" s="2" t="str">
        <f aca="false">CHOOSE(WEEKDAY(B90,2),"Senin","Selasa","Rabu","Kamis","Jumat","Sabtu","Minggu")</f>
        <v>Rabu</v>
      </c>
      <c r="J90" s="2" t="n">
        <f aca="false">HOUR(E90)</f>
        <v>12</v>
      </c>
      <c r="K90" s="2" t="str">
        <f aca="false">IF(J90&lt;11,"Pagi",IF(J90&lt;17,"Siang","Malam"))</f>
        <v>Siang</v>
      </c>
      <c r="L90" s="2" t="n">
        <f aca="false">IF(A90&lt;&gt;A89,1,0)</f>
        <v>0</v>
      </c>
    </row>
    <row r="91" customFormat="false" ht="15" hidden="false" customHeight="false" outlineLevel="0" collapsed="false">
      <c r="A91" s="2" t="s">
        <v>194</v>
      </c>
      <c r="B91" s="13" t="n">
        <v>46267</v>
      </c>
      <c r="C91" s="2" t="s">
        <v>132</v>
      </c>
      <c r="D91" s="2" t="n">
        <v>1</v>
      </c>
      <c r="E91" s="15" t="n">
        <v>0.527083333333333</v>
      </c>
      <c r="F91" s="7" t="n">
        <v>15000</v>
      </c>
      <c r="G91" s="7" t="n">
        <f aca="false">D91*F91</f>
        <v>15000</v>
      </c>
      <c r="H91" s="2" t="str">
        <f aca="false">INDEX(Daftar_Menu!$B$2:$B$13,MATCH(C91,Daftar_Menu!$A$2:$A$13,0))</f>
        <v>Makanan</v>
      </c>
      <c r="I91" s="2" t="str">
        <f aca="false">CHOOSE(WEEKDAY(B91,2),"Senin","Selasa","Rabu","Kamis","Jumat","Sabtu","Minggu")</f>
        <v>Rabu</v>
      </c>
      <c r="J91" s="2" t="n">
        <f aca="false">HOUR(E91)</f>
        <v>12</v>
      </c>
      <c r="K91" s="2" t="str">
        <f aca="false">IF(J91&lt;11,"Pagi",IF(J91&lt;17,"Siang","Malam"))</f>
        <v>Siang</v>
      </c>
      <c r="L91" s="2" t="n">
        <f aca="false">IF(A91&lt;&gt;A90,1,0)</f>
        <v>0</v>
      </c>
    </row>
    <row r="92" customFormat="false" ht="15" hidden="false" customHeight="false" outlineLevel="0" collapsed="false">
      <c r="A92" s="2" t="s">
        <v>196</v>
      </c>
      <c r="B92" s="13" t="n">
        <v>46267</v>
      </c>
      <c r="C92" s="2" t="s">
        <v>101</v>
      </c>
      <c r="D92" s="2" t="n">
        <v>1</v>
      </c>
      <c r="E92" s="15" t="n">
        <v>0.538888888888889</v>
      </c>
      <c r="F92" s="7" t="n">
        <v>18000</v>
      </c>
      <c r="G92" s="7" t="n">
        <f aca="false">D92*F92</f>
        <v>18000</v>
      </c>
      <c r="H92" s="2" t="str">
        <f aca="false">INDEX(Daftar_Menu!$B$2:$B$13,MATCH(C92,Daftar_Menu!$A$2:$A$13,0))</f>
        <v>Makanan</v>
      </c>
      <c r="I92" s="2" t="str">
        <f aca="false">CHOOSE(WEEKDAY(B92,2),"Senin","Selasa","Rabu","Kamis","Jumat","Sabtu","Minggu")</f>
        <v>Rabu</v>
      </c>
      <c r="J92" s="2" t="n">
        <f aca="false">HOUR(E92)</f>
        <v>12</v>
      </c>
      <c r="K92" s="2" t="str">
        <f aca="false">IF(J92&lt;11,"Pagi",IF(J92&lt;17,"Siang","Malam"))</f>
        <v>Siang</v>
      </c>
      <c r="L92" s="2" t="n">
        <f aca="false">IF(A92&lt;&gt;A91,1,0)</f>
        <v>1</v>
      </c>
    </row>
    <row r="93" customFormat="false" ht="15" hidden="false" customHeight="false" outlineLevel="0" collapsed="false">
      <c r="A93" s="2" t="s">
        <v>198</v>
      </c>
      <c r="B93" s="13" t="n">
        <v>46267</v>
      </c>
      <c r="C93" s="2" t="s">
        <v>81</v>
      </c>
      <c r="D93" s="2" t="n">
        <v>1</v>
      </c>
      <c r="E93" s="15" t="n">
        <v>0.540972222222222</v>
      </c>
      <c r="F93" s="7" t="n">
        <v>15000</v>
      </c>
      <c r="G93" s="7" t="n">
        <f aca="false">D93*F93</f>
        <v>15000</v>
      </c>
      <c r="H93" s="2" t="str">
        <f aca="false">INDEX(Daftar_Menu!$B$2:$B$13,MATCH(C93,Daftar_Menu!$A$2:$A$13,0))</f>
        <v>Makanan</v>
      </c>
      <c r="I93" s="2" t="str">
        <f aca="false">CHOOSE(WEEKDAY(B93,2),"Senin","Selasa","Rabu","Kamis","Jumat","Sabtu","Minggu")</f>
        <v>Rabu</v>
      </c>
      <c r="J93" s="2" t="n">
        <f aca="false">HOUR(E93)</f>
        <v>12</v>
      </c>
      <c r="K93" s="2" t="str">
        <f aca="false">IF(J93&lt;11,"Pagi",IF(J93&lt;17,"Siang","Malam"))</f>
        <v>Siang</v>
      </c>
      <c r="L93" s="2" t="n">
        <f aca="false">IF(A93&lt;&gt;A92,1,0)</f>
        <v>1</v>
      </c>
    </row>
    <row r="94" customFormat="false" ht="15" hidden="false" customHeight="false" outlineLevel="0" collapsed="false">
      <c r="A94" s="2" t="s">
        <v>198</v>
      </c>
      <c r="B94" s="13" t="n">
        <v>46267</v>
      </c>
      <c r="C94" s="2" t="s">
        <v>132</v>
      </c>
      <c r="D94" s="2" t="n">
        <v>2</v>
      </c>
      <c r="E94" s="15" t="n">
        <v>0.540972222222222</v>
      </c>
      <c r="F94" s="7" t="n">
        <v>15000</v>
      </c>
      <c r="G94" s="7" t="n">
        <f aca="false">D94*F94</f>
        <v>30000</v>
      </c>
      <c r="H94" s="2" t="str">
        <f aca="false">INDEX(Daftar_Menu!$B$2:$B$13,MATCH(C94,Daftar_Menu!$A$2:$A$13,0))</f>
        <v>Makanan</v>
      </c>
      <c r="I94" s="2" t="str">
        <f aca="false">CHOOSE(WEEKDAY(B94,2),"Senin","Selasa","Rabu","Kamis","Jumat","Sabtu","Minggu")</f>
        <v>Rabu</v>
      </c>
      <c r="J94" s="2" t="n">
        <f aca="false">HOUR(E94)</f>
        <v>12</v>
      </c>
      <c r="K94" s="2" t="str">
        <f aca="false">IF(J94&lt;11,"Pagi",IF(J94&lt;17,"Siang","Malam"))</f>
        <v>Siang</v>
      </c>
      <c r="L94" s="2" t="n">
        <f aca="false">IF(A94&lt;&gt;A93,1,0)</f>
        <v>0</v>
      </c>
    </row>
    <row r="95" customFormat="false" ht="15" hidden="false" customHeight="false" outlineLevel="0" collapsed="false">
      <c r="A95" s="2" t="s">
        <v>200</v>
      </c>
      <c r="B95" s="13" t="n">
        <v>46267</v>
      </c>
      <c r="C95" s="2" t="s">
        <v>92</v>
      </c>
      <c r="D95" s="2" t="n">
        <v>1</v>
      </c>
      <c r="E95" s="15" t="n">
        <v>0.55</v>
      </c>
      <c r="F95" s="7" t="n">
        <v>4000</v>
      </c>
      <c r="G95" s="7" t="n">
        <f aca="false">D95*F95</f>
        <v>4000</v>
      </c>
      <c r="H95" s="2" t="str">
        <f aca="false">INDEX(Daftar_Menu!$B$2:$B$13,MATCH(C95,Daftar_Menu!$A$2:$A$13,0))</f>
        <v>Minuman</v>
      </c>
      <c r="I95" s="2" t="str">
        <f aca="false">CHOOSE(WEEKDAY(B95,2),"Senin","Selasa","Rabu","Kamis","Jumat","Sabtu","Minggu")</f>
        <v>Rabu</v>
      </c>
      <c r="J95" s="2" t="n">
        <f aca="false">HOUR(E95)</f>
        <v>13</v>
      </c>
      <c r="K95" s="2" t="str">
        <f aca="false">IF(J95&lt;11,"Pagi",IF(J95&lt;17,"Siang","Malam"))</f>
        <v>Siang</v>
      </c>
      <c r="L95" s="2" t="n">
        <f aca="false">IF(A95&lt;&gt;A94,1,0)</f>
        <v>1</v>
      </c>
    </row>
    <row r="96" customFormat="false" ht="15" hidden="false" customHeight="false" outlineLevel="0" collapsed="false">
      <c r="A96" s="2" t="s">
        <v>200</v>
      </c>
      <c r="B96" s="13" t="n">
        <v>46267</v>
      </c>
      <c r="C96" s="2" t="s">
        <v>84</v>
      </c>
      <c r="D96" s="2" t="n">
        <v>3</v>
      </c>
      <c r="E96" s="15" t="n">
        <v>0.55</v>
      </c>
      <c r="F96" s="7" t="n">
        <v>5000</v>
      </c>
      <c r="G96" s="7" t="n">
        <f aca="false">D96*F96</f>
        <v>15000</v>
      </c>
      <c r="H96" s="2" t="str">
        <f aca="false">INDEX(Daftar_Menu!$B$2:$B$13,MATCH(C96,Daftar_Menu!$A$2:$A$13,0))</f>
        <v>Minuman</v>
      </c>
      <c r="I96" s="2" t="str">
        <f aca="false">CHOOSE(WEEKDAY(B96,2),"Senin","Selasa","Rabu","Kamis","Jumat","Sabtu","Minggu")</f>
        <v>Rabu</v>
      </c>
      <c r="J96" s="2" t="n">
        <f aca="false">HOUR(E96)</f>
        <v>13</v>
      </c>
      <c r="K96" s="2" t="str">
        <f aca="false">IF(J96&lt;11,"Pagi",IF(J96&lt;17,"Siang","Malam"))</f>
        <v>Siang</v>
      </c>
      <c r="L96" s="2" t="n">
        <f aca="false">IF(A96&lt;&gt;A95,1,0)</f>
        <v>0</v>
      </c>
    </row>
    <row r="97" customFormat="false" ht="15" hidden="false" customHeight="false" outlineLevel="0" collapsed="false">
      <c r="A97" s="2" t="s">
        <v>200</v>
      </c>
      <c r="B97" s="13" t="n">
        <v>46267</v>
      </c>
      <c r="C97" s="2" t="s">
        <v>108</v>
      </c>
      <c r="D97" s="2" t="n">
        <v>1</v>
      </c>
      <c r="E97" s="15" t="n">
        <v>0.55</v>
      </c>
      <c r="F97" s="7" t="n">
        <v>20000</v>
      </c>
      <c r="G97" s="7" t="n">
        <f aca="false">D97*F97</f>
        <v>20000</v>
      </c>
      <c r="H97" s="2" t="str">
        <f aca="false">INDEX(Daftar_Menu!$B$2:$B$13,MATCH(C97,Daftar_Menu!$A$2:$A$13,0))</f>
        <v>Makanan</v>
      </c>
      <c r="I97" s="2" t="str">
        <f aca="false">CHOOSE(WEEKDAY(B97,2),"Senin","Selasa","Rabu","Kamis","Jumat","Sabtu","Minggu")</f>
        <v>Rabu</v>
      </c>
      <c r="J97" s="2" t="n">
        <f aca="false">HOUR(E97)</f>
        <v>13</v>
      </c>
      <c r="K97" s="2" t="str">
        <f aca="false">IF(J97&lt;11,"Pagi",IF(J97&lt;17,"Siang","Malam"))</f>
        <v>Siang</v>
      </c>
      <c r="L97" s="2" t="n">
        <f aca="false">IF(A97&lt;&gt;A96,1,0)</f>
        <v>0</v>
      </c>
    </row>
    <row r="98" customFormat="false" ht="15" hidden="false" customHeight="false" outlineLevel="0" collapsed="false">
      <c r="A98" s="2" t="s">
        <v>202</v>
      </c>
      <c r="B98" s="13" t="n">
        <v>46267</v>
      </c>
      <c r="C98" s="2" t="s">
        <v>84</v>
      </c>
      <c r="D98" s="2" t="n">
        <v>1</v>
      </c>
      <c r="E98" s="15" t="n">
        <v>0.554166666666667</v>
      </c>
      <c r="F98" s="7" t="n">
        <v>5000</v>
      </c>
      <c r="G98" s="7" t="n">
        <f aca="false">D98*F98</f>
        <v>5000</v>
      </c>
      <c r="H98" s="2" t="str">
        <f aca="false">INDEX(Daftar_Menu!$B$2:$B$13,MATCH(C98,Daftar_Menu!$A$2:$A$13,0))</f>
        <v>Minuman</v>
      </c>
      <c r="I98" s="2" t="str">
        <f aca="false">CHOOSE(WEEKDAY(B98,2),"Senin","Selasa","Rabu","Kamis","Jumat","Sabtu","Minggu")</f>
        <v>Rabu</v>
      </c>
      <c r="J98" s="2" t="n">
        <f aca="false">HOUR(E98)</f>
        <v>13</v>
      </c>
      <c r="K98" s="2" t="str">
        <f aca="false">IF(J98&lt;11,"Pagi",IF(J98&lt;17,"Siang","Malam"))</f>
        <v>Siang</v>
      </c>
      <c r="L98" s="2" t="n">
        <f aca="false">IF(A98&lt;&gt;A97,1,0)</f>
        <v>1</v>
      </c>
    </row>
    <row r="99" customFormat="false" ht="15" hidden="false" customHeight="false" outlineLevel="0" collapsed="false">
      <c r="A99" s="2" t="s">
        <v>202</v>
      </c>
      <c r="B99" s="13" t="n">
        <v>46267</v>
      </c>
      <c r="C99" s="2" t="s">
        <v>132</v>
      </c>
      <c r="D99" s="2" t="n">
        <v>3</v>
      </c>
      <c r="E99" s="15" t="n">
        <v>0.554166666666667</v>
      </c>
      <c r="F99" s="7" t="n">
        <v>15000</v>
      </c>
      <c r="G99" s="7" t="n">
        <f aca="false">D99*F99</f>
        <v>45000</v>
      </c>
      <c r="H99" s="2" t="str">
        <f aca="false">INDEX(Daftar_Menu!$B$2:$B$13,MATCH(C99,Daftar_Menu!$A$2:$A$13,0))</f>
        <v>Makanan</v>
      </c>
      <c r="I99" s="2" t="str">
        <f aca="false">CHOOSE(WEEKDAY(B99,2),"Senin","Selasa","Rabu","Kamis","Jumat","Sabtu","Minggu")</f>
        <v>Rabu</v>
      </c>
      <c r="J99" s="2" t="n">
        <f aca="false">HOUR(E99)</f>
        <v>13</v>
      </c>
      <c r="K99" s="2" t="str">
        <f aca="false">IF(J99&lt;11,"Pagi",IF(J99&lt;17,"Siang","Malam"))</f>
        <v>Siang</v>
      </c>
      <c r="L99" s="2" t="n">
        <f aca="false">IF(A99&lt;&gt;A98,1,0)</f>
        <v>0</v>
      </c>
    </row>
    <row r="100" customFormat="false" ht="15" hidden="false" customHeight="false" outlineLevel="0" collapsed="false">
      <c r="A100" s="2" t="s">
        <v>205</v>
      </c>
      <c r="B100" s="13" t="n">
        <v>46267</v>
      </c>
      <c r="C100" s="2" t="s">
        <v>108</v>
      </c>
      <c r="D100" s="2" t="n">
        <v>1</v>
      </c>
      <c r="E100" s="15" t="n">
        <v>0.565277777777778</v>
      </c>
      <c r="F100" s="7" t="n">
        <v>20000</v>
      </c>
      <c r="G100" s="7" t="n">
        <f aca="false">D100*F100</f>
        <v>20000</v>
      </c>
      <c r="H100" s="2" t="str">
        <f aca="false">INDEX(Daftar_Menu!$B$2:$B$13,MATCH(C100,Daftar_Menu!$A$2:$A$13,0))</f>
        <v>Makanan</v>
      </c>
      <c r="I100" s="2" t="str">
        <f aca="false">CHOOSE(WEEKDAY(B100,2),"Senin","Selasa","Rabu","Kamis","Jumat","Sabtu","Minggu")</f>
        <v>Rabu</v>
      </c>
      <c r="J100" s="2" t="n">
        <f aca="false">HOUR(E100)</f>
        <v>13</v>
      </c>
      <c r="K100" s="2" t="str">
        <f aca="false">IF(J100&lt;11,"Pagi",IF(J100&lt;17,"Siang","Malam"))</f>
        <v>Siang</v>
      </c>
      <c r="L100" s="2" t="n">
        <f aca="false">IF(A100&lt;&gt;A99,1,0)</f>
        <v>1</v>
      </c>
    </row>
    <row r="101" customFormat="false" ht="15" hidden="false" customHeight="false" outlineLevel="0" collapsed="false">
      <c r="A101" s="2" t="s">
        <v>207</v>
      </c>
      <c r="B101" s="13" t="n">
        <v>46267</v>
      </c>
      <c r="C101" s="2" t="s">
        <v>81</v>
      </c>
      <c r="D101" s="2" t="n">
        <v>1</v>
      </c>
      <c r="E101" s="15" t="n">
        <v>0.604166666666667</v>
      </c>
      <c r="F101" s="7" t="n">
        <v>15000</v>
      </c>
      <c r="G101" s="7" t="n">
        <f aca="false">D101*F101</f>
        <v>15000</v>
      </c>
      <c r="H101" s="2" t="str">
        <f aca="false">INDEX(Daftar_Menu!$B$2:$B$13,MATCH(C101,Daftar_Menu!$A$2:$A$13,0))</f>
        <v>Makanan</v>
      </c>
      <c r="I101" s="2" t="str">
        <f aca="false">CHOOSE(WEEKDAY(B101,2),"Senin","Selasa","Rabu","Kamis","Jumat","Sabtu","Minggu")</f>
        <v>Rabu</v>
      </c>
      <c r="J101" s="2" t="n">
        <f aca="false">HOUR(E101)</f>
        <v>14</v>
      </c>
      <c r="K101" s="2" t="str">
        <f aca="false">IF(J101&lt;11,"Pagi",IF(J101&lt;17,"Siang","Malam"))</f>
        <v>Siang</v>
      </c>
      <c r="L101" s="2" t="n">
        <f aca="false">IF(A101&lt;&gt;A100,1,0)</f>
        <v>1</v>
      </c>
    </row>
    <row r="102" customFormat="false" ht="15" hidden="false" customHeight="false" outlineLevel="0" collapsed="false">
      <c r="A102" s="2" t="s">
        <v>207</v>
      </c>
      <c r="B102" s="13" t="n">
        <v>46267</v>
      </c>
      <c r="C102" s="2" t="s">
        <v>132</v>
      </c>
      <c r="D102" s="2" t="n">
        <v>1</v>
      </c>
      <c r="E102" s="15" t="n">
        <v>0.604166666666667</v>
      </c>
      <c r="F102" s="7" t="n">
        <v>15000</v>
      </c>
      <c r="G102" s="7" t="n">
        <f aca="false">D102*F102</f>
        <v>15000</v>
      </c>
      <c r="H102" s="2" t="str">
        <f aca="false">INDEX(Daftar_Menu!$B$2:$B$13,MATCH(C102,Daftar_Menu!$A$2:$A$13,0))</f>
        <v>Makanan</v>
      </c>
      <c r="I102" s="2" t="str">
        <f aca="false">CHOOSE(WEEKDAY(B102,2),"Senin","Selasa","Rabu","Kamis","Jumat","Sabtu","Minggu")</f>
        <v>Rabu</v>
      </c>
      <c r="J102" s="2" t="n">
        <f aca="false">HOUR(E102)</f>
        <v>14</v>
      </c>
      <c r="K102" s="2" t="str">
        <f aca="false">IF(J102&lt;11,"Pagi",IF(J102&lt;17,"Siang","Malam"))</f>
        <v>Siang</v>
      </c>
      <c r="L102" s="2" t="n">
        <f aca="false">IF(A102&lt;&gt;A101,1,0)</f>
        <v>0</v>
      </c>
    </row>
    <row r="103" customFormat="false" ht="15" hidden="false" customHeight="false" outlineLevel="0" collapsed="false">
      <c r="A103" s="2" t="s">
        <v>209</v>
      </c>
      <c r="B103" s="13" t="n">
        <v>46267</v>
      </c>
      <c r="C103" s="2" t="s">
        <v>84</v>
      </c>
      <c r="D103" s="2" t="n">
        <v>1</v>
      </c>
      <c r="E103" s="15" t="n">
        <v>0.604166666666667</v>
      </c>
      <c r="F103" s="7" t="n">
        <v>5000</v>
      </c>
      <c r="G103" s="7" t="n">
        <f aca="false">D103*F103</f>
        <v>5000</v>
      </c>
      <c r="H103" s="2" t="str">
        <f aca="false">INDEX(Daftar_Menu!$B$2:$B$13,MATCH(C103,Daftar_Menu!$A$2:$A$13,0))</f>
        <v>Minuman</v>
      </c>
      <c r="I103" s="2" t="str">
        <f aca="false">CHOOSE(WEEKDAY(B103,2),"Senin","Selasa","Rabu","Kamis","Jumat","Sabtu","Minggu")</f>
        <v>Rabu</v>
      </c>
      <c r="J103" s="2" t="n">
        <f aca="false">HOUR(E103)</f>
        <v>14</v>
      </c>
      <c r="K103" s="2" t="str">
        <f aca="false">IF(J103&lt;11,"Pagi",IF(J103&lt;17,"Siang","Malam"))</f>
        <v>Siang</v>
      </c>
      <c r="L103" s="2" t="n">
        <f aca="false">IF(A103&lt;&gt;A102,1,0)</f>
        <v>1</v>
      </c>
    </row>
    <row r="104" customFormat="false" ht="15" hidden="false" customHeight="false" outlineLevel="0" collapsed="false">
      <c r="A104" s="2" t="s">
        <v>209</v>
      </c>
      <c r="B104" s="13" t="n">
        <v>46267</v>
      </c>
      <c r="C104" s="2" t="s">
        <v>101</v>
      </c>
      <c r="D104" s="2" t="n">
        <v>2</v>
      </c>
      <c r="E104" s="15" t="n">
        <v>0.604166666666667</v>
      </c>
      <c r="F104" s="7" t="n">
        <v>18000</v>
      </c>
      <c r="G104" s="7" t="n">
        <f aca="false">D104*F104</f>
        <v>36000</v>
      </c>
      <c r="H104" s="2" t="str">
        <f aca="false">INDEX(Daftar_Menu!$B$2:$B$13,MATCH(C104,Daftar_Menu!$A$2:$A$13,0))</f>
        <v>Makanan</v>
      </c>
      <c r="I104" s="2" t="str">
        <f aca="false">CHOOSE(WEEKDAY(B104,2),"Senin","Selasa","Rabu","Kamis","Jumat","Sabtu","Minggu")</f>
        <v>Rabu</v>
      </c>
      <c r="J104" s="2" t="n">
        <f aca="false">HOUR(E104)</f>
        <v>14</v>
      </c>
      <c r="K104" s="2" t="str">
        <f aca="false">IF(J104&lt;11,"Pagi",IF(J104&lt;17,"Siang","Malam"))</f>
        <v>Siang</v>
      </c>
      <c r="L104" s="2" t="n">
        <f aca="false">IF(A104&lt;&gt;A103,1,0)</f>
        <v>0</v>
      </c>
    </row>
    <row r="105" customFormat="false" ht="15" hidden="false" customHeight="false" outlineLevel="0" collapsed="false">
      <c r="A105" s="2" t="s">
        <v>209</v>
      </c>
      <c r="B105" s="13" t="n">
        <v>46267</v>
      </c>
      <c r="C105" s="2" t="s">
        <v>92</v>
      </c>
      <c r="D105" s="2" t="n">
        <v>1</v>
      </c>
      <c r="E105" s="15" t="n">
        <v>0.604166666666667</v>
      </c>
      <c r="F105" s="7" t="n">
        <v>4000</v>
      </c>
      <c r="G105" s="7" t="n">
        <f aca="false">D105*F105</f>
        <v>4000</v>
      </c>
      <c r="H105" s="2" t="str">
        <f aca="false">INDEX(Daftar_Menu!$B$2:$B$13,MATCH(C105,Daftar_Menu!$A$2:$A$13,0))</f>
        <v>Minuman</v>
      </c>
      <c r="I105" s="2" t="str">
        <f aca="false">CHOOSE(WEEKDAY(B105,2),"Senin","Selasa","Rabu","Kamis","Jumat","Sabtu","Minggu")</f>
        <v>Rabu</v>
      </c>
      <c r="J105" s="2" t="n">
        <f aca="false">HOUR(E105)</f>
        <v>14</v>
      </c>
      <c r="K105" s="2" t="str">
        <f aca="false">IF(J105&lt;11,"Pagi",IF(J105&lt;17,"Siang","Malam"))</f>
        <v>Siang</v>
      </c>
      <c r="L105" s="2" t="n">
        <f aca="false">IF(A105&lt;&gt;A104,1,0)</f>
        <v>0</v>
      </c>
    </row>
    <row r="106" customFormat="false" ht="15" hidden="false" customHeight="false" outlineLevel="0" collapsed="false">
      <c r="A106" s="2" t="s">
        <v>210</v>
      </c>
      <c r="B106" s="13" t="n">
        <v>46267</v>
      </c>
      <c r="C106" s="2" t="s">
        <v>92</v>
      </c>
      <c r="D106" s="2" t="n">
        <v>1</v>
      </c>
      <c r="E106" s="15" t="n">
        <v>0.605555555555556</v>
      </c>
      <c r="F106" s="7" t="n">
        <v>4000</v>
      </c>
      <c r="G106" s="7" t="n">
        <f aca="false">D106*F106</f>
        <v>4000</v>
      </c>
      <c r="H106" s="2" t="str">
        <f aca="false">INDEX(Daftar_Menu!$B$2:$B$13,MATCH(C106,Daftar_Menu!$A$2:$A$13,0))</f>
        <v>Minuman</v>
      </c>
      <c r="I106" s="2" t="str">
        <f aca="false">CHOOSE(WEEKDAY(B106,2),"Senin","Selasa","Rabu","Kamis","Jumat","Sabtu","Minggu")</f>
        <v>Rabu</v>
      </c>
      <c r="J106" s="2" t="n">
        <f aca="false">HOUR(E106)</f>
        <v>14</v>
      </c>
      <c r="K106" s="2" t="str">
        <f aca="false">IF(J106&lt;11,"Pagi",IF(J106&lt;17,"Siang","Malam"))</f>
        <v>Siang</v>
      </c>
      <c r="L106" s="2" t="n">
        <f aca="false">IF(A106&lt;&gt;A105,1,0)</f>
        <v>1</v>
      </c>
    </row>
    <row r="107" customFormat="false" ht="15" hidden="false" customHeight="false" outlineLevel="0" collapsed="false">
      <c r="A107" s="2" t="s">
        <v>210</v>
      </c>
      <c r="B107" s="13" t="n">
        <v>46267</v>
      </c>
      <c r="C107" s="2" t="s">
        <v>112</v>
      </c>
      <c r="D107" s="2" t="n">
        <v>1</v>
      </c>
      <c r="E107" s="15" t="n">
        <v>0.605555555555556</v>
      </c>
      <c r="F107" s="7" t="n">
        <v>10000</v>
      </c>
      <c r="G107" s="7" t="n">
        <f aca="false">D107*F107</f>
        <v>10000</v>
      </c>
      <c r="H107" s="2" t="str">
        <f aca="false">INDEX(Daftar_Menu!$B$2:$B$13,MATCH(C107,Daftar_Menu!$A$2:$A$13,0))</f>
        <v>Minuman</v>
      </c>
      <c r="I107" s="2" t="str">
        <f aca="false">CHOOSE(WEEKDAY(B107,2),"Senin","Selasa","Rabu","Kamis","Jumat","Sabtu","Minggu")</f>
        <v>Rabu</v>
      </c>
      <c r="J107" s="2" t="n">
        <f aca="false">HOUR(E107)</f>
        <v>14</v>
      </c>
      <c r="K107" s="2" t="str">
        <f aca="false">IF(J107&lt;11,"Pagi",IF(J107&lt;17,"Siang","Malam"))</f>
        <v>Siang</v>
      </c>
      <c r="L107" s="2" t="n">
        <f aca="false">IF(A107&lt;&gt;A106,1,0)</f>
        <v>0</v>
      </c>
    </row>
    <row r="108" customFormat="false" ht="15" hidden="false" customHeight="false" outlineLevel="0" collapsed="false">
      <c r="A108" s="2" t="s">
        <v>212</v>
      </c>
      <c r="B108" s="13" t="n">
        <v>46267</v>
      </c>
      <c r="C108" s="2" t="s">
        <v>126</v>
      </c>
      <c r="D108" s="2" t="n">
        <v>1</v>
      </c>
      <c r="E108" s="15" t="n">
        <v>0.615277777777778</v>
      </c>
      <c r="F108" s="7" t="n">
        <v>3000</v>
      </c>
      <c r="G108" s="7" t="n">
        <f aca="false">D108*F108</f>
        <v>3000</v>
      </c>
      <c r="H108" s="2" t="str">
        <f aca="false">INDEX(Daftar_Menu!$B$2:$B$13,MATCH(C108,Daftar_Menu!$A$2:$A$13,0))</f>
        <v>Minuman</v>
      </c>
      <c r="I108" s="2" t="str">
        <f aca="false">CHOOSE(WEEKDAY(B108,2),"Senin","Selasa","Rabu","Kamis","Jumat","Sabtu","Minggu")</f>
        <v>Rabu</v>
      </c>
      <c r="J108" s="2" t="n">
        <f aca="false">HOUR(E108)</f>
        <v>14</v>
      </c>
      <c r="K108" s="2" t="str">
        <f aca="false">IF(J108&lt;11,"Pagi",IF(J108&lt;17,"Siang","Malam"))</f>
        <v>Siang</v>
      </c>
      <c r="L108" s="2" t="n">
        <f aca="false">IF(A108&lt;&gt;A107,1,0)</f>
        <v>1</v>
      </c>
    </row>
    <row r="109" customFormat="false" ht="15" hidden="false" customHeight="false" outlineLevel="0" collapsed="false">
      <c r="A109" s="2" t="s">
        <v>214</v>
      </c>
      <c r="B109" s="13" t="n">
        <v>46267</v>
      </c>
      <c r="C109" s="2" t="s">
        <v>101</v>
      </c>
      <c r="D109" s="2" t="n">
        <v>1</v>
      </c>
      <c r="E109" s="15" t="n">
        <v>0.61875</v>
      </c>
      <c r="F109" s="7" t="n">
        <v>18000</v>
      </c>
      <c r="G109" s="7" t="n">
        <f aca="false">D109*F109</f>
        <v>18000</v>
      </c>
      <c r="H109" s="2" t="str">
        <f aca="false">INDEX(Daftar_Menu!$B$2:$B$13,MATCH(C109,Daftar_Menu!$A$2:$A$13,0))</f>
        <v>Makanan</v>
      </c>
      <c r="I109" s="2" t="str">
        <f aca="false">CHOOSE(WEEKDAY(B109,2),"Senin","Selasa","Rabu","Kamis","Jumat","Sabtu","Minggu")</f>
        <v>Rabu</v>
      </c>
      <c r="J109" s="2" t="n">
        <f aca="false">HOUR(E109)</f>
        <v>14</v>
      </c>
      <c r="K109" s="2" t="str">
        <f aca="false">IF(J109&lt;11,"Pagi",IF(J109&lt;17,"Siang","Malam"))</f>
        <v>Siang</v>
      </c>
      <c r="L109" s="2" t="n">
        <f aca="false">IF(A109&lt;&gt;A108,1,0)</f>
        <v>1</v>
      </c>
    </row>
    <row r="110" customFormat="false" ht="15" hidden="false" customHeight="false" outlineLevel="0" collapsed="false">
      <c r="A110" s="2" t="s">
        <v>216</v>
      </c>
      <c r="B110" s="13" t="n">
        <v>46267</v>
      </c>
      <c r="C110" s="2" t="s">
        <v>112</v>
      </c>
      <c r="D110" s="2" t="n">
        <v>1</v>
      </c>
      <c r="E110" s="15" t="n">
        <v>0.623611111111111</v>
      </c>
      <c r="F110" s="7" t="n">
        <v>10000</v>
      </c>
      <c r="G110" s="7" t="n">
        <f aca="false">D110*F110</f>
        <v>10000</v>
      </c>
      <c r="H110" s="2" t="str">
        <f aca="false">INDEX(Daftar_Menu!$B$2:$B$13,MATCH(C110,Daftar_Menu!$A$2:$A$13,0))</f>
        <v>Minuman</v>
      </c>
      <c r="I110" s="2" t="str">
        <f aca="false">CHOOSE(WEEKDAY(B110,2),"Senin","Selasa","Rabu","Kamis","Jumat","Sabtu","Minggu")</f>
        <v>Rabu</v>
      </c>
      <c r="J110" s="2" t="n">
        <f aca="false">HOUR(E110)</f>
        <v>14</v>
      </c>
      <c r="K110" s="2" t="str">
        <f aca="false">IF(J110&lt;11,"Pagi",IF(J110&lt;17,"Siang","Malam"))</f>
        <v>Siang</v>
      </c>
      <c r="L110" s="2" t="n">
        <f aca="false">IF(A110&lt;&gt;A109,1,0)</f>
        <v>1</v>
      </c>
    </row>
    <row r="111" customFormat="false" ht="15" hidden="false" customHeight="false" outlineLevel="0" collapsed="false">
      <c r="A111" s="2" t="s">
        <v>217</v>
      </c>
      <c r="B111" s="13" t="n">
        <v>46267</v>
      </c>
      <c r="C111" s="2" t="s">
        <v>81</v>
      </c>
      <c r="D111" s="2" t="n">
        <v>1</v>
      </c>
      <c r="E111" s="15" t="n">
        <v>0.653472222222222</v>
      </c>
      <c r="F111" s="7" t="n">
        <v>15000</v>
      </c>
      <c r="G111" s="7" t="n">
        <f aca="false">D111*F111</f>
        <v>15000</v>
      </c>
      <c r="H111" s="2" t="str">
        <f aca="false">INDEX(Daftar_Menu!$B$2:$B$13,MATCH(C111,Daftar_Menu!$A$2:$A$13,0))</f>
        <v>Makanan</v>
      </c>
      <c r="I111" s="2" t="str">
        <f aca="false">CHOOSE(WEEKDAY(B111,2),"Senin","Selasa","Rabu","Kamis","Jumat","Sabtu","Minggu")</f>
        <v>Rabu</v>
      </c>
      <c r="J111" s="2" t="n">
        <f aca="false">HOUR(E111)</f>
        <v>15</v>
      </c>
      <c r="K111" s="2" t="str">
        <f aca="false">IF(J111&lt;11,"Pagi",IF(J111&lt;17,"Siang","Malam"))</f>
        <v>Siang</v>
      </c>
      <c r="L111" s="2" t="n">
        <f aca="false">IF(A111&lt;&gt;A110,1,0)</f>
        <v>1</v>
      </c>
    </row>
    <row r="112" customFormat="false" ht="15" hidden="false" customHeight="false" outlineLevel="0" collapsed="false">
      <c r="A112" s="2" t="s">
        <v>219</v>
      </c>
      <c r="B112" s="13" t="n">
        <v>46267</v>
      </c>
      <c r="C112" s="2" t="s">
        <v>81</v>
      </c>
      <c r="D112" s="2" t="n">
        <v>1</v>
      </c>
      <c r="E112" s="15" t="n">
        <v>0.709722222222222</v>
      </c>
      <c r="F112" s="7" t="n">
        <v>15000</v>
      </c>
      <c r="G112" s="7" t="n">
        <f aca="false">D112*F112</f>
        <v>15000</v>
      </c>
      <c r="H112" s="2" t="str">
        <f aca="false">INDEX(Daftar_Menu!$B$2:$B$13,MATCH(C112,Daftar_Menu!$A$2:$A$13,0))</f>
        <v>Makanan</v>
      </c>
      <c r="I112" s="2" t="str">
        <f aca="false">CHOOSE(WEEKDAY(B112,2),"Senin","Selasa","Rabu","Kamis","Jumat","Sabtu","Minggu")</f>
        <v>Rabu</v>
      </c>
      <c r="J112" s="2" t="n">
        <f aca="false">HOUR(E112)</f>
        <v>17</v>
      </c>
      <c r="K112" s="2" t="str">
        <f aca="false">IF(J112&lt;11,"Pagi",IF(J112&lt;17,"Siang","Malam"))</f>
        <v>Malam</v>
      </c>
      <c r="L112" s="2" t="n">
        <f aca="false">IF(A112&lt;&gt;A111,1,0)</f>
        <v>1</v>
      </c>
    </row>
    <row r="113" customFormat="false" ht="15" hidden="false" customHeight="false" outlineLevel="0" collapsed="false">
      <c r="A113" s="2" t="s">
        <v>221</v>
      </c>
      <c r="B113" s="13" t="n">
        <v>46267</v>
      </c>
      <c r="C113" s="2" t="s">
        <v>108</v>
      </c>
      <c r="D113" s="2" t="n">
        <v>1</v>
      </c>
      <c r="E113" s="15" t="n">
        <v>0.716666666666667</v>
      </c>
      <c r="F113" s="7" t="n">
        <v>20000</v>
      </c>
      <c r="G113" s="7" t="n">
        <f aca="false">D113*F113</f>
        <v>20000</v>
      </c>
      <c r="H113" s="2" t="str">
        <f aca="false">INDEX(Daftar_Menu!$B$2:$B$13,MATCH(C113,Daftar_Menu!$A$2:$A$13,0))</f>
        <v>Makanan</v>
      </c>
      <c r="I113" s="2" t="str">
        <f aca="false">CHOOSE(WEEKDAY(B113,2),"Senin","Selasa","Rabu","Kamis","Jumat","Sabtu","Minggu")</f>
        <v>Rabu</v>
      </c>
      <c r="J113" s="2" t="n">
        <f aca="false">HOUR(E113)</f>
        <v>17</v>
      </c>
      <c r="K113" s="2" t="str">
        <f aca="false">IF(J113&lt;11,"Pagi",IF(J113&lt;17,"Siang","Malam"))</f>
        <v>Malam</v>
      </c>
      <c r="L113" s="2" t="n">
        <f aca="false">IF(A113&lt;&gt;A112,1,0)</f>
        <v>1</v>
      </c>
    </row>
    <row r="114" customFormat="false" ht="15" hidden="false" customHeight="false" outlineLevel="0" collapsed="false">
      <c r="A114" s="2" t="s">
        <v>221</v>
      </c>
      <c r="B114" s="13" t="n">
        <v>46267</v>
      </c>
      <c r="C114" s="2" t="s">
        <v>82</v>
      </c>
      <c r="D114" s="2" t="n">
        <v>2</v>
      </c>
      <c r="E114" s="15" t="n">
        <v>0.716666666666667</v>
      </c>
      <c r="F114" s="7" t="n">
        <v>13000</v>
      </c>
      <c r="G114" s="7" t="n">
        <f aca="false">D114*F114</f>
        <v>26000</v>
      </c>
      <c r="H114" s="2" t="str">
        <f aca="false">INDEX(Daftar_Menu!$B$2:$B$13,MATCH(C114,Daftar_Menu!$A$2:$A$13,0))</f>
        <v>Makanan</v>
      </c>
      <c r="I114" s="2" t="str">
        <f aca="false">CHOOSE(WEEKDAY(B114,2),"Senin","Selasa","Rabu","Kamis","Jumat","Sabtu","Minggu")</f>
        <v>Rabu</v>
      </c>
      <c r="J114" s="2" t="n">
        <f aca="false">HOUR(E114)</f>
        <v>17</v>
      </c>
      <c r="K114" s="2" t="str">
        <f aca="false">IF(J114&lt;11,"Pagi",IF(J114&lt;17,"Siang","Malam"))</f>
        <v>Malam</v>
      </c>
      <c r="L114" s="2" t="n">
        <f aca="false">IF(A114&lt;&gt;A113,1,0)</f>
        <v>0</v>
      </c>
    </row>
    <row r="115" customFormat="false" ht="15" hidden="false" customHeight="false" outlineLevel="0" collapsed="false">
      <c r="A115" s="2" t="s">
        <v>223</v>
      </c>
      <c r="B115" s="13" t="n">
        <v>46267</v>
      </c>
      <c r="C115" s="2" t="s">
        <v>112</v>
      </c>
      <c r="D115" s="2" t="n">
        <v>1</v>
      </c>
      <c r="E115" s="15" t="n">
        <v>0.721527777777778</v>
      </c>
      <c r="F115" s="7" t="n">
        <v>10000</v>
      </c>
      <c r="G115" s="7" t="n">
        <f aca="false">D115*F115</f>
        <v>10000</v>
      </c>
      <c r="H115" s="2" t="str">
        <f aca="false">INDEX(Daftar_Menu!$B$2:$B$13,MATCH(C115,Daftar_Menu!$A$2:$A$13,0))</f>
        <v>Minuman</v>
      </c>
      <c r="I115" s="2" t="str">
        <f aca="false">CHOOSE(WEEKDAY(B115,2),"Senin","Selasa","Rabu","Kamis","Jumat","Sabtu","Minggu")</f>
        <v>Rabu</v>
      </c>
      <c r="J115" s="2" t="n">
        <f aca="false">HOUR(E115)</f>
        <v>17</v>
      </c>
      <c r="K115" s="2" t="str">
        <f aca="false">IF(J115&lt;11,"Pagi",IF(J115&lt;17,"Siang","Malam"))</f>
        <v>Malam</v>
      </c>
      <c r="L115" s="2" t="n">
        <f aca="false">IF(A115&lt;&gt;A114,1,0)</f>
        <v>1</v>
      </c>
    </row>
    <row r="116" customFormat="false" ht="15" hidden="false" customHeight="false" outlineLevel="0" collapsed="false">
      <c r="A116" s="2" t="s">
        <v>225</v>
      </c>
      <c r="B116" s="13" t="n">
        <v>46267</v>
      </c>
      <c r="C116" s="2" t="s">
        <v>79</v>
      </c>
      <c r="D116" s="2" t="n">
        <v>2</v>
      </c>
      <c r="E116" s="15" t="n">
        <v>0.733333333333333</v>
      </c>
      <c r="F116" s="7" t="n">
        <v>16000</v>
      </c>
      <c r="G116" s="7" t="n">
        <f aca="false">D116*F116</f>
        <v>32000</v>
      </c>
      <c r="H116" s="2" t="str">
        <f aca="false">INDEX(Daftar_Menu!$B$2:$B$13,MATCH(C116,Daftar_Menu!$A$2:$A$13,0))</f>
        <v>Makanan</v>
      </c>
      <c r="I116" s="2" t="str">
        <f aca="false">CHOOSE(WEEKDAY(B116,2),"Senin","Selasa","Rabu","Kamis","Jumat","Sabtu","Minggu")</f>
        <v>Rabu</v>
      </c>
      <c r="J116" s="2" t="n">
        <f aca="false">HOUR(E116)</f>
        <v>17</v>
      </c>
      <c r="K116" s="2" t="str">
        <f aca="false">IF(J116&lt;11,"Pagi",IF(J116&lt;17,"Siang","Malam"))</f>
        <v>Malam</v>
      </c>
      <c r="L116" s="2" t="n">
        <f aca="false">IF(A116&lt;&gt;A115,1,0)</f>
        <v>1</v>
      </c>
    </row>
    <row r="117" customFormat="false" ht="15" hidden="false" customHeight="false" outlineLevel="0" collapsed="false">
      <c r="A117" s="2" t="s">
        <v>225</v>
      </c>
      <c r="B117" s="13" t="n">
        <v>46267</v>
      </c>
      <c r="C117" s="2" t="s">
        <v>89</v>
      </c>
      <c r="D117" s="2" t="n">
        <v>1</v>
      </c>
      <c r="E117" s="15" t="n">
        <v>0.733333333333333</v>
      </c>
      <c r="F117" s="7" t="n">
        <v>14000</v>
      </c>
      <c r="G117" s="7" t="n">
        <f aca="false">D117*F117</f>
        <v>14000</v>
      </c>
      <c r="H117" s="2" t="str">
        <f aca="false">INDEX(Daftar_Menu!$B$2:$B$13,MATCH(C117,Daftar_Menu!$A$2:$A$13,0))</f>
        <v>Makanan</v>
      </c>
      <c r="I117" s="2" t="str">
        <f aca="false">CHOOSE(WEEKDAY(B117,2),"Senin","Selasa","Rabu","Kamis","Jumat","Sabtu","Minggu")</f>
        <v>Rabu</v>
      </c>
      <c r="J117" s="2" t="n">
        <f aca="false">HOUR(E117)</f>
        <v>17</v>
      </c>
      <c r="K117" s="2" t="str">
        <f aca="false">IF(J117&lt;11,"Pagi",IF(J117&lt;17,"Siang","Malam"))</f>
        <v>Malam</v>
      </c>
      <c r="L117" s="2" t="n">
        <f aca="false">IF(A117&lt;&gt;A116,1,0)</f>
        <v>0</v>
      </c>
    </row>
    <row r="118" customFormat="false" ht="15" hidden="false" customHeight="false" outlineLevel="0" collapsed="false">
      <c r="A118" s="2" t="s">
        <v>227</v>
      </c>
      <c r="B118" s="13" t="n">
        <v>46267</v>
      </c>
      <c r="C118" s="2" t="s">
        <v>101</v>
      </c>
      <c r="D118" s="2" t="n">
        <v>1</v>
      </c>
      <c r="E118" s="15" t="n">
        <v>0.765277777777778</v>
      </c>
      <c r="F118" s="7" t="n">
        <v>18000</v>
      </c>
      <c r="G118" s="7" t="n">
        <f aca="false">D118*F118</f>
        <v>18000</v>
      </c>
      <c r="H118" s="2" t="str">
        <f aca="false">INDEX(Daftar_Menu!$B$2:$B$13,MATCH(C118,Daftar_Menu!$A$2:$A$13,0))</f>
        <v>Makanan</v>
      </c>
      <c r="I118" s="2" t="str">
        <f aca="false">CHOOSE(WEEKDAY(B118,2),"Senin","Selasa","Rabu","Kamis","Jumat","Sabtu","Minggu")</f>
        <v>Rabu</v>
      </c>
      <c r="J118" s="2" t="n">
        <f aca="false">HOUR(E118)</f>
        <v>18</v>
      </c>
      <c r="K118" s="2" t="str">
        <f aca="false">IF(J118&lt;11,"Pagi",IF(J118&lt;17,"Siang","Malam"))</f>
        <v>Malam</v>
      </c>
      <c r="L118" s="2" t="n">
        <f aca="false">IF(A118&lt;&gt;A117,1,0)</f>
        <v>1</v>
      </c>
    </row>
    <row r="119" customFormat="false" ht="15" hidden="false" customHeight="false" outlineLevel="0" collapsed="false">
      <c r="A119" s="2" t="s">
        <v>229</v>
      </c>
      <c r="B119" s="13" t="n">
        <v>46267</v>
      </c>
      <c r="C119" s="2" t="s">
        <v>132</v>
      </c>
      <c r="D119" s="2" t="n">
        <v>1</v>
      </c>
      <c r="E119" s="15" t="n">
        <v>0.767361111111111</v>
      </c>
      <c r="F119" s="7" t="n">
        <v>15000</v>
      </c>
      <c r="G119" s="7" t="n">
        <f aca="false">D119*F119</f>
        <v>15000</v>
      </c>
      <c r="H119" s="2" t="str">
        <f aca="false">INDEX(Daftar_Menu!$B$2:$B$13,MATCH(C119,Daftar_Menu!$A$2:$A$13,0))</f>
        <v>Makanan</v>
      </c>
      <c r="I119" s="2" t="str">
        <f aca="false">CHOOSE(WEEKDAY(B119,2),"Senin","Selasa","Rabu","Kamis","Jumat","Sabtu","Minggu")</f>
        <v>Rabu</v>
      </c>
      <c r="J119" s="2" t="n">
        <f aca="false">HOUR(E119)</f>
        <v>18</v>
      </c>
      <c r="K119" s="2" t="str">
        <f aca="false">IF(J119&lt;11,"Pagi",IF(J119&lt;17,"Siang","Malam"))</f>
        <v>Malam</v>
      </c>
      <c r="L119" s="2" t="n">
        <f aca="false">IF(A119&lt;&gt;A118,1,0)</f>
        <v>1</v>
      </c>
    </row>
    <row r="120" customFormat="false" ht="15" hidden="false" customHeight="false" outlineLevel="0" collapsed="false">
      <c r="A120" s="2" t="s">
        <v>231</v>
      </c>
      <c r="B120" s="13" t="n">
        <v>46267</v>
      </c>
      <c r="C120" s="2" t="s">
        <v>81</v>
      </c>
      <c r="D120" s="2" t="n">
        <v>1</v>
      </c>
      <c r="E120" s="15" t="n">
        <v>0.768055555555556</v>
      </c>
      <c r="F120" s="7" t="n">
        <v>15000</v>
      </c>
      <c r="G120" s="7" t="n">
        <f aca="false">D120*F120</f>
        <v>15000</v>
      </c>
      <c r="H120" s="2" t="str">
        <f aca="false">INDEX(Daftar_Menu!$B$2:$B$13,MATCH(C120,Daftar_Menu!$A$2:$A$13,0))</f>
        <v>Makanan</v>
      </c>
      <c r="I120" s="2" t="str">
        <f aca="false">CHOOSE(WEEKDAY(B120,2),"Senin","Selasa","Rabu","Kamis","Jumat","Sabtu","Minggu")</f>
        <v>Rabu</v>
      </c>
      <c r="J120" s="2" t="n">
        <f aca="false">HOUR(E120)</f>
        <v>18</v>
      </c>
      <c r="K120" s="2" t="str">
        <f aca="false">IF(J120&lt;11,"Pagi",IF(J120&lt;17,"Siang","Malam"))</f>
        <v>Malam</v>
      </c>
      <c r="L120" s="2" t="n">
        <f aca="false">IF(A120&lt;&gt;A119,1,0)</f>
        <v>1</v>
      </c>
    </row>
    <row r="121" customFormat="false" ht="15" hidden="false" customHeight="false" outlineLevel="0" collapsed="false">
      <c r="A121" s="2" t="s">
        <v>233</v>
      </c>
      <c r="B121" s="13" t="n">
        <v>46267</v>
      </c>
      <c r="C121" s="2" t="s">
        <v>84</v>
      </c>
      <c r="D121" s="2" t="n">
        <v>2</v>
      </c>
      <c r="E121" s="15" t="n">
        <v>0.771527777777778</v>
      </c>
      <c r="F121" s="7" t="n">
        <v>5000</v>
      </c>
      <c r="G121" s="7" t="n">
        <f aca="false">D121*F121</f>
        <v>10000</v>
      </c>
      <c r="H121" s="2" t="str">
        <f aca="false">INDEX(Daftar_Menu!$B$2:$B$13,MATCH(C121,Daftar_Menu!$A$2:$A$13,0))</f>
        <v>Minuman</v>
      </c>
      <c r="I121" s="2" t="str">
        <f aca="false">CHOOSE(WEEKDAY(B121,2),"Senin","Selasa","Rabu","Kamis","Jumat","Sabtu","Minggu")</f>
        <v>Rabu</v>
      </c>
      <c r="J121" s="2" t="n">
        <f aca="false">HOUR(E121)</f>
        <v>18</v>
      </c>
      <c r="K121" s="2" t="str">
        <f aca="false">IF(J121&lt;11,"Pagi",IF(J121&lt;17,"Siang","Malam"))</f>
        <v>Malam</v>
      </c>
      <c r="L121" s="2" t="n">
        <f aca="false">IF(A121&lt;&gt;A120,1,0)</f>
        <v>1</v>
      </c>
    </row>
    <row r="122" customFormat="false" ht="15" hidden="false" customHeight="false" outlineLevel="0" collapsed="false">
      <c r="A122" s="2" t="s">
        <v>233</v>
      </c>
      <c r="B122" s="13" t="n">
        <v>46267</v>
      </c>
      <c r="C122" s="2" t="s">
        <v>186</v>
      </c>
      <c r="D122" s="2" t="n">
        <v>2</v>
      </c>
      <c r="E122" s="15" t="n">
        <v>0.771527777777778</v>
      </c>
      <c r="F122" s="7" t="n">
        <v>7000</v>
      </c>
      <c r="G122" s="7" t="n">
        <f aca="false">D122*F122</f>
        <v>14000</v>
      </c>
      <c r="H122" s="2" t="str">
        <f aca="false">INDEX(Daftar_Menu!$B$2:$B$13,MATCH(C122,Daftar_Menu!$A$2:$A$13,0))</f>
        <v>Minuman</v>
      </c>
      <c r="I122" s="2" t="str">
        <f aca="false">CHOOSE(WEEKDAY(B122,2),"Senin","Selasa","Rabu","Kamis","Jumat","Sabtu","Minggu")</f>
        <v>Rabu</v>
      </c>
      <c r="J122" s="2" t="n">
        <f aca="false">HOUR(E122)</f>
        <v>18</v>
      </c>
      <c r="K122" s="2" t="str">
        <f aca="false">IF(J122&lt;11,"Pagi",IF(J122&lt;17,"Siang","Malam"))</f>
        <v>Malam</v>
      </c>
      <c r="L122" s="2" t="n">
        <f aca="false">IF(A122&lt;&gt;A121,1,0)</f>
        <v>0</v>
      </c>
    </row>
    <row r="123" customFormat="false" ht="15" hidden="false" customHeight="false" outlineLevel="0" collapsed="false">
      <c r="A123" s="2" t="s">
        <v>233</v>
      </c>
      <c r="B123" s="13" t="n">
        <v>46267</v>
      </c>
      <c r="C123" s="2" t="s">
        <v>126</v>
      </c>
      <c r="D123" s="2" t="n">
        <v>1</v>
      </c>
      <c r="E123" s="15" t="n">
        <v>0.771527777777778</v>
      </c>
      <c r="F123" s="7" t="n">
        <v>3000</v>
      </c>
      <c r="G123" s="7" t="n">
        <f aca="false">D123*F123</f>
        <v>3000</v>
      </c>
      <c r="H123" s="2" t="str">
        <f aca="false">INDEX(Daftar_Menu!$B$2:$B$13,MATCH(C123,Daftar_Menu!$A$2:$A$13,0))</f>
        <v>Minuman</v>
      </c>
      <c r="I123" s="2" t="str">
        <f aca="false">CHOOSE(WEEKDAY(B123,2),"Senin","Selasa","Rabu","Kamis","Jumat","Sabtu","Minggu")</f>
        <v>Rabu</v>
      </c>
      <c r="J123" s="2" t="n">
        <f aca="false">HOUR(E123)</f>
        <v>18</v>
      </c>
      <c r="K123" s="2" t="str">
        <f aca="false">IF(J123&lt;11,"Pagi",IF(J123&lt;17,"Siang","Malam"))</f>
        <v>Malam</v>
      </c>
      <c r="L123" s="2" t="n">
        <f aca="false">IF(A123&lt;&gt;A122,1,0)</f>
        <v>0</v>
      </c>
    </row>
    <row r="124" customFormat="false" ht="15" hidden="false" customHeight="false" outlineLevel="0" collapsed="false">
      <c r="A124" s="2" t="s">
        <v>234</v>
      </c>
      <c r="B124" s="13" t="n">
        <v>46267</v>
      </c>
      <c r="C124" s="2" t="s">
        <v>132</v>
      </c>
      <c r="D124" s="2" t="n">
        <v>1</v>
      </c>
      <c r="E124" s="15" t="n">
        <v>0.772222222222222</v>
      </c>
      <c r="F124" s="7" t="n">
        <v>15000</v>
      </c>
      <c r="G124" s="7" t="n">
        <f aca="false">D124*F124</f>
        <v>15000</v>
      </c>
      <c r="H124" s="2" t="str">
        <f aca="false">INDEX(Daftar_Menu!$B$2:$B$13,MATCH(C124,Daftar_Menu!$A$2:$A$13,0))</f>
        <v>Makanan</v>
      </c>
      <c r="I124" s="2" t="str">
        <f aca="false">CHOOSE(WEEKDAY(B124,2),"Senin","Selasa","Rabu","Kamis","Jumat","Sabtu","Minggu")</f>
        <v>Rabu</v>
      </c>
      <c r="J124" s="2" t="n">
        <f aca="false">HOUR(E124)</f>
        <v>18</v>
      </c>
      <c r="K124" s="2" t="str">
        <f aca="false">IF(J124&lt;11,"Pagi",IF(J124&lt;17,"Siang","Malam"))</f>
        <v>Malam</v>
      </c>
      <c r="L124" s="2" t="n">
        <f aca="false">IF(A124&lt;&gt;A123,1,0)</f>
        <v>1</v>
      </c>
    </row>
    <row r="125" customFormat="false" ht="15" hidden="false" customHeight="false" outlineLevel="0" collapsed="false">
      <c r="A125" s="2" t="s">
        <v>236</v>
      </c>
      <c r="B125" s="13" t="n">
        <v>46267</v>
      </c>
      <c r="C125" s="2" t="s">
        <v>81</v>
      </c>
      <c r="D125" s="2" t="n">
        <v>1</v>
      </c>
      <c r="E125" s="15" t="n">
        <v>0.773611111111111</v>
      </c>
      <c r="F125" s="7" t="n">
        <v>15000</v>
      </c>
      <c r="G125" s="7" t="n">
        <f aca="false">D125*F125</f>
        <v>15000</v>
      </c>
      <c r="H125" s="2" t="str">
        <f aca="false">INDEX(Daftar_Menu!$B$2:$B$13,MATCH(C125,Daftar_Menu!$A$2:$A$13,0))</f>
        <v>Makanan</v>
      </c>
      <c r="I125" s="2" t="str">
        <f aca="false">CHOOSE(WEEKDAY(B125,2),"Senin","Selasa","Rabu","Kamis","Jumat","Sabtu","Minggu")</f>
        <v>Rabu</v>
      </c>
      <c r="J125" s="2" t="n">
        <f aca="false">HOUR(E125)</f>
        <v>18</v>
      </c>
      <c r="K125" s="2" t="str">
        <f aca="false">IF(J125&lt;11,"Pagi",IF(J125&lt;17,"Siang","Malam"))</f>
        <v>Malam</v>
      </c>
      <c r="L125" s="2" t="n">
        <f aca="false">IF(A125&lt;&gt;A124,1,0)</f>
        <v>1</v>
      </c>
    </row>
    <row r="126" customFormat="false" ht="15" hidden="false" customHeight="false" outlineLevel="0" collapsed="false">
      <c r="A126" s="2" t="s">
        <v>238</v>
      </c>
      <c r="B126" s="13" t="n">
        <v>46267</v>
      </c>
      <c r="C126" s="2" t="s">
        <v>126</v>
      </c>
      <c r="D126" s="2" t="n">
        <v>1</v>
      </c>
      <c r="E126" s="15" t="n">
        <v>0.774305555555556</v>
      </c>
      <c r="F126" s="7" t="n">
        <v>3000</v>
      </c>
      <c r="G126" s="7" t="n">
        <f aca="false">D126*F126</f>
        <v>3000</v>
      </c>
      <c r="H126" s="2" t="str">
        <f aca="false">INDEX(Daftar_Menu!$B$2:$B$13,MATCH(C126,Daftar_Menu!$A$2:$A$13,0))</f>
        <v>Minuman</v>
      </c>
      <c r="I126" s="2" t="str">
        <f aca="false">CHOOSE(WEEKDAY(B126,2),"Senin","Selasa","Rabu","Kamis","Jumat","Sabtu","Minggu")</f>
        <v>Rabu</v>
      </c>
      <c r="J126" s="2" t="n">
        <f aca="false">HOUR(E126)</f>
        <v>18</v>
      </c>
      <c r="K126" s="2" t="str">
        <f aca="false">IF(J126&lt;11,"Pagi",IF(J126&lt;17,"Siang","Malam"))</f>
        <v>Malam</v>
      </c>
      <c r="L126" s="2" t="n">
        <f aca="false">IF(A126&lt;&gt;A125,1,0)</f>
        <v>1</v>
      </c>
    </row>
    <row r="127" customFormat="false" ht="15" hidden="false" customHeight="false" outlineLevel="0" collapsed="false">
      <c r="A127" s="2" t="s">
        <v>240</v>
      </c>
      <c r="B127" s="13" t="n">
        <v>46267</v>
      </c>
      <c r="C127" s="2" t="s">
        <v>84</v>
      </c>
      <c r="D127" s="2" t="n">
        <v>1</v>
      </c>
      <c r="E127" s="15" t="n">
        <v>0.788194444444444</v>
      </c>
      <c r="F127" s="7" t="n">
        <v>5000</v>
      </c>
      <c r="G127" s="7" t="n">
        <f aca="false">D127*F127</f>
        <v>5000</v>
      </c>
      <c r="H127" s="2" t="str">
        <f aca="false">INDEX(Daftar_Menu!$B$2:$B$13,MATCH(C127,Daftar_Menu!$A$2:$A$13,0))</f>
        <v>Minuman</v>
      </c>
      <c r="I127" s="2" t="str">
        <f aca="false">CHOOSE(WEEKDAY(B127,2),"Senin","Selasa","Rabu","Kamis","Jumat","Sabtu","Minggu")</f>
        <v>Rabu</v>
      </c>
      <c r="J127" s="2" t="n">
        <f aca="false">HOUR(E127)</f>
        <v>18</v>
      </c>
      <c r="K127" s="2" t="str">
        <f aca="false">IF(J127&lt;11,"Pagi",IF(J127&lt;17,"Siang","Malam"))</f>
        <v>Malam</v>
      </c>
      <c r="L127" s="2" t="n">
        <f aca="false">IF(A127&lt;&gt;A126,1,0)</f>
        <v>1</v>
      </c>
    </row>
    <row r="128" customFormat="false" ht="15" hidden="false" customHeight="false" outlineLevel="0" collapsed="false">
      <c r="A128" s="2" t="s">
        <v>240</v>
      </c>
      <c r="B128" s="13" t="n">
        <v>46267</v>
      </c>
      <c r="C128" s="2" t="s">
        <v>81</v>
      </c>
      <c r="D128" s="2" t="n">
        <v>1</v>
      </c>
      <c r="E128" s="15" t="n">
        <v>0.788194444444444</v>
      </c>
      <c r="F128" s="7" t="n">
        <v>15000</v>
      </c>
      <c r="G128" s="7" t="n">
        <f aca="false">D128*F128</f>
        <v>15000</v>
      </c>
      <c r="H128" s="2" t="str">
        <f aca="false">INDEX(Daftar_Menu!$B$2:$B$13,MATCH(C128,Daftar_Menu!$A$2:$A$13,0))</f>
        <v>Makanan</v>
      </c>
      <c r="I128" s="2" t="str">
        <f aca="false">CHOOSE(WEEKDAY(B128,2),"Senin","Selasa","Rabu","Kamis","Jumat","Sabtu","Minggu")</f>
        <v>Rabu</v>
      </c>
      <c r="J128" s="2" t="n">
        <f aca="false">HOUR(E128)</f>
        <v>18</v>
      </c>
      <c r="K128" s="2" t="str">
        <f aca="false">IF(J128&lt;11,"Pagi",IF(J128&lt;17,"Siang","Malam"))</f>
        <v>Malam</v>
      </c>
      <c r="L128" s="2" t="n">
        <f aca="false">IF(A128&lt;&gt;A127,1,0)</f>
        <v>0</v>
      </c>
    </row>
    <row r="129" customFormat="false" ht="15" hidden="false" customHeight="false" outlineLevel="0" collapsed="false">
      <c r="A129" s="2" t="s">
        <v>242</v>
      </c>
      <c r="B129" s="13" t="n">
        <v>46267</v>
      </c>
      <c r="C129" s="2" t="s">
        <v>186</v>
      </c>
      <c r="D129" s="2" t="n">
        <v>1</v>
      </c>
      <c r="E129" s="15" t="n">
        <v>0.790972222222222</v>
      </c>
      <c r="F129" s="7" t="n">
        <v>7000</v>
      </c>
      <c r="G129" s="7" t="n">
        <f aca="false">D129*F129</f>
        <v>7000</v>
      </c>
      <c r="H129" s="2" t="str">
        <f aca="false">INDEX(Daftar_Menu!$B$2:$B$13,MATCH(C129,Daftar_Menu!$A$2:$A$13,0))</f>
        <v>Minuman</v>
      </c>
      <c r="I129" s="2" t="str">
        <f aca="false">CHOOSE(WEEKDAY(B129,2),"Senin","Selasa","Rabu","Kamis","Jumat","Sabtu","Minggu")</f>
        <v>Rabu</v>
      </c>
      <c r="J129" s="2" t="n">
        <f aca="false">HOUR(E129)</f>
        <v>18</v>
      </c>
      <c r="K129" s="2" t="str">
        <f aca="false">IF(J129&lt;11,"Pagi",IF(J129&lt;17,"Siang","Malam"))</f>
        <v>Malam</v>
      </c>
      <c r="L129" s="2" t="n">
        <f aca="false">IF(A129&lt;&gt;A128,1,0)</f>
        <v>1</v>
      </c>
    </row>
    <row r="130" customFormat="false" ht="15" hidden="false" customHeight="false" outlineLevel="0" collapsed="false">
      <c r="A130" s="2" t="s">
        <v>242</v>
      </c>
      <c r="B130" s="13" t="n">
        <v>46267</v>
      </c>
      <c r="C130" s="2" t="s">
        <v>79</v>
      </c>
      <c r="D130" s="2" t="n">
        <v>2</v>
      </c>
      <c r="E130" s="15" t="n">
        <v>0.790972222222222</v>
      </c>
      <c r="F130" s="7" t="n">
        <v>16000</v>
      </c>
      <c r="G130" s="7" t="n">
        <f aca="false">D130*F130</f>
        <v>32000</v>
      </c>
      <c r="H130" s="2" t="str">
        <f aca="false">INDEX(Daftar_Menu!$B$2:$B$13,MATCH(C130,Daftar_Menu!$A$2:$A$13,0))</f>
        <v>Makanan</v>
      </c>
      <c r="I130" s="2" t="str">
        <f aca="false">CHOOSE(WEEKDAY(B130,2),"Senin","Selasa","Rabu","Kamis","Jumat","Sabtu","Minggu")</f>
        <v>Rabu</v>
      </c>
      <c r="J130" s="2" t="n">
        <f aca="false">HOUR(E130)</f>
        <v>18</v>
      </c>
      <c r="K130" s="2" t="str">
        <f aca="false">IF(J130&lt;11,"Pagi",IF(J130&lt;17,"Siang","Malam"))</f>
        <v>Malam</v>
      </c>
      <c r="L130" s="2" t="n">
        <f aca="false">IF(A130&lt;&gt;A129,1,0)</f>
        <v>0</v>
      </c>
    </row>
    <row r="131" customFormat="false" ht="15" hidden="false" customHeight="false" outlineLevel="0" collapsed="false">
      <c r="A131" s="2" t="s">
        <v>242</v>
      </c>
      <c r="B131" s="13" t="n">
        <v>46267</v>
      </c>
      <c r="C131" s="2" t="s">
        <v>81</v>
      </c>
      <c r="D131" s="2" t="n">
        <v>1</v>
      </c>
      <c r="E131" s="15" t="n">
        <v>0.790972222222222</v>
      </c>
      <c r="F131" s="7" t="n">
        <v>15000</v>
      </c>
      <c r="G131" s="7" t="n">
        <f aca="false">D131*F131</f>
        <v>15000</v>
      </c>
      <c r="H131" s="2" t="str">
        <f aca="false">INDEX(Daftar_Menu!$B$2:$B$13,MATCH(C131,Daftar_Menu!$A$2:$A$13,0))</f>
        <v>Makanan</v>
      </c>
      <c r="I131" s="2" t="str">
        <f aca="false">CHOOSE(WEEKDAY(B131,2),"Senin","Selasa","Rabu","Kamis","Jumat","Sabtu","Minggu")</f>
        <v>Rabu</v>
      </c>
      <c r="J131" s="2" t="n">
        <f aca="false">HOUR(E131)</f>
        <v>18</v>
      </c>
      <c r="K131" s="2" t="str">
        <f aca="false">IF(J131&lt;11,"Pagi",IF(J131&lt;17,"Siang","Malam"))</f>
        <v>Malam</v>
      </c>
      <c r="L131" s="2" t="n">
        <f aca="false">IF(A131&lt;&gt;A130,1,0)</f>
        <v>0</v>
      </c>
    </row>
    <row r="132" customFormat="false" ht="15" hidden="false" customHeight="false" outlineLevel="0" collapsed="false">
      <c r="A132" s="2" t="s">
        <v>244</v>
      </c>
      <c r="B132" s="13" t="n">
        <v>46267</v>
      </c>
      <c r="C132" s="2" t="s">
        <v>132</v>
      </c>
      <c r="D132" s="2" t="n">
        <v>1</v>
      </c>
      <c r="E132" s="15" t="n">
        <v>0.791666666666667</v>
      </c>
      <c r="F132" s="7" t="n">
        <v>15000</v>
      </c>
      <c r="G132" s="7" t="n">
        <f aca="false">D132*F132</f>
        <v>15000</v>
      </c>
      <c r="H132" s="2" t="str">
        <f aca="false">INDEX(Daftar_Menu!$B$2:$B$13,MATCH(C132,Daftar_Menu!$A$2:$A$13,0))</f>
        <v>Makanan</v>
      </c>
      <c r="I132" s="2" t="str">
        <f aca="false">CHOOSE(WEEKDAY(B132,2),"Senin","Selasa","Rabu","Kamis","Jumat","Sabtu","Minggu")</f>
        <v>Rabu</v>
      </c>
      <c r="J132" s="2" t="n">
        <f aca="false">HOUR(E132)</f>
        <v>19</v>
      </c>
      <c r="K132" s="2" t="str">
        <f aca="false">IF(J132&lt;11,"Pagi",IF(J132&lt;17,"Siang","Malam"))</f>
        <v>Malam</v>
      </c>
      <c r="L132" s="2" t="n">
        <f aca="false">IF(A132&lt;&gt;A131,1,0)</f>
        <v>1</v>
      </c>
    </row>
    <row r="133" customFormat="false" ht="15" hidden="false" customHeight="false" outlineLevel="0" collapsed="false">
      <c r="A133" s="2" t="s">
        <v>244</v>
      </c>
      <c r="B133" s="13" t="n">
        <v>46267</v>
      </c>
      <c r="C133" s="2" t="s">
        <v>79</v>
      </c>
      <c r="D133" s="2" t="n">
        <v>2</v>
      </c>
      <c r="E133" s="15" t="n">
        <v>0.791666666666667</v>
      </c>
      <c r="F133" s="7" t="n">
        <v>16000</v>
      </c>
      <c r="G133" s="7" t="n">
        <f aca="false">D133*F133</f>
        <v>32000</v>
      </c>
      <c r="H133" s="2" t="str">
        <f aca="false">INDEX(Daftar_Menu!$B$2:$B$13,MATCH(C133,Daftar_Menu!$A$2:$A$13,0))</f>
        <v>Makanan</v>
      </c>
      <c r="I133" s="2" t="str">
        <f aca="false">CHOOSE(WEEKDAY(B133,2),"Senin","Selasa","Rabu","Kamis","Jumat","Sabtu","Minggu")</f>
        <v>Rabu</v>
      </c>
      <c r="J133" s="2" t="n">
        <f aca="false">HOUR(E133)</f>
        <v>19</v>
      </c>
      <c r="K133" s="2" t="str">
        <f aca="false">IF(J133&lt;11,"Pagi",IF(J133&lt;17,"Siang","Malam"))</f>
        <v>Malam</v>
      </c>
      <c r="L133" s="2" t="n">
        <f aca="false">IF(A133&lt;&gt;A132,1,0)</f>
        <v>0</v>
      </c>
    </row>
    <row r="134" customFormat="false" ht="15" hidden="false" customHeight="false" outlineLevel="0" collapsed="false">
      <c r="A134" s="2" t="s">
        <v>246</v>
      </c>
      <c r="B134" s="13" t="n">
        <v>46267</v>
      </c>
      <c r="C134" s="2" t="s">
        <v>101</v>
      </c>
      <c r="D134" s="2" t="n">
        <v>2</v>
      </c>
      <c r="E134" s="15" t="n">
        <v>0.795138888888889</v>
      </c>
      <c r="F134" s="7" t="n">
        <v>18000</v>
      </c>
      <c r="G134" s="7" t="n">
        <f aca="false">D134*F134</f>
        <v>36000</v>
      </c>
      <c r="H134" s="2" t="str">
        <f aca="false">INDEX(Daftar_Menu!$B$2:$B$13,MATCH(C134,Daftar_Menu!$A$2:$A$13,0))</f>
        <v>Makanan</v>
      </c>
      <c r="I134" s="2" t="str">
        <f aca="false">CHOOSE(WEEKDAY(B134,2),"Senin","Selasa","Rabu","Kamis","Jumat","Sabtu","Minggu")</f>
        <v>Rabu</v>
      </c>
      <c r="J134" s="2" t="n">
        <f aca="false">HOUR(E134)</f>
        <v>19</v>
      </c>
      <c r="K134" s="2" t="str">
        <f aca="false">IF(J134&lt;11,"Pagi",IF(J134&lt;17,"Siang","Malam"))</f>
        <v>Malam</v>
      </c>
      <c r="L134" s="2" t="n">
        <f aca="false">IF(A134&lt;&gt;A133,1,0)</f>
        <v>1</v>
      </c>
    </row>
    <row r="135" customFormat="false" ht="15" hidden="false" customHeight="false" outlineLevel="0" collapsed="false">
      <c r="A135" s="2" t="s">
        <v>248</v>
      </c>
      <c r="B135" s="13" t="n">
        <v>46267</v>
      </c>
      <c r="C135" s="2" t="s">
        <v>112</v>
      </c>
      <c r="D135" s="2" t="n">
        <v>1</v>
      </c>
      <c r="E135" s="15" t="n">
        <v>0.805555555555556</v>
      </c>
      <c r="F135" s="7" t="n">
        <v>10000</v>
      </c>
      <c r="G135" s="7" t="n">
        <f aca="false">D135*F135</f>
        <v>10000</v>
      </c>
      <c r="H135" s="2" t="str">
        <f aca="false">INDEX(Daftar_Menu!$B$2:$B$13,MATCH(C135,Daftar_Menu!$A$2:$A$13,0))</f>
        <v>Minuman</v>
      </c>
      <c r="I135" s="2" t="str">
        <f aca="false">CHOOSE(WEEKDAY(B135,2),"Senin","Selasa","Rabu","Kamis","Jumat","Sabtu","Minggu")</f>
        <v>Rabu</v>
      </c>
      <c r="J135" s="2" t="n">
        <f aca="false">HOUR(E135)</f>
        <v>19</v>
      </c>
      <c r="K135" s="2" t="str">
        <f aca="false">IF(J135&lt;11,"Pagi",IF(J135&lt;17,"Siang","Malam"))</f>
        <v>Malam</v>
      </c>
      <c r="L135" s="2" t="n">
        <f aca="false">IF(A135&lt;&gt;A134,1,0)</f>
        <v>1</v>
      </c>
    </row>
    <row r="136" customFormat="false" ht="15" hidden="false" customHeight="false" outlineLevel="0" collapsed="false">
      <c r="A136" s="2" t="s">
        <v>250</v>
      </c>
      <c r="B136" s="13" t="n">
        <v>46267</v>
      </c>
      <c r="C136" s="2" t="s">
        <v>132</v>
      </c>
      <c r="D136" s="2" t="n">
        <v>1</v>
      </c>
      <c r="E136" s="15" t="n">
        <v>0.811805555555556</v>
      </c>
      <c r="F136" s="7" t="n">
        <v>15000</v>
      </c>
      <c r="G136" s="7" t="n">
        <f aca="false">D136*F136</f>
        <v>15000</v>
      </c>
      <c r="H136" s="2" t="str">
        <f aca="false">INDEX(Daftar_Menu!$B$2:$B$13,MATCH(C136,Daftar_Menu!$A$2:$A$13,0))</f>
        <v>Makanan</v>
      </c>
      <c r="I136" s="2" t="str">
        <f aca="false">CHOOSE(WEEKDAY(B136,2),"Senin","Selasa","Rabu","Kamis","Jumat","Sabtu","Minggu")</f>
        <v>Rabu</v>
      </c>
      <c r="J136" s="2" t="n">
        <f aca="false">HOUR(E136)</f>
        <v>19</v>
      </c>
      <c r="K136" s="2" t="str">
        <f aca="false">IF(J136&lt;11,"Pagi",IF(J136&lt;17,"Siang","Malam"))</f>
        <v>Malam</v>
      </c>
      <c r="L136" s="2" t="n">
        <f aca="false">IF(A136&lt;&gt;A135,1,0)</f>
        <v>1</v>
      </c>
    </row>
    <row r="137" customFormat="false" ht="15" hidden="false" customHeight="false" outlineLevel="0" collapsed="false">
      <c r="A137" s="2" t="s">
        <v>252</v>
      </c>
      <c r="B137" s="13" t="n">
        <v>46267</v>
      </c>
      <c r="C137" s="2" t="s">
        <v>186</v>
      </c>
      <c r="D137" s="2" t="n">
        <v>1</v>
      </c>
      <c r="E137" s="15" t="n">
        <v>0.8125</v>
      </c>
      <c r="F137" s="7" t="n">
        <v>7000</v>
      </c>
      <c r="G137" s="7" t="n">
        <f aca="false">D137*F137</f>
        <v>7000</v>
      </c>
      <c r="H137" s="2" t="str">
        <f aca="false">INDEX(Daftar_Menu!$B$2:$B$13,MATCH(C137,Daftar_Menu!$A$2:$A$13,0))</f>
        <v>Minuman</v>
      </c>
      <c r="I137" s="2" t="str">
        <f aca="false">CHOOSE(WEEKDAY(B137,2),"Senin","Selasa","Rabu","Kamis","Jumat","Sabtu","Minggu")</f>
        <v>Rabu</v>
      </c>
      <c r="J137" s="2" t="n">
        <f aca="false">HOUR(E137)</f>
        <v>19</v>
      </c>
      <c r="K137" s="2" t="str">
        <f aca="false">IF(J137&lt;11,"Pagi",IF(J137&lt;17,"Siang","Malam"))</f>
        <v>Malam</v>
      </c>
      <c r="L137" s="2" t="n">
        <f aca="false">IF(A137&lt;&gt;A136,1,0)</f>
        <v>1</v>
      </c>
    </row>
    <row r="138" customFormat="false" ht="15" hidden="false" customHeight="false" outlineLevel="0" collapsed="false">
      <c r="A138" s="2" t="s">
        <v>252</v>
      </c>
      <c r="B138" s="13" t="n">
        <v>46267</v>
      </c>
      <c r="C138" s="2" t="s">
        <v>89</v>
      </c>
      <c r="D138" s="2" t="n">
        <v>2</v>
      </c>
      <c r="E138" s="15" t="n">
        <v>0.8125</v>
      </c>
      <c r="F138" s="7" t="n">
        <v>14000</v>
      </c>
      <c r="G138" s="7" t="n">
        <f aca="false">D138*F138</f>
        <v>28000</v>
      </c>
      <c r="H138" s="2" t="str">
        <f aca="false">INDEX(Daftar_Menu!$B$2:$B$13,MATCH(C138,Daftar_Menu!$A$2:$A$13,0))</f>
        <v>Makanan</v>
      </c>
      <c r="I138" s="2" t="str">
        <f aca="false">CHOOSE(WEEKDAY(B138,2),"Senin","Selasa","Rabu","Kamis","Jumat","Sabtu","Minggu")</f>
        <v>Rabu</v>
      </c>
      <c r="J138" s="2" t="n">
        <f aca="false">HOUR(E138)</f>
        <v>19</v>
      </c>
      <c r="K138" s="2" t="str">
        <f aca="false">IF(J138&lt;11,"Pagi",IF(J138&lt;17,"Siang","Malam"))</f>
        <v>Malam</v>
      </c>
      <c r="L138" s="2" t="n">
        <f aca="false">IF(A138&lt;&gt;A137,1,0)</f>
        <v>0</v>
      </c>
    </row>
    <row r="139" customFormat="false" ht="15" hidden="false" customHeight="false" outlineLevel="0" collapsed="false">
      <c r="A139" s="2" t="s">
        <v>255</v>
      </c>
      <c r="B139" s="13" t="n">
        <v>46267</v>
      </c>
      <c r="C139" s="2" t="s">
        <v>81</v>
      </c>
      <c r="D139" s="2" t="n">
        <v>1</v>
      </c>
      <c r="E139" s="15" t="n">
        <v>0.815277777777778</v>
      </c>
      <c r="F139" s="7" t="n">
        <v>15000</v>
      </c>
      <c r="G139" s="7" t="n">
        <f aca="false">D139*F139</f>
        <v>15000</v>
      </c>
      <c r="H139" s="2" t="str">
        <f aca="false">INDEX(Daftar_Menu!$B$2:$B$13,MATCH(C139,Daftar_Menu!$A$2:$A$13,0))</f>
        <v>Makanan</v>
      </c>
      <c r="I139" s="2" t="str">
        <f aca="false">CHOOSE(WEEKDAY(B139,2),"Senin","Selasa","Rabu","Kamis","Jumat","Sabtu","Minggu")</f>
        <v>Rabu</v>
      </c>
      <c r="J139" s="2" t="n">
        <f aca="false">HOUR(E139)</f>
        <v>19</v>
      </c>
      <c r="K139" s="2" t="str">
        <f aca="false">IF(J139&lt;11,"Pagi",IF(J139&lt;17,"Siang","Malam"))</f>
        <v>Malam</v>
      </c>
      <c r="L139" s="2" t="n">
        <f aca="false">IF(A139&lt;&gt;A138,1,0)</f>
        <v>1</v>
      </c>
    </row>
    <row r="140" customFormat="false" ht="15" hidden="false" customHeight="false" outlineLevel="0" collapsed="false">
      <c r="A140" s="2" t="s">
        <v>257</v>
      </c>
      <c r="B140" s="13" t="n">
        <v>46267</v>
      </c>
      <c r="C140" s="2" t="s">
        <v>84</v>
      </c>
      <c r="D140" s="2" t="n">
        <v>1</v>
      </c>
      <c r="E140" s="15" t="n">
        <v>0.852083333333333</v>
      </c>
      <c r="F140" s="7" t="n">
        <v>5000</v>
      </c>
      <c r="G140" s="7" t="n">
        <f aca="false">D140*F140</f>
        <v>5000</v>
      </c>
      <c r="H140" s="2" t="str">
        <f aca="false">INDEX(Daftar_Menu!$B$2:$B$13,MATCH(C140,Daftar_Menu!$A$2:$A$13,0))</f>
        <v>Minuman</v>
      </c>
      <c r="I140" s="2" t="str">
        <f aca="false">CHOOSE(WEEKDAY(B140,2),"Senin","Selasa","Rabu","Kamis","Jumat","Sabtu","Minggu")</f>
        <v>Rabu</v>
      </c>
      <c r="J140" s="2" t="n">
        <f aca="false">HOUR(E140)</f>
        <v>20</v>
      </c>
      <c r="K140" s="2" t="str">
        <f aca="false">IF(J140&lt;11,"Pagi",IF(J140&lt;17,"Siang","Malam"))</f>
        <v>Malam</v>
      </c>
      <c r="L140" s="2" t="n">
        <f aca="false">IF(A140&lt;&gt;A139,1,0)</f>
        <v>1</v>
      </c>
    </row>
    <row r="141" customFormat="false" ht="15" hidden="false" customHeight="false" outlineLevel="0" collapsed="false">
      <c r="A141" s="2" t="s">
        <v>259</v>
      </c>
      <c r="B141" s="13" t="n">
        <v>46267</v>
      </c>
      <c r="C141" s="2" t="s">
        <v>79</v>
      </c>
      <c r="D141" s="2" t="n">
        <v>1</v>
      </c>
      <c r="E141" s="15" t="n">
        <v>0.861805555555556</v>
      </c>
      <c r="F141" s="7" t="n">
        <v>16000</v>
      </c>
      <c r="G141" s="7" t="n">
        <f aca="false">D141*F141</f>
        <v>16000</v>
      </c>
      <c r="H141" s="2" t="str">
        <f aca="false">INDEX(Daftar_Menu!$B$2:$B$13,MATCH(C141,Daftar_Menu!$A$2:$A$13,0))</f>
        <v>Makanan</v>
      </c>
      <c r="I141" s="2" t="str">
        <f aca="false">CHOOSE(WEEKDAY(B141,2),"Senin","Selasa","Rabu","Kamis","Jumat","Sabtu","Minggu")</f>
        <v>Rabu</v>
      </c>
      <c r="J141" s="2" t="n">
        <f aca="false">HOUR(E141)</f>
        <v>20</v>
      </c>
      <c r="K141" s="2" t="str">
        <f aca="false">IF(J141&lt;11,"Pagi",IF(J141&lt;17,"Siang","Malam"))</f>
        <v>Malam</v>
      </c>
      <c r="L141" s="2" t="n">
        <f aca="false">IF(A141&lt;&gt;A140,1,0)</f>
        <v>1</v>
      </c>
    </row>
    <row r="142" customFormat="false" ht="15" hidden="false" customHeight="false" outlineLevel="0" collapsed="false">
      <c r="A142" s="2" t="s">
        <v>261</v>
      </c>
      <c r="B142" s="13" t="n">
        <v>46267</v>
      </c>
      <c r="C142" s="2" t="s">
        <v>101</v>
      </c>
      <c r="D142" s="2" t="n">
        <v>1</v>
      </c>
      <c r="E142" s="15" t="n">
        <v>0.8625</v>
      </c>
      <c r="F142" s="7" t="n">
        <v>18000</v>
      </c>
      <c r="G142" s="7" t="n">
        <f aca="false">D142*F142</f>
        <v>18000</v>
      </c>
      <c r="H142" s="2" t="str">
        <f aca="false">INDEX(Daftar_Menu!$B$2:$B$13,MATCH(C142,Daftar_Menu!$A$2:$A$13,0))</f>
        <v>Makanan</v>
      </c>
      <c r="I142" s="2" t="str">
        <f aca="false">CHOOSE(WEEKDAY(B142,2),"Senin","Selasa","Rabu","Kamis","Jumat","Sabtu","Minggu")</f>
        <v>Rabu</v>
      </c>
      <c r="J142" s="2" t="n">
        <f aca="false">HOUR(E142)</f>
        <v>20</v>
      </c>
      <c r="K142" s="2" t="str">
        <f aca="false">IF(J142&lt;11,"Pagi",IF(J142&lt;17,"Siang","Malam"))</f>
        <v>Malam</v>
      </c>
      <c r="L142" s="2" t="n">
        <f aca="false">IF(A142&lt;&gt;A141,1,0)</f>
        <v>1</v>
      </c>
    </row>
    <row r="143" customFormat="false" ht="15" hidden="false" customHeight="false" outlineLevel="0" collapsed="false">
      <c r="A143" s="2" t="s">
        <v>263</v>
      </c>
      <c r="B143" s="13" t="n">
        <v>46268</v>
      </c>
      <c r="C143" s="2" t="s">
        <v>84</v>
      </c>
      <c r="D143" s="2" t="n">
        <v>1</v>
      </c>
      <c r="E143" s="15" t="n">
        <v>0.361805555555556</v>
      </c>
      <c r="F143" s="7" t="n">
        <v>5000</v>
      </c>
      <c r="G143" s="7" t="n">
        <f aca="false">D143*F143</f>
        <v>5000</v>
      </c>
      <c r="H143" s="2" t="str">
        <f aca="false">INDEX(Daftar_Menu!$B$2:$B$13,MATCH(C143,Daftar_Menu!$A$2:$A$13,0))</f>
        <v>Minuman</v>
      </c>
      <c r="I143" s="2" t="str">
        <f aca="false">CHOOSE(WEEKDAY(B143,2),"Senin","Selasa","Rabu","Kamis","Jumat","Sabtu","Minggu")</f>
        <v>Kamis</v>
      </c>
      <c r="J143" s="2" t="n">
        <f aca="false">HOUR(E143)</f>
        <v>8</v>
      </c>
      <c r="K143" s="2" t="str">
        <f aca="false">IF(J143&lt;11,"Pagi",IF(J143&lt;17,"Siang","Malam"))</f>
        <v>Pagi</v>
      </c>
      <c r="L143" s="2" t="n">
        <f aca="false">IF(A143&lt;&gt;A142,1,0)</f>
        <v>1</v>
      </c>
    </row>
    <row r="144" customFormat="false" ht="15" hidden="false" customHeight="false" outlineLevel="0" collapsed="false">
      <c r="A144" s="2" t="s">
        <v>263</v>
      </c>
      <c r="B144" s="13" t="n">
        <v>46268</v>
      </c>
      <c r="C144" s="2" t="s">
        <v>89</v>
      </c>
      <c r="D144" s="2" t="n">
        <v>1</v>
      </c>
      <c r="E144" s="15" t="n">
        <v>0.361805555555556</v>
      </c>
      <c r="F144" s="7" t="n">
        <v>14000</v>
      </c>
      <c r="G144" s="7" t="n">
        <f aca="false">D144*F144</f>
        <v>14000</v>
      </c>
      <c r="H144" s="2" t="str">
        <f aca="false">INDEX(Daftar_Menu!$B$2:$B$13,MATCH(C144,Daftar_Menu!$A$2:$A$13,0))</f>
        <v>Makanan</v>
      </c>
      <c r="I144" s="2" t="str">
        <f aca="false">CHOOSE(WEEKDAY(B144,2),"Senin","Selasa","Rabu","Kamis","Jumat","Sabtu","Minggu")</f>
        <v>Kamis</v>
      </c>
      <c r="J144" s="2" t="n">
        <f aca="false">HOUR(E144)</f>
        <v>8</v>
      </c>
      <c r="K144" s="2" t="str">
        <f aca="false">IF(J144&lt;11,"Pagi",IF(J144&lt;17,"Siang","Malam"))</f>
        <v>Pagi</v>
      </c>
      <c r="L144" s="2" t="n">
        <f aca="false">IF(A144&lt;&gt;A143,1,0)</f>
        <v>0</v>
      </c>
    </row>
    <row r="145" customFormat="false" ht="15" hidden="false" customHeight="false" outlineLevel="0" collapsed="false">
      <c r="A145" s="2" t="s">
        <v>265</v>
      </c>
      <c r="B145" s="13" t="n">
        <v>46268</v>
      </c>
      <c r="C145" s="2" t="s">
        <v>81</v>
      </c>
      <c r="D145" s="2" t="n">
        <v>1</v>
      </c>
      <c r="E145" s="15" t="n">
        <v>0.398611111111111</v>
      </c>
      <c r="F145" s="7" t="n">
        <v>15000</v>
      </c>
      <c r="G145" s="7" t="n">
        <f aca="false">D145*F145</f>
        <v>15000</v>
      </c>
      <c r="H145" s="2" t="str">
        <f aca="false">INDEX(Daftar_Menu!$B$2:$B$13,MATCH(C145,Daftar_Menu!$A$2:$A$13,0))</f>
        <v>Makanan</v>
      </c>
      <c r="I145" s="2" t="str">
        <f aca="false">CHOOSE(WEEKDAY(B145,2),"Senin","Selasa","Rabu","Kamis","Jumat","Sabtu","Minggu")</f>
        <v>Kamis</v>
      </c>
      <c r="J145" s="2" t="n">
        <f aca="false">HOUR(E145)</f>
        <v>9</v>
      </c>
      <c r="K145" s="2" t="str">
        <f aca="false">IF(J145&lt;11,"Pagi",IF(J145&lt;17,"Siang","Malam"))</f>
        <v>Pagi</v>
      </c>
      <c r="L145" s="2" t="n">
        <f aca="false">IF(A145&lt;&gt;A144,1,0)</f>
        <v>1</v>
      </c>
    </row>
    <row r="146" customFormat="false" ht="15" hidden="false" customHeight="false" outlineLevel="0" collapsed="false">
      <c r="A146" s="2" t="s">
        <v>265</v>
      </c>
      <c r="B146" s="13" t="n">
        <v>46268</v>
      </c>
      <c r="C146" s="2" t="s">
        <v>84</v>
      </c>
      <c r="D146" s="2" t="n">
        <v>1</v>
      </c>
      <c r="E146" s="15" t="n">
        <v>0.398611111111111</v>
      </c>
      <c r="F146" s="7" t="n">
        <v>5000</v>
      </c>
      <c r="G146" s="7" t="n">
        <f aca="false">D146*F146</f>
        <v>5000</v>
      </c>
      <c r="H146" s="2" t="str">
        <f aca="false">INDEX(Daftar_Menu!$B$2:$B$13,MATCH(C146,Daftar_Menu!$A$2:$A$13,0))</f>
        <v>Minuman</v>
      </c>
      <c r="I146" s="2" t="str">
        <f aca="false">CHOOSE(WEEKDAY(B146,2),"Senin","Selasa","Rabu","Kamis","Jumat","Sabtu","Minggu")</f>
        <v>Kamis</v>
      </c>
      <c r="J146" s="2" t="n">
        <f aca="false">HOUR(E146)</f>
        <v>9</v>
      </c>
      <c r="K146" s="2" t="str">
        <f aca="false">IF(J146&lt;11,"Pagi",IF(J146&lt;17,"Siang","Malam"))</f>
        <v>Pagi</v>
      </c>
      <c r="L146" s="2" t="n">
        <f aca="false">IF(A146&lt;&gt;A145,1,0)</f>
        <v>0</v>
      </c>
    </row>
    <row r="147" customFormat="false" ht="15" hidden="false" customHeight="false" outlineLevel="0" collapsed="false">
      <c r="A147" s="2" t="s">
        <v>265</v>
      </c>
      <c r="B147" s="13" t="n">
        <v>46268</v>
      </c>
      <c r="C147" s="2" t="s">
        <v>186</v>
      </c>
      <c r="D147" s="2" t="n">
        <v>1</v>
      </c>
      <c r="E147" s="15" t="n">
        <v>0.398611111111111</v>
      </c>
      <c r="F147" s="7" t="n">
        <v>7000</v>
      </c>
      <c r="G147" s="7" t="n">
        <f aca="false">D147*F147</f>
        <v>7000</v>
      </c>
      <c r="H147" s="2" t="str">
        <f aca="false">INDEX(Daftar_Menu!$B$2:$B$13,MATCH(C147,Daftar_Menu!$A$2:$A$13,0))</f>
        <v>Minuman</v>
      </c>
      <c r="I147" s="2" t="str">
        <f aca="false">CHOOSE(WEEKDAY(B147,2),"Senin","Selasa","Rabu","Kamis","Jumat","Sabtu","Minggu")</f>
        <v>Kamis</v>
      </c>
      <c r="J147" s="2" t="n">
        <f aca="false">HOUR(E147)</f>
        <v>9</v>
      </c>
      <c r="K147" s="2" t="str">
        <f aca="false">IF(J147&lt;11,"Pagi",IF(J147&lt;17,"Siang","Malam"))</f>
        <v>Pagi</v>
      </c>
      <c r="L147" s="2" t="n">
        <f aca="false">IF(A147&lt;&gt;A146,1,0)</f>
        <v>0</v>
      </c>
    </row>
    <row r="148" customFormat="false" ht="15" hidden="false" customHeight="false" outlineLevel="0" collapsed="false">
      <c r="A148" s="2" t="s">
        <v>266</v>
      </c>
      <c r="B148" s="13" t="n">
        <v>46268</v>
      </c>
      <c r="C148" s="2" t="s">
        <v>112</v>
      </c>
      <c r="D148" s="2" t="n">
        <v>1</v>
      </c>
      <c r="E148" s="15" t="n">
        <v>0.429861111111111</v>
      </c>
      <c r="F148" s="7" t="n">
        <v>10000</v>
      </c>
      <c r="G148" s="7" t="n">
        <f aca="false">D148*F148</f>
        <v>10000</v>
      </c>
      <c r="H148" s="2" t="str">
        <f aca="false">INDEX(Daftar_Menu!$B$2:$B$13,MATCH(C148,Daftar_Menu!$A$2:$A$13,0))</f>
        <v>Minuman</v>
      </c>
      <c r="I148" s="2" t="str">
        <f aca="false">CHOOSE(WEEKDAY(B148,2),"Senin","Selasa","Rabu","Kamis","Jumat","Sabtu","Minggu")</f>
        <v>Kamis</v>
      </c>
      <c r="J148" s="2" t="n">
        <f aca="false">HOUR(E148)</f>
        <v>10</v>
      </c>
      <c r="K148" s="2" t="str">
        <f aca="false">IF(J148&lt;11,"Pagi",IF(J148&lt;17,"Siang","Malam"))</f>
        <v>Pagi</v>
      </c>
      <c r="L148" s="2" t="n">
        <f aca="false">IF(A148&lt;&gt;A147,1,0)</f>
        <v>1</v>
      </c>
    </row>
    <row r="149" customFormat="false" ht="15" hidden="false" customHeight="false" outlineLevel="0" collapsed="false">
      <c r="A149" s="2" t="s">
        <v>268</v>
      </c>
      <c r="B149" s="13" t="n">
        <v>46268</v>
      </c>
      <c r="C149" s="2" t="s">
        <v>101</v>
      </c>
      <c r="D149" s="2" t="n">
        <v>1</v>
      </c>
      <c r="E149" s="15" t="n">
        <v>0.445833333333333</v>
      </c>
      <c r="F149" s="7" t="n">
        <v>18000</v>
      </c>
      <c r="G149" s="7" t="n">
        <f aca="false">D149*F149</f>
        <v>18000</v>
      </c>
      <c r="H149" s="2" t="str">
        <f aca="false">INDEX(Daftar_Menu!$B$2:$B$13,MATCH(C149,Daftar_Menu!$A$2:$A$13,0))</f>
        <v>Makanan</v>
      </c>
      <c r="I149" s="2" t="str">
        <f aca="false">CHOOSE(WEEKDAY(B149,2),"Senin","Selasa","Rabu","Kamis","Jumat","Sabtu","Minggu")</f>
        <v>Kamis</v>
      </c>
      <c r="J149" s="2" t="n">
        <f aca="false">HOUR(E149)</f>
        <v>10</v>
      </c>
      <c r="K149" s="2" t="str">
        <f aca="false">IF(J149&lt;11,"Pagi",IF(J149&lt;17,"Siang","Malam"))</f>
        <v>Pagi</v>
      </c>
      <c r="L149" s="2" t="n">
        <f aca="false">IF(A149&lt;&gt;A148,1,0)</f>
        <v>1</v>
      </c>
    </row>
    <row r="150" customFormat="false" ht="15" hidden="false" customHeight="false" outlineLevel="0" collapsed="false">
      <c r="A150" s="2" t="s">
        <v>268</v>
      </c>
      <c r="B150" s="13" t="n">
        <v>46268</v>
      </c>
      <c r="C150" s="2" t="s">
        <v>81</v>
      </c>
      <c r="D150" s="2" t="n">
        <v>1</v>
      </c>
      <c r="E150" s="15" t="n">
        <v>0.445833333333333</v>
      </c>
      <c r="F150" s="7" t="n">
        <v>15000</v>
      </c>
      <c r="G150" s="7" t="n">
        <f aca="false">D150*F150</f>
        <v>15000</v>
      </c>
      <c r="H150" s="2" t="str">
        <f aca="false">INDEX(Daftar_Menu!$B$2:$B$13,MATCH(C150,Daftar_Menu!$A$2:$A$13,0))</f>
        <v>Makanan</v>
      </c>
      <c r="I150" s="2" t="str">
        <f aca="false">CHOOSE(WEEKDAY(B150,2),"Senin","Selasa","Rabu","Kamis","Jumat","Sabtu","Minggu")</f>
        <v>Kamis</v>
      </c>
      <c r="J150" s="2" t="n">
        <f aca="false">HOUR(E150)</f>
        <v>10</v>
      </c>
      <c r="K150" s="2" t="str">
        <f aca="false">IF(J150&lt;11,"Pagi",IF(J150&lt;17,"Siang","Malam"))</f>
        <v>Pagi</v>
      </c>
      <c r="L150" s="2" t="n">
        <f aca="false">IF(A150&lt;&gt;A149,1,0)</f>
        <v>0</v>
      </c>
    </row>
    <row r="151" customFormat="false" ht="15" hidden="false" customHeight="false" outlineLevel="0" collapsed="false">
      <c r="A151" s="2" t="s">
        <v>270</v>
      </c>
      <c r="B151" s="13" t="n">
        <v>46268</v>
      </c>
      <c r="C151" s="2" t="s">
        <v>84</v>
      </c>
      <c r="D151" s="2" t="n">
        <v>2</v>
      </c>
      <c r="E151" s="15" t="n">
        <v>0.458333333333333</v>
      </c>
      <c r="F151" s="7" t="n">
        <v>5000</v>
      </c>
      <c r="G151" s="7" t="n">
        <f aca="false">D151*F151</f>
        <v>10000</v>
      </c>
      <c r="H151" s="2" t="str">
        <f aca="false">INDEX(Daftar_Menu!$B$2:$B$13,MATCH(C151,Daftar_Menu!$A$2:$A$13,0))</f>
        <v>Minuman</v>
      </c>
      <c r="I151" s="2" t="str">
        <f aca="false">CHOOSE(WEEKDAY(B151,2),"Senin","Selasa","Rabu","Kamis","Jumat","Sabtu","Minggu")</f>
        <v>Kamis</v>
      </c>
      <c r="J151" s="2" t="n">
        <f aca="false">HOUR(E151)</f>
        <v>11</v>
      </c>
      <c r="K151" s="2" t="str">
        <f aca="false">IF(J151&lt;11,"Pagi",IF(J151&lt;17,"Siang","Malam"))</f>
        <v>Siang</v>
      </c>
      <c r="L151" s="2" t="n">
        <f aca="false">IF(A151&lt;&gt;A150,1,0)</f>
        <v>1</v>
      </c>
    </row>
    <row r="152" customFormat="false" ht="15" hidden="false" customHeight="false" outlineLevel="0" collapsed="false">
      <c r="A152" s="2" t="s">
        <v>272</v>
      </c>
      <c r="B152" s="13" t="n">
        <v>46268</v>
      </c>
      <c r="C152" s="2" t="s">
        <v>186</v>
      </c>
      <c r="D152" s="2" t="n">
        <v>1</v>
      </c>
      <c r="E152" s="15" t="n">
        <v>0.463888888888889</v>
      </c>
      <c r="F152" s="7" t="n">
        <v>7000</v>
      </c>
      <c r="G152" s="7" t="n">
        <f aca="false">D152*F152</f>
        <v>7000</v>
      </c>
      <c r="H152" s="2" t="str">
        <f aca="false">INDEX(Daftar_Menu!$B$2:$B$13,MATCH(C152,Daftar_Menu!$A$2:$A$13,0))</f>
        <v>Minuman</v>
      </c>
      <c r="I152" s="2" t="str">
        <f aca="false">CHOOSE(WEEKDAY(B152,2),"Senin","Selasa","Rabu","Kamis","Jumat","Sabtu","Minggu")</f>
        <v>Kamis</v>
      </c>
      <c r="J152" s="2" t="n">
        <f aca="false">HOUR(E152)</f>
        <v>11</v>
      </c>
      <c r="K152" s="2" t="str">
        <f aca="false">IF(J152&lt;11,"Pagi",IF(J152&lt;17,"Siang","Malam"))</f>
        <v>Siang</v>
      </c>
      <c r="L152" s="2" t="n">
        <f aca="false">IF(A152&lt;&gt;A151,1,0)</f>
        <v>1</v>
      </c>
    </row>
    <row r="153" customFormat="false" ht="15" hidden="false" customHeight="false" outlineLevel="0" collapsed="false">
      <c r="A153" s="2" t="s">
        <v>272</v>
      </c>
      <c r="B153" s="13" t="n">
        <v>46268</v>
      </c>
      <c r="C153" s="2" t="s">
        <v>89</v>
      </c>
      <c r="D153" s="2" t="n">
        <v>2</v>
      </c>
      <c r="E153" s="15" t="n">
        <v>0.463888888888889</v>
      </c>
      <c r="F153" s="7" t="n">
        <v>14000</v>
      </c>
      <c r="G153" s="7" t="n">
        <f aca="false">D153*F153</f>
        <v>28000</v>
      </c>
      <c r="H153" s="2" t="str">
        <f aca="false">INDEX(Daftar_Menu!$B$2:$B$13,MATCH(C153,Daftar_Menu!$A$2:$A$13,0))</f>
        <v>Makanan</v>
      </c>
      <c r="I153" s="2" t="str">
        <f aca="false">CHOOSE(WEEKDAY(B153,2),"Senin","Selasa","Rabu","Kamis","Jumat","Sabtu","Minggu")</f>
        <v>Kamis</v>
      </c>
      <c r="J153" s="2" t="n">
        <f aca="false">HOUR(E153)</f>
        <v>11</v>
      </c>
      <c r="K153" s="2" t="str">
        <f aca="false">IF(J153&lt;11,"Pagi",IF(J153&lt;17,"Siang","Malam"))</f>
        <v>Siang</v>
      </c>
      <c r="L153" s="2" t="n">
        <f aca="false">IF(A153&lt;&gt;A152,1,0)</f>
        <v>0</v>
      </c>
    </row>
    <row r="154" customFormat="false" ht="15" hidden="false" customHeight="false" outlineLevel="0" collapsed="false">
      <c r="A154" s="2" t="s">
        <v>274</v>
      </c>
      <c r="B154" s="13" t="n">
        <v>46268</v>
      </c>
      <c r="C154" s="2" t="s">
        <v>84</v>
      </c>
      <c r="D154" s="2" t="n">
        <v>1</v>
      </c>
      <c r="E154" s="15" t="n">
        <v>0.465972222222222</v>
      </c>
      <c r="F154" s="7" t="n">
        <v>5000</v>
      </c>
      <c r="G154" s="7" t="n">
        <f aca="false">D154*F154</f>
        <v>5000</v>
      </c>
      <c r="H154" s="2" t="str">
        <f aca="false">INDEX(Daftar_Menu!$B$2:$B$13,MATCH(C154,Daftar_Menu!$A$2:$A$13,0))</f>
        <v>Minuman</v>
      </c>
      <c r="I154" s="2" t="str">
        <f aca="false">CHOOSE(WEEKDAY(B154,2),"Senin","Selasa","Rabu","Kamis","Jumat","Sabtu","Minggu")</f>
        <v>Kamis</v>
      </c>
      <c r="J154" s="2" t="n">
        <f aca="false">HOUR(E154)</f>
        <v>11</v>
      </c>
      <c r="K154" s="2" t="str">
        <f aca="false">IF(J154&lt;11,"Pagi",IF(J154&lt;17,"Siang","Malam"))</f>
        <v>Siang</v>
      </c>
      <c r="L154" s="2" t="n">
        <f aca="false">IF(A154&lt;&gt;A153,1,0)</f>
        <v>1</v>
      </c>
    </row>
    <row r="155" customFormat="false" ht="15" hidden="false" customHeight="false" outlineLevel="0" collapsed="false">
      <c r="A155" s="2" t="s">
        <v>276</v>
      </c>
      <c r="B155" s="13" t="n">
        <v>46268</v>
      </c>
      <c r="C155" s="2" t="s">
        <v>84</v>
      </c>
      <c r="D155" s="2" t="n">
        <v>1</v>
      </c>
      <c r="E155" s="15" t="n">
        <v>0.484027777777778</v>
      </c>
      <c r="F155" s="7" t="n">
        <v>5000</v>
      </c>
      <c r="G155" s="7" t="n">
        <f aca="false">D155*F155</f>
        <v>5000</v>
      </c>
      <c r="H155" s="2" t="str">
        <f aca="false">INDEX(Daftar_Menu!$B$2:$B$13,MATCH(C155,Daftar_Menu!$A$2:$A$13,0))</f>
        <v>Minuman</v>
      </c>
      <c r="I155" s="2" t="str">
        <f aca="false">CHOOSE(WEEKDAY(B155,2),"Senin","Selasa","Rabu","Kamis","Jumat","Sabtu","Minggu")</f>
        <v>Kamis</v>
      </c>
      <c r="J155" s="2" t="n">
        <f aca="false">HOUR(E155)</f>
        <v>11</v>
      </c>
      <c r="K155" s="2" t="str">
        <f aca="false">IF(J155&lt;11,"Pagi",IF(J155&lt;17,"Siang","Malam"))</f>
        <v>Siang</v>
      </c>
      <c r="L155" s="2" t="n">
        <f aca="false">IF(A155&lt;&gt;A154,1,0)</f>
        <v>1</v>
      </c>
    </row>
    <row r="156" customFormat="false" ht="15" hidden="false" customHeight="false" outlineLevel="0" collapsed="false">
      <c r="A156" s="2" t="s">
        <v>276</v>
      </c>
      <c r="B156" s="13" t="n">
        <v>46268</v>
      </c>
      <c r="C156" s="2" t="s">
        <v>108</v>
      </c>
      <c r="D156" s="2" t="n">
        <v>2</v>
      </c>
      <c r="E156" s="15" t="n">
        <v>0.484027777777778</v>
      </c>
      <c r="F156" s="7" t="n">
        <v>20000</v>
      </c>
      <c r="G156" s="7" t="n">
        <f aca="false">D156*F156</f>
        <v>40000</v>
      </c>
      <c r="H156" s="2" t="str">
        <f aca="false">INDEX(Daftar_Menu!$B$2:$B$13,MATCH(C156,Daftar_Menu!$A$2:$A$13,0))</f>
        <v>Makanan</v>
      </c>
      <c r="I156" s="2" t="str">
        <f aca="false">CHOOSE(WEEKDAY(B156,2),"Senin","Selasa","Rabu","Kamis","Jumat","Sabtu","Minggu")</f>
        <v>Kamis</v>
      </c>
      <c r="J156" s="2" t="n">
        <f aca="false">HOUR(E156)</f>
        <v>11</v>
      </c>
      <c r="K156" s="2" t="str">
        <f aca="false">IF(J156&lt;11,"Pagi",IF(J156&lt;17,"Siang","Malam"))</f>
        <v>Siang</v>
      </c>
      <c r="L156" s="2" t="n">
        <f aca="false">IF(A156&lt;&gt;A155,1,0)</f>
        <v>0</v>
      </c>
    </row>
    <row r="157" customFormat="false" ht="15" hidden="false" customHeight="false" outlineLevel="0" collapsed="false">
      <c r="A157" s="2" t="s">
        <v>278</v>
      </c>
      <c r="B157" s="13" t="n">
        <v>46268</v>
      </c>
      <c r="C157" s="2" t="s">
        <v>89</v>
      </c>
      <c r="D157" s="2" t="n">
        <v>1</v>
      </c>
      <c r="E157" s="15" t="n">
        <v>0.49375</v>
      </c>
      <c r="F157" s="7" t="n">
        <v>14000</v>
      </c>
      <c r="G157" s="7" t="n">
        <f aca="false">D157*F157</f>
        <v>14000</v>
      </c>
      <c r="H157" s="2" t="str">
        <f aca="false">INDEX(Daftar_Menu!$B$2:$B$13,MATCH(C157,Daftar_Menu!$A$2:$A$13,0))</f>
        <v>Makanan</v>
      </c>
      <c r="I157" s="2" t="str">
        <f aca="false">CHOOSE(WEEKDAY(B157,2),"Senin","Selasa","Rabu","Kamis","Jumat","Sabtu","Minggu")</f>
        <v>Kamis</v>
      </c>
      <c r="J157" s="2" t="n">
        <f aca="false">HOUR(E157)</f>
        <v>11</v>
      </c>
      <c r="K157" s="2" t="str">
        <f aca="false">IF(J157&lt;11,"Pagi",IF(J157&lt;17,"Siang","Malam"))</f>
        <v>Siang</v>
      </c>
      <c r="L157" s="2" t="n">
        <f aca="false">IF(A157&lt;&gt;A156,1,0)</f>
        <v>1</v>
      </c>
    </row>
    <row r="158" customFormat="false" ht="15" hidden="false" customHeight="false" outlineLevel="0" collapsed="false">
      <c r="A158" s="2" t="s">
        <v>278</v>
      </c>
      <c r="B158" s="13" t="n">
        <v>46268</v>
      </c>
      <c r="C158" s="2" t="s">
        <v>84</v>
      </c>
      <c r="D158" s="2" t="n">
        <v>1</v>
      </c>
      <c r="E158" s="15" t="n">
        <v>0.49375</v>
      </c>
      <c r="F158" s="7" t="n">
        <v>5000</v>
      </c>
      <c r="G158" s="7" t="n">
        <f aca="false">D158*F158</f>
        <v>5000</v>
      </c>
      <c r="H158" s="2" t="str">
        <f aca="false">INDEX(Daftar_Menu!$B$2:$B$13,MATCH(C158,Daftar_Menu!$A$2:$A$13,0))</f>
        <v>Minuman</v>
      </c>
      <c r="I158" s="2" t="str">
        <f aca="false">CHOOSE(WEEKDAY(B158,2),"Senin","Selasa","Rabu","Kamis","Jumat","Sabtu","Minggu")</f>
        <v>Kamis</v>
      </c>
      <c r="J158" s="2" t="n">
        <f aca="false">HOUR(E158)</f>
        <v>11</v>
      </c>
      <c r="K158" s="2" t="str">
        <f aca="false">IF(J158&lt;11,"Pagi",IF(J158&lt;17,"Siang","Malam"))</f>
        <v>Siang</v>
      </c>
      <c r="L158" s="2" t="n">
        <f aca="false">IF(A158&lt;&gt;A157,1,0)</f>
        <v>0</v>
      </c>
    </row>
    <row r="159" customFormat="false" ht="15" hidden="false" customHeight="false" outlineLevel="0" collapsed="false">
      <c r="A159" s="2" t="s">
        <v>280</v>
      </c>
      <c r="B159" s="13" t="n">
        <v>46268</v>
      </c>
      <c r="C159" s="2" t="s">
        <v>89</v>
      </c>
      <c r="D159" s="2" t="n">
        <v>3</v>
      </c>
      <c r="E159" s="15" t="n">
        <v>0.504861111111111</v>
      </c>
      <c r="F159" s="7" t="n">
        <v>14000</v>
      </c>
      <c r="G159" s="7" t="n">
        <f aca="false">D159*F159</f>
        <v>42000</v>
      </c>
      <c r="H159" s="2" t="str">
        <f aca="false">INDEX(Daftar_Menu!$B$2:$B$13,MATCH(C159,Daftar_Menu!$A$2:$A$13,0))</f>
        <v>Makanan</v>
      </c>
      <c r="I159" s="2" t="str">
        <f aca="false">CHOOSE(WEEKDAY(B159,2),"Senin","Selasa","Rabu","Kamis","Jumat","Sabtu","Minggu")</f>
        <v>Kamis</v>
      </c>
      <c r="J159" s="2" t="n">
        <f aca="false">HOUR(E159)</f>
        <v>12</v>
      </c>
      <c r="K159" s="2" t="str">
        <f aca="false">IF(J159&lt;11,"Pagi",IF(J159&lt;17,"Siang","Malam"))</f>
        <v>Siang</v>
      </c>
      <c r="L159" s="2" t="n">
        <f aca="false">IF(A159&lt;&gt;A158,1,0)</f>
        <v>1</v>
      </c>
    </row>
    <row r="160" customFormat="false" ht="15" hidden="false" customHeight="false" outlineLevel="0" collapsed="false">
      <c r="A160" s="2" t="s">
        <v>280</v>
      </c>
      <c r="B160" s="13" t="n">
        <v>46268</v>
      </c>
      <c r="C160" s="2" t="s">
        <v>108</v>
      </c>
      <c r="D160" s="2" t="n">
        <v>1</v>
      </c>
      <c r="E160" s="15" t="n">
        <v>0.504861111111111</v>
      </c>
      <c r="F160" s="7" t="n">
        <v>20000</v>
      </c>
      <c r="G160" s="7" t="n">
        <f aca="false">D160*F160</f>
        <v>20000</v>
      </c>
      <c r="H160" s="2" t="str">
        <f aca="false">INDEX(Daftar_Menu!$B$2:$B$13,MATCH(C160,Daftar_Menu!$A$2:$A$13,0))</f>
        <v>Makanan</v>
      </c>
      <c r="I160" s="2" t="str">
        <f aca="false">CHOOSE(WEEKDAY(B160,2),"Senin","Selasa","Rabu","Kamis","Jumat","Sabtu","Minggu")</f>
        <v>Kamis</v>
      </c>
      <c r="J160" s="2" t="n">
        <f aca="false">HOUR(E160)</f>
        <v>12</v>
      </c>
      <c r="K160" s="2" t="str">
        <f aca="false">IF(J160&lt;11,"Pagi",IF(J160&lt;17,"Siang","Malam"))</f>
        <v>Siang</v>
      </c>
      <c r="L160" s="2" t="n">
        <f aca="false">IF(A160&lt;&gt;A159,1,0)</f>
        <v>0</v>
      </c>
    </row>
    <row r="161" customFormat="false" ht="15" hidden="false" customHeight="false" outlineLevel="0" collapsed="false">
      <c r="A161" s="2" t="s">
        <v>280</v>
      </c>
      <c r="B161" s="13" t="n">
        <v>46268</v>
      </c>
      <c r="C161" s="2" t="s">
        <v>84</v>
      </c>
      <c r="D161" s="2" t="n">
        <v>3</v>
      </c>
      <c r="E161" s="15" t="n">
        <v>0.504861111111111</v>
      </c>
      <c r="F161" s="7" t="n">
        <v>5000</v>
      </c>
      <c r="G161" s="7" t="n">
        <f aca="false">D161*F161</f>
        <v>15000</v>
      </c>
      <c r="H161" s="2" t="str">
        <f aca="false">INDEX(Daftar_Menu!$B$2:$B$13,MATCH(C161,Daftar_Menu!$A$2:$A$13,0))</f>
        <v>Minuman</v>
      </c>
      <c r="I161" s="2" t="str">
        <f aca="false">CHOOSE(WEEKDAY(B161,2),"Senin","Selasa","Rabu","Kamis","Jumat","Sabtu","Minggu")</f>
        <v>Kamis</v>
      </c>
      <c r="J161" s="2" t="n">
        <f aca="false">HOUR(E161)</f>
        <v>12</v>
      </c>
      <c r="K161" s="2" t="str">
        <f aca="false">IF(J161&lt;11,"Pagi",IF(J161&lt;17,"Siang","Malam"))</f>
        <v>Siang</v>
      </c>
      <c r="L161" s="2" t="n">
        <f aca="false">IF(A161&lt;&gt;A160,1,0)</f>
        <v>0</v>
      </c>
    </row>
    <row r="162" customFormat="false" ht="15" hidden="false" customHeight="false" outlineLevel="0" collapsed="false">
      <c r="A162" s="2" t="s">
        <v>282</v>
      </c>
      <c r="B162" s="13" t="n">
        <v>46268</v>
      </c>
      <c r="C162" s="2" t="s">
        <v>101</v>
      </c>
      <c r="D162" s="2" t="n">
        <v>1</v>
      </c>
      <c r="E162" s="15" t="n">
        <v>0.521527777777778</v>
      </c>
      <c r="F162" s="7" t="n">
        <v>18000</v>
      </c>
      <c r="G162" s="7" t="n">
        <f aca="false">D162*F162</f>
        <v>18000</v>
      </c>
      <c r="H162" s="2" t="str">
        <f aca="false">INDEX(Daftar_Menu!$B$2:$B$13,MATCH(C162,Daftar_Menu!$A$2:$A$13,0))</f>
        <v>Makanan</v>
      </c>
      <c r="I162" s="2" t="str">
        <f aca="false">CHOOSE(WEEKDAY(B162,2),"Senin","Selasa","Rabu","Kamis","Jumat","Sabtu","Minggu")</f>
        <v>Kamis</v>
      </c>
      <c r="J162" s="2" t="n">
        <f aca="false">HOUR(E162)</f>
        <v>12</v>
      </c>
      <c r="K162" s="2" t="str">
        <f aca="false">IF(J162&lt;11,"Pagi",IF(J162&lt;17,"Siang","Malam"))</f>
        <v>Siang</v>
      </c>
      <c r="L162" s="2" t="n">
        <f aca="false">IF(A162&lt;&gt;A161,1,0)</f>
        <v>1</v>
      </c>
    </row>
    <row r="163" customFormat="false" ht="15" hidden="false" customHeight="false" outlineLevel="0" collapsed="false">
      <c r="A163" s="2" t="s">
        <v>282</v>
      </c>
      <c r="B163" s="13" t="n">
        <v>46268</v>
      </c>
      <c r="C163" s="2" t="s">
        <v>92</v>
      </c>
      <c r="D163" s="2" t="n">
        <v>1</v>
      </c>
      <c r="E163" s="15" t="n">
        <v>0.521527777777778</v>
      </c>
      <c r="F163" s="7" t="n">
        <v>4000</v>
      </c>
      <c r="G163" s="7" t="n">
        <f aca="false">D163*F163</f>
        <v>4000</v>
      </c>
      <c r="H163" s="2" t="str">
        <f aca="false">INDEX(Daftar_Menu!$B$2:$B$13,MATCH(C163,Daftar_Menu!$A$2:$A$13,0))</f>
        <v>Minuman</v>
      </c>
      <c r="I163" s="2" t="str">
        <f aca="false">CHOOSE(WEEKDAY(B163,2),"Senin","Selasa","Rabu","Kamis","Jumat","Sabtu","Minggu")</f>
        <v>Kamis</v>
      </c>
      <c r="J163" s="2" t="n">
        <f aca="false">HOUR(E163)</f>
        <v>12</v>
      </c>
      <c r="K163" s="2" t="str">
        <f aca="false">IF(J163&lt;11,"Pagi",IF(J163&lt;17,"Siang","Malam"))</f>
        <v>Siang</v>
      </c>
      <c r="L163" s="2" t="n">
        <f aca="false">IF(A163&lt;&gt;A162,1,0)</f>
        <v>0</v>
      </c>
    </row>
    <row r="164" customFormat="false" ht="15" hidden="false" customHeight="false" outlineLevel="0" collapsed="false">
      <c r="A164" s="2" t="s">
        <v>282</v>
      </c>
      <c r="B164" s="13" t="n">
        <v>46268</v>
      </c>
      <c r="C164" s="2" t="s">
        <v>108</v>
      </c>
      <c r="D164" s="2" t="n">
        <v>1</v>
      </c>
      <c r="E164" s="15" t="n">
        <v>0.521527777777778</v>
      </c>
      <c r="F164" s="7" t="n">
        <v>20000</v>
      </c>
      <c r="G164" s="7" t="n">
        <f aca="false">D164*F164</f>
        <v>20000</v>
      </c>
      <c r="H164" s="2" t="str">
        <f aca="false">INDEX(Daftar_Menu!$B$2:$B$13,MATCH(C164,Daftar_Menu!$A$2:$A$13,0))</f>
        <v>Makanan</v>
      </c>
      <c r="I164" s="2" t="str">
        <f aca="false">CHOOSE(WEEKDAY(B164,2),"Senin","Selasa","Rabu","Kamis","Jumat","Sabtu","Minggu")</f>
        <v>Kamis</v>
      </c>
      <c r="J164" s="2" t="n">
        <f aca="false">HOUR(E164)</f>
        <v>12</v>
      </c>
      <c r="K164" s="2" t="str">
        <f aca="false">IF(J164&lt;11,"Pagi",IF(J164&lt;17,"Siang","Malam"))</f>
        <v>Siang</v>
      </c>
      <c r="L164" s="2" t="n">
        <f aca="false">IF(A164&lt;&gt;A163,1,0)</f>
        <v>0</v>
      </c>
    </row>
    <row r="165" customFormat="false" ht="15" hidden="false" customHeight="false" outlineLevel="0" collapsed="false">
      <c r="A165" s="2" t="s">
        <v>283</v>
      </c>
      <c r="B165" s="13" t="n">
        <v>46268</v>
      </c>
      <c r="C165" s="2" t="s">
        <v>132</v>
      </c>
      <c r="D165" s="2" t="n">
        <v>2</v>
      </c>
      <c r="E165" s="15" t="n">
        <v>0.55</v>
      </c>
      <c r="F165" s="7" t="n">
        <v>15000</v>
      </c>
      <c r="G165" s="7" t="n">
        <f aca="false">D165*F165</f>
        <v>30000</v>
      </c>
      <c r="H165" s="2" t="str">
        <f aca="false">INDEX(Daftar_Menu!$B$2:$B$13,MATCH(C165,Daftar_Menu!$A$2:$A$13,0))</f>
        <v>Makanan</v>
      </c>
      <c r="I165" s="2" t="str">
        <f aca="false">CHOOSE(WEEKDAY(B165,2),"Senin","Selasa","Rabu","Kamis","Jumat","Sabtu","Minggu")</f>
        <v>Kamis</v>
      </c>
      <c r="J165" s="2" t="n">
        <f aca="false">HOUR(E165)</f>
        <v>13</v>
      </c>
      <c r="K165" s="2" t="str">
        <f aca="false">IF(J165&lt;11,"Pagi",IF(J165&lt;17,"Siang","Malam"))</f>
        <v>Siang</v>
      </c>
      <c r="L165" s="2" t="n">
        <f aca="false">IF(A165&lt;&gt;A164,1,0)</f>
        <v>1</v>
      </c>
    </row>
    <row r="166" customFormat="false" ht="15" hidden="false" customHeight="false" outlineLevel="0" collapsed="false">
      <c r="A166" s="2" t="s">
        <v>283</v>
      </c>
      <c r="B166" s="13" t="n">
        <v>46268</v>
      </c>
      <c r="C166" s="2" t="s">
        <v>186</v>
      </c>
      <c r="D166" s="2" t="n">
        <v>1</v>
      </c>
      <c r="E166" s="15" t="n">
        <v>0.55</v>
      </c>
      <c r="F166" s="7" t="n">
        <v>7000</v>
      </c>
      <c r="G166" s="7" t="n">
        <f aca="false">D166*F166</f>
        <v>7000</v>
      </c>
      <c r="H166" s="2" t="str">
        <f aca="false">INDEX(Daftar_Menu!$B$2:$B$13,MATCH(C166,Daftar_Menu!$A$2:$A$13,0))</f>
        <v>Minuman</v>
      </c>
      <c r="I166" s="2" t="str">
        <f aca="false">CHOOSE(WEEKDAY(B166,2),"Senin","Selasa","Rabu","Kamis","Jumat","Sabtu","Minggu")</f>
        <v>Kamis</v>
      </c>
      <c r="J166" s="2" t="n">
        <f aca="false">HOUR(E166)</f>
        <v>13</v>
      </c>
      <c r="K166" s="2" t="str">
        <f aca="false">IF(J166&lt;11,"Pagi",IF(J166&lt;17,"Siang","Malam"))</f>
        <v>Siang</v>
      </c>
      <c r="L166" s="2" t="n">
        <f aca="false">IF(A166&lt;&gt;A165,1,0)</f>
        <v>0</v>
      </c>
    </row>
    <row r="167" customFormat="false" ht="15" hidden="false" customHeight="false" outlineLevel="0" collapsed="false">
      <c r="A167" s="2" t="s">
        <v>283</v>
      </c>
      <c r="B167" s="13" t="n">
        <v>46268</v>
      </c>
      <c r="C167" s="2" t="s">
        <v>112</v>
      </c>
      <c r="D167" s="2" t="n">
        <v>2</v>
      </c>
      <c r="E167" s="15" t="n">
        <v>0.55</v>
      </c>
      <c r="F167" s="7" t="n">
        <v>10000</v>
      </c>
      <c r="G167" s="7" t="n">
        <f aca="false">D167*F167</f>
        <v>20000</v>
      </c>
      <c r="H167" s="2" t="str">
        <f aca="false">INDEX(Daftar_Menu!$B$2:$B$13,MATCH(C167,Daftar_Menu!$A$2:$A$13,0))</f>
        <v>Minuman</v>
      </c>
      <c r="I167" s="2" t="str">
        <f aca="false">CHOOSE(WEEKDAY(B167,2),"Senin","Selasa","Rabu","Kamis","Jumat","Sabtu","Minggu")</f>
        <v>Kamis</v>
      </c>
      <c r="J167" s="2" t="n">
        <f aca="false">HOUR(E167)</f>
        <v>13</v>
      </c>
      <c r="K167" s="2" t="str">
        <f aca="false">IF(J167&lt;11,"Pagi",IF(J167&lt;17,"Siang","Malam"))</f>
        <v>Siang</v>
      </c>
      <c r="L167" s="2" t="n">
        <f aca="false">IF(A167&lt;&gt;A166,1,0)</f>
        <v>0</v>
      </c>
    </row>
    <row r="168" customFormat="false" ht="15" hidden="false" customHeight="false" outlineLevel="0" collapsed="false">
      <c r="A168" s="2" t="s">
        <v>284</v>
      </c>
      <c r="B168" s="13" t="n">
        <v>46268</v>
      </c>
      <c r="C168" s="2" t="s">
        <v>82</v>
      </c>
      <c r="D168" s="2" t="n">
        <v>1</v>
      </c>
      <c r="E168" s="15" t="n">
        <v>0.560416666666667</v>
      </c>
      <c r="F168" s="7" t="n">
        <v>13000</v>
      </c>
      <c r="G168" s="7" t="n">
        <f aca="false">D168*F168</f>
        <v>13000</v>
      </c>
      <c r="H168" s="2" t="str">
        <f aca="false">INDEX(Daftar_Menu!$B$2:$B$13,MATCH(C168,Daftar_Menu!$A$2:$A$13,0))</f>
        <v>Makanan</v>
      </c>
      <c r="I168" s="2" t="str">
        <f aca="false">CHOOSE(WEEKDAY(B168,2),"Senin","Selasa","Rabu","Kamis","Jumat","Sabtu","Minggu")</f>
        <v>Kamis</v>
      </c>
      <c r="J168" s="2" t="n">
        <f aca="false">HOUR(E168)</f>
        <v>13</v>
      </c>
      <c r="K168" s="2" t="str">
        <f aca="false">IF(J168&lt;11,"Pagi",IF(J168&lt;17,"Siang","Malam"))</f>
        <v>Siang</v>
      </c>
      <c r="L168" s="2" t="n">
        <f aca="false">IF(A168&lt;&gt;A167,1,0)</f>
        <v>1</v>
      </c>
    </row>
    <row r="169" customFormat="false" ht="15" hidden="false" customHeight="false" outlineLevel="0" collapsed="false">
      <c r="A169" s="2" t="s">
        <v>284</v>
      </c>
      <c r="B169" s="13" t="n">
        <v>46268</v>
      </c>
      <c r="C169" s="2" t="s">
        <v>186</v>
      </c>
      <c r="D169" s="2" t="n">
        <v>1</v>
      </c>
      <c r="E169" s="15" t="n">
        <v>0.560416666666667</v>
      </c>
      <c r="F169" s="7" t="n">
        <v>7000</v>
      </c>
      <c r="G169" s="7" t="n">
        <f aca="false">D169*F169</f>
        <v>7000</v>
      </c>
      <c r="H169" s="2" t="str">
        <f aca="false">INDEX(Daftar_Menu!$B$2:$B$13,MATCH(C169,Daftar_Menu!$A$2:$A$13,0))</f>
        <v>Minuman</v>
      </c>
      <c r="I169" s="2" t="str">
        <f aca="false">CHOOSE(WEEKDAY(B169,2),"Senin","Selasa","Rabu","Kamis","Jumat","Sabtu","Minggu")</f>
        <v>Kamis</v>
      </c>
      <c r="J169" s="2" t="n">
        <f aca="false">HOUR(E169)</f>
        <v>13</v>
      </c>
      <c r="K169" s="2" t="str">
        <f aca="false">IF(J169&lt;11,"Pagi",IF(J169&lt;17,"Siang","Malam"))</f>
        <v>Siang</v>
      </c>
      <c r="L169" s="2" t="n">
        <f aca="false">IF(A169&lt;&gt;A168,1,0)</f>
        <v>0</v>
      </c>
    </row>
    <row r="170" customFormat="false" ht="15" hidden="false" customHeight="false" outlineLevel="0" collapsed="false">
      <c r="A170" s="2" t="s">
        <v>285</v>
      </c>
      <c r="B170" s="13" t="n">
        <v>46268</v>
      </c>
      <c r="C170" s="2" t="s">
        <v>89</v>
      </c>
      <c r="D170" s="2" t="n">
        <v>1</v>
      </c>
      <c r="E170" s="15" t="n">
        <v>0.575694444444444</v>
      </c>
      <c r="F170" s="7" t="n">
        <v>14000</v>
      </c>
      <c r="G170" s="7" t="n">
        <f aca="false">D170*F170</f>
        <v>14000</v>
      </c>
      <c r="H170" s="2" t="str">
        <f aca="false">INDEX(Daftar_Menu!$B$2:$B$13,MATCH(C170,Daftar_Menu!$A$2:$A$13,0))</f>
        <v>Makanan</v>
      </c>
      <c r="I170" s="2" t="str">
        <f aca="false">CHOOSE(WEEKDAY(B170,2),"Senin","Selasa","Rabu","Kamis","Jumat","Sabtu","Minggu")</f>
        <v>Kamis</v>
      </c>
      <c r="J170" s="2" t="n">
        <f aca="false">HOUR(E170)</f>
        <v>13</v>
      </c>
      <c r="K170" s="2" t="str">
        <f aca="false">IF(J170&lt;11,"Pagi",IF(J170&lt;17,"Siang","Malam"))</f>
        <v>Siang</v>
      </c>
      <c r="L170" s="2" t="n">
        <f aca="false">IF(A170&lt;&gt;A169,1,0)</f>
        <v>1</v>
      </c>
    </row>
    <row r="171" customFormat="false" ht="15" hidden="false" customHeight="false" outlineLevel="0" collapsed="false">
      <c r="A171" s="2" t="s">
        <v>285</v>
      </c>
      <c r="B171" s="13" t="n">
        <v>46268</v>
      </c>
      <c r="C171" s="2" t="s">
        <v>84</v>
      </c>
      <c r="D171" s="2" t="n">
        <v>1</v>
      </c>
      <c r="E171" s="15" t="n">
        <v>0.575694444444444</v>
      </c>
      <c r="F171" s="7" t="n">
        <v>5000</v>
      </c>
      <c r="G171" s="7" t="n">
        <f aca="false">D171*F171</f>
        <v>5000</v>
      </c>
      <c r="H171" s="2" t="str">
        <f aca="false">INDEX(Daftar_Menu!$B$2:$B$13,MATCH(C171,Daftar_Menu!$A$2:$A$13,0))</f>
        <v>Minuman</v>
      </c>
      <c r="I171" s="2" t="str">
        <f aca="false">CHOOSE(WEEKDAY(B171,2),"Senin","Selasa","Rabu","Kamis","Jumat","Sabtu","Minggu")</f>
        <v>Kamis</v>
      </c>
      <c r="J171" s="2" t="n">
        <f aca="false">HOUR(E171)</f>
        <v>13</v>
      </c>
      <c r="K171" s="2" t="str">
        <f aca="false">IF(J171&lt;11,"Pagi",IF(J171&lt;17,"Siang","Malam"))</f>
        <v>Siang</v>
      </c>
      <c r="L171" s="2" t="n">
        <f aca="false">IF(A171&lt;&gt;A170,1,0)</f>
        <v>0</v>
      </c>
    </row>
    <row r="172" customFormat="false" ht="15" hidden="false" customHeight="false" outlineLevel="0" collapsed="false">
      <c r="A172" s="2" t="s">
        <v>287</v>
      </c>
      <c r="B172" s="13" t="n">
        <v>46268</v>
      </c>
      <c r="C172" s="2" t="s">
        <v>84</v>
      </c>
      <c r="D172" s="2" t="n">
        <v>2</v>
      </c>
      <c r="E172" s="15" t="n">
        <v>0.577083333333333</v>
      </c>
      <c r="F172" s="7" t="n">
        <v>5000</v>
      </c>
      <c r="G172" s="7" t="n">
        <f aca="false">D172*F172</f>
        <v>10000</v>
      </c>
      <c r="H172" s="2" t="str">
        <f aca="false">INDEX(Daftar_Menu!$B$2:$B$13,MATCH(C172,Daftar_Menu!$A$2:$A$13,0))</f>
        <v>Minuman</v>
      </c>
      <c r="I172" s="2" t="str">
        <f aca="false">CHOOSE(WEEKDAY(B172,2),"Senin","Selasa","Rabu","Kamis","Jumat","Sabtu","Minggu")</f>
        <v>Kamis</v>
      </c>
      <c r="J172" s="2" t="n">
        <f aca="false">HOUR(E172)</f>
        <v>13</v>
      </c>
      <c r="K172" s="2" t="str">
        <f aca="false">IF(J172&lt;11,"Pagi",IF(J172&lt;17,"Siang","Malam"))</f>
        <v>Siang</v>
      </c>
      <c r="L172" s="2" t="n">
        <f aca="false">IF(A172&lt;&gt;A171,1,0)</f>
        <v>1</v>
      </c>
    </row>
    <row r="173" customFormat="false" ht="15" hidden="false" customHeight="false" outlineLevel="0" collapsed="false">
      <c r="A173" s="2" t="s">
        <v>289</v>
      </c>
      <c r="B173" s="13" t="n">
        <v>46268</v>
      </c>
      <c r="C173" s="2" t="s">
        <v>108</v>
      </c>
      <c r="D173" s="2" t="n">
        <v>1</v>
      </c>
      <c r="E173" s="15" t="n">
        <v>0.603472222222222</v>
      </c>
      <c r="F173" s="7" t="n">
        <v>20000</v>
      </c>
      <c r="G173" s="7" t="n">
        <f aca="false">D173*F173</f>
        <v>20000</v>
      </c>
      <c r="H173" s="2" t="str">
        <f aca="false">INDEX(Daftar_Menu!$B$2:$B$13,MATCH(C173,Daftar_Menu!$A$2:$A$13,0))</f>
        <v>Makanan</v>
      </c>
      <c r="I173" s="2" t="str">
        <f aca="false">CHOOSE(WEEKDAY(B173,2),"Senin","Selasa","Rabu","Kamis","Jumat","Sabtu","Minggu")</f>
        <v>Kamis</v>
      </c>
      <c r="J173" s="2" t="n">
        <f aca="false">HOUR(E173)</f>
        <v>14</v>
      </c>
      <c r="K173" s="2" t="str">
        <f aca="false">IF(J173&lt;11,"Pagi",IF(J173&lt;17,"Siang","Malam"))</f>
        <v>Siang</v>
      </c>
      <c r="L173" s="2" t="n">
        <f aca="false">IF(A173&lt;&gt;A172,1,0)</f>
        <v>1</v>
      </c>
    </row>
    <row r="174" customFormat="false" ht="15" hidden="false" customHeight="false" outlineLevel="0" collapsed="false">
      <c r="A174" s="2" t="s">
        <v>289</v>
      </c>
      <c r="B174" s="13" t="n">
        <v>46268</v>
      </c>
      <c r="C174" s="2" t="s">
        <v>132</v>
      </c>
      <c r="D174" s="2" t="n">
        <v>1</v>
      </c>
      <c r="E174" s="15" t="n">
        <v>0.603472222222222</v>
      </c>
      <c r="F174" s="7" t="n">
        <v>15000</v>
      </c>
      <c r="G174" s="7" t="n">
        <f aca="false">D174*F174</f>
        <v>15000</v>
      </c>
      <c r="H174" s="2" t="str">
        <f aca="false">INDEX(Daftar_Menu!$B$2:$B$13,MATCH(C174,Daftar_Menu!$A$2:$A$13,0))</f>
        <v>Makanan</v>
      </c>
      <c r="I174" s="2" t="str">
        <f aca="false">CHOOSE(WEEKDAY(B174,2),"Senin","Selasa","Rabu","Kamis","Jumat","Sabtu","Minggu")</f>
        <v>Kamis</v>
      </c>
      <c r="J174" s="2" t="n">
        <f aca="false">HOUR(E174)</f>
        <v>14</v>
      </c>
      <c r="K174" s="2" t="str">
        <f aca="false">IF(J174&lt;11,"Pagi",IF(J174&lt;17,"Siang","Malam"))</f>
        <v>Siang</v>
      </c>
      <c r="L174" s="2" t="n">
        <f aca="false">IF(A174&lt;&gt;A173,1,0)</f>
        <v>0</v>
      </c>
    </row>
    <row r="175" customFormat="false" ht="15" hidden="false" customHeight="false" outlineLevel="0" collapsed="false">
      <c r="A175" s="2" t="s">
        <v>291</v>
      </c>
      <c r="B175" s="13" t="n">
        <v>46268</v>
      </c>
      <c r="C175" s="2" t="s">
        <v>81</v>
      </c>
      <c r="D175" s="2" t="n">
        <v>1</v>
      </c>
      <c r="E175" s="15" t="n">
        <v>0.616666666666667</v>
      </c>
      <c r="F175" s="7" t="n">
        <v>15000</v>
      </c>
      <c r="G175" s="7" t="n">
        <f aca="false">D175*F175</f>
        <v>15000</v>
      </c>
      <c r="H175" s="2" t="str">
        <f aca="false">INDEX(Daftar_Menu!$B$2:$B$13,MATCH(C175,Daftar_Menu!$A$2:$A$13,0))</f>
        <v>Makanan</v>
      </c>
      <c r="I175" s="2" t="str">
        <f aca="false">CHOOSE(WEEKDAY(B175,2),"Senin","Selasa","Rabu","Kamis","Jumat","Sabtu","Minggu")</f>
        <v>Kamis</v>
      </c>
      <c r="J175" s="2" t="n">
        <f aca="false">HOUR(E175)</f>
        <v>14</v>
      </c>
      <c r="K175" s="2" t="str">
        <f aca="false">IF(J175&lt;11,"Pagi",IF(J175&lt;17,"Siang","Malam"))</f>
        <v>Siang</v>
      </c>
      <c r="L175" s="2" t="n">
        <f aca="false">IF(A175&lt;&gt;A174,1,0)</f>
        <v>1</v>
      </c>
    </row>
    <row r="176" customFormat="false" ht="15" hidden="false" customHeight="false" outlineLevel="0" collapsed="false">
      <c r="A176" s="2" t="s">
        <v>293</v>
      </c>
      <c r="B176" s="13" t="n">
        <v>46268</v>
      </c>
      <c r="C176" s="2" t="s">
        <v>89</v>
      </c>
      <c r="D176" s="2" t="n">
        <v>2</v>
      </c>
      <c r="E176" s="15" t="n">
        <v>0.638888888888889</v>
      </c>
      <c r="F176" s="7" t="n">
        <v>14000</v>
      </c>
      <c r="G176" s="7" t="n">
        <f aca="false">D176*F176</f>
        <v>28000</v>
      </c>
      <c r="H176" s="2" t="str">
        <f aca="false">INDEX(Daftar_Menu!$B$2:$B$13,MATCH(C176,Daftar_Menu!$A$2:$A$13,0))</f>
        <v>Makanan</v>
      </c>
      <c r="I176" s="2" t="str">
        <f aca="false">CHOOSE(WEEKDAY(B176,2),"Senin","Selasa","Rabu","Kamis","Jumat","Sabtu","Minggu")</f>
        <v>Kamis</v>
      </c>
      <c r="J176" s="2" t="n">
        <f aca="false">HOUR(E176)</f>
        <v>15</v>
      </c>
      <c r="K176" s="2" t="str">
        <f aca="false">IF(J176&lt;11,"Pagi",IF(J176&lt;17,"Siang","Malam"))</f>
        <v>Siang</v>
      </c>
      <c r="L176" s="2" t="n">
        <f aca="false">IF(A176&lt;&gt;A175,1,0)</f>
        <v>1</v>
      </c>
    </row>
    <row r="177" customFormat="false" ht="15" hidden="false" customHeight="false" outlineLevel="0" collapsed="false">
      <c r="A177" s="2" t="s">
        <v>295</v>
      </c>
      <c r="B177" s="13" t="n">
        <v>46268</v>
      </c>
      <c r="C177" s="2" t="s">
        <v>81</v>
      </c>
      <c r="D177" s="2" t="n">
        <v>3</v>
      </c>
      <c r="E177" s="15" t="n">
        <v>0.64375</v>
      </c>
      <c r="F177" s="7" t="n">
        <v>15000</v>
      </c>
      <c r="G177" s="7" t="n">
        <f aca="false">D177*F177</f>
        <v>45000</v>
      </c>
      <c r="H177" s="2" t="str">
        <f aca="false">INDEX(Daftar_Menu!$B$2:$B$13,MATCH(C177,Daftar_Menu!$A$2:$A$13,0))</f>
        <v>Makanan</v>
      </c>
      <c r="I177" s="2" t="str">
        <f aca="false">CHOOSE(WEEKDAY(B177,2),"Senin","Selasa","Rabu","Kamis","Jumat","Sabtu","Minggu")</f>
        <v>Kamis</v>
      </c>
      <c r="J177" s="2" t="n">
        <f aca="false">HOUR(E177)</f>
        <v>15</v>
      </c>
      <c r="K177" s="2" t="str">
        <f aca="false">IF(J177&lt;11,"Pagi",IF(J177&lt;17,"Siang","Malam"))</f>
        <v>Siang</v>
      </c>
      <c r="L177" s="2" t="n">
        <f aca="false">IF(A177&lt;&gt;A176,1,0)</f>
        <v>1</v>
      </c>
    </row>
    <row r="178" customFormat="false" ht="15" hidden="false" customHeight="false" outlineLevel="0" collapsed="false">
      <c r="A178" s="2" t="s">
        <v>295</v>
      </c>
      <c r="B178" s="13" t="n">
        <v>46268</v>
      </c>
      <c r="C178" s="2" t="s">
        <v>186</v>
      </c>
      <c r="D178" s="2" t="n">
        <v>2</v>
      </c>
      <c r="E178" s="15" t="n">
        <v>0.64375</v>
      </c>
      <c r="F178" s="7" t="n">
        <v>7000</v>
      </c>
      <c r="G178" s="7" t="n">
        <f aca="false">D178*F178</f>
        <v>14000</v>
      </c>
      <c r="H178" s="2" t="str">
        <f aca="false">INDEX(Daftar_Menu!$B$2:$B$13,MATCH(C178,Daftar_Menu!$A$2:$A$13,0))</f>
        <v>Minuman</v>
      </c>
      <c r="I178" s="2" t="str">
        <f aca="false">CHOOSE(WEEKDAY(B178,2),"Senin","Selasa","Rabu","Kamis","Jumat","Sabtu","Minggu")</f>
        <v>Kamis</v>
      </c>
      <c r="J178" s="2" t="n">
        <f aca="false">HOUR(E178)</f>
        <v>15</v>
      </c>
      <c r="K178" s="2" t="str">
        <f aca="false">IF(J178&lt;11,"Pagi",IF(J178&lt;17,"Siang","Malam"))</f>
        <v>Siang</v>
      </c>
      <c r="L178" s="2" t="n">
        <f aca="false">IF(A178&lt;&gt;A177,1,0)</f>
        <v>0</v>
      </c>
    </row>
    <row r="179" customFormat="false" ht="15" hidden="false" customHeight="false" outlineLevel="0" collapsed="false">
      <c r="A179" s="2" t="s">
        <v>295</v>
      </c>
      <c r="B179" s="13" t="n">
        <v>46268</v>
      </c>
      <c r="C179" s="2" t="s">
        <v>84</v>
      </c>
      <c r="D179" s="2" t="n">
        <v>2</v>
      </c>
      <c r="E179" s="15" t="n">
        <v>0.64375</v>
      </c>
      <c r="F179" s="7" t="n">
        <v>5000</v>
      </c>
      <c r="G179" s="7" t="n">
        <f aca="false">D179*F179</f>
        <v>10000</v>
      </c>
      <c r="H179" s="2" t="str">
        <f aca="false">INDEX(Daftar_Menu!$B$2:$B$13,MATCH(C179,Daftar_Menu!$A$2:$A$13,0))</f>
        <v>Minuman</v>
      </c>
      <c r="I179" s="2" t="str">
        <f aca="false">CHOOSE(WEEKDAY(B179,2),"Senin","Selasa","Rabu","Kamis","Jumat","Sabtu","Minggu")</f>
        <v>Kamis</v>
      </c>
      <c r="J179" s="2" t="n">
        <f aca="false">HOUR(E179)</f>
        <v>15</v>
      </c>
      <c r="K179" s="2" t="str">
        <f aca="false">IF(J179&lt;11,"Pagi",IF(J179&lt;17,"Siang","Malam"))</f>
        <v>Siang</v>
      </c>
      <c r="L179" s="2" t="n">
        <f aca="false">IF(A179&lt;&gt;A178,1,0)</f>
        <v>0</v>
      </c>
    </row>
    <row r="180" customFormat="false" ht="15" hidden="false" customHeight="false" outlineLevel="0" collapsed="false">
      <c r="A180" s="2" t="s">
        <v>297</v>
      </c>
      <c r="B180" s="13" t="n">
        <v>46268</v>
      </c>
      <c r="C180" s="2" t="s">
        <v>132</v>
      </c>
      <c r="D180" s="2" t="n">
        <v>1</v>
      </c>
      <c r="E180" s="15" t="n">
        <v>0.659722222222222</v>
      </c>
      <c r="F180" s="7" t="n">
        <v>15000</v>
      </c>
      <c r="G180" s="7" t="n">
        <f aca="false">D180*F180</f>
        <v>15000</v>
      </c>
      <c r="H180" s="2" t="str">
        <f aca="false">INDEX(Daftar_Menu!$B$2:$B$13,MATCH(C180,Daftar_Menu!$A$2:$A$13,0))</f>
        <v>Makanan</v>
      </c>
      <c r="I180" s="2" t="str">
        <f aca="false">CHOOSE(WEEKDAY(B180,2),"Senin","Selasa","Rabu","Kamis","Jumat","Sabtu","Minggu")</f>
        <v>Kamis</v>
      </c>
      <c r="J180" s="2" t="n">
        <f aca="false">HOUR(E180)</f>
        <v>15</v>
      </c>
      <c r="K180" s="2" t="str">
        <f aca="false">IF(J180&lt;11,"Pagi",IF(J180&lt;17,"Siang","Malam"))</f>
        <v>Siang</v>
      </c>
      <c r="L180" s="2" t="n">
        <f aca="false">IF(A180&lt;&gt;A179,1,0)</f>
        <v>1</v>
      </c>
    </row>
    <row r="181" customFormat="false" ht="15" hidden="false" customHeight="false" outlineLevel="0" collapsed="false">
      <c r="A181" s="2" t="s">
        <v>297</v>
      </c>
      <c r="B181" s="13" t="n">
        <v>46268</v>
      </c>
      <c r="C181" s="2" t="s">
        <v>101</v>
      </c>
      <c r="D181" s="2" t="n">
        <v>1</v>
      </c>
      <c r="E181" s="15" t="n">
        <v>0.659722222222222</v>
      </c>
      <c r="F181" s="7" t="n">
        <v>18000</v>
      </c>
      <c r="G181" s="7" t="n">
        <f aca="false">D181*F181</f>
        <v>18000</v>
      </c>
      <c r="H181" s="2" t="str">
        <f aca="false">INDEX(Daftar_Menu!$B$2:$B$13,MATCH(C181,Daftar_Menu!$A$2:$A$13,0))</f>
        <v>Makanan</v>
      </c>
      <c r="I181" s="2" t="str">
        <f aca="false">CHOOSE(WEEKDAY(B181,2),"Senin","Selasa","Rabu","Kamis","Jumat","Sabtu","Minggu")</f>
        <v>Kamis</v>
      </c>
      <c r="J181" s="2" t="n">
        <f aca="false">HOUR(E181)</f>
        <v>15</v>
      </c>
      <c r="K181" s="2" t="str">
        <f aca="false">IF(J181&lt;11,"Pagi",IF(J181&lt;17,"Siang","Malam"))</f>
        <v>Siang</v>
      </c>
      <c r="L181" s="2" t="n">
        <f aca="false">IF(A181&lt;&gt;A180,1,0)</f>
        <v>0</v>
      </c>
    </row>
    <row r="182" customFormat="false" ht="15" hidden="false" customHeight="false" outlineLevel="0" collapsed="false">
      <c r="A182" s="2" t="s">
        <v>297</v>
      </c>
      <c r="B182" s="13" t="n">
        <v>46268</v>
      </c>
      <c r="C182" s="2" t="s">
        <v>108</v>
      </c>
      <c r="D182" s="2" t="n">
        <v>1</v>
      </c>
      <c r="E182" s="15" t="n">
        <v>0.659722222222222</v>
      </c>
      <c r="F182" s="7" t="n">
        <v>20000</v>
      </c>
      <c r="G182" s="7" t="n">
        <f aca="false">D182*F182</f>
        <v>20000</v>
      </c>
      <c r="H182" s="2" t="str">
        <f aca="false">INDEX(Daftar_Menu!$B$2:$B$13,MATCH(C182,Daftar_Menu!$A$2:$A$13,0))</f>
        <v>Makanan</v>
      </c>
      <c r="I182" s="2" t="str">
        <f aca="false">CHOOSE(WEEKDAY(B182,2),"Senin","Selasa","Rabu","Kamis","Jumat","Sabtu","Minggu")</f>
        <v>Kamis</v>
      </c>
      <c r="J182" s="2" t="n">
        <f aca="false">HOUR(E182)</f>
        <v>15</v>
      </c>
      <c r="K182" s="2" t="str">
        <f aca="false">IF(J182&lt;11,"Pagi",IF(J182&lt;17,"Siang","Malam"))</f>
        <v>Siang</v>
      </c>
      <c r="L182" s="2" t="n">
        <f aca="false">IF(A182&lt;&gt;A181,1,0)</f>
        <v>0</v>
      </c>
    </row>
    <row r="183" customFormat="false" ht="15" hidden="false" customHeight="false" outlineLevel="0" collapsed="false">
      <c r="A183" s="2" t="s">
        <v>299</v>
      </c>
      <c r="B183" s="13" t="n">
        <v>46268</v>
      </c>
      <c r="C183" s="2" t="s">
        <v>101</v>
      </c>
      <c r="D183" s="2" t="n">
        <v>1</v>
      </c>
      <c r="E183" s="15" t="n">
        <v>0.663194444444444</v>
      </c>
      <c r="F183" s="7" t="n">
        <v>18000</v>
      </c>
      <c r="G183" s="7" t="n">
        <f aca="false">D183*F183</f>
        <v>18000</v>
      </c>
      <c r="H183" s="2" t="str">
        <f aca="false">INDEX(Daftar_Menu!$B$2:$B$13,MATCH(C183,Daftar_Menu!$A$2:$A$13,0))</f>
        <v>Makanan</v>
      </c>
      <c r="I183" s="2" t="str">
        <f aca="false">CHOOSE(WEEKDAY(B183,2),"Senin","Selasa","Rabu","Kamis","Jumat","Sabtu","Minggu")</f>
        <v>Kamis</v>
      </c>
      <c r="J183" s="2" t="n">
        <f aca="false">HOUR(E183)</f>
        <v>15</v>
      </c>
      <c r="K183" s="2" t="str">
        <f aca="false">IF(J183&lt;11,"Pagi",IF(J183&lt;17,"Siang","Malam"))</f>
        <v>Siang</v>
      </c>
      <c r="L183" s="2" t="n">
        <f aca="false">IF(A183&lt;&gt;A182,1,0)</f>
        <v>1</v>
      </c>
    </row>
    <row r="184" customFormat="false" ht="15" hidden="false" customHeight="false" outlineLevel="0" collapsed="false">
      <c r="A184" s="2" t="s">
        <v>301</v>
      </c>
      <c r="B184" s="13" t="n">
        <v>46268</v>
      </c>
      <c r="C184" s="2" t="s">
        <v>101</v>
      </c>
      <c r="D184" s="2" t="n">
        <v>1</v>
      </c>
      <c r="E184" s="15" t="n">
        <v>0.688888888888889</v>
      </c>
      <c r="F184" s="7" t="n">
        <v>18000</v>
      </c>
      <c r="G184" s="7" t="n">
        <f aca="false">D184*F184</f>
        <v>18000</v>
      </c>
      <c r="H184" s="2" t="str">
        <f aca="false">INDEX(Daftar_Menu!$B$2:$B$13,MATCH(C184,Daftar_Menu!$A$2:$A$13,0))</f>
        <v>Makanan</v>
      </c>
      <c r="I184" s="2" t="str">
        <f aca="false">CHOOSE(WEEKDAY(B184,2),"Senin","Selasa","Rabu","Kamis","Jumat","Sabtu","Minggu")</f>
        <v>Kamis</v>
      </c>
      <c r="J184" s="2" t="n">
        <f aca="false">HOUR(E184)</f>
        <v>16</v>
      </c>
      <c r="K184" s="2" t="str">
        <f aca="false">IF(J184&lt;11,"Pagi",IF(J184&lt;17,"Siang","Malam"))</f>
        <v>Siang</v>
      </c>
      <c r="L184" s="2" t="n">
        <f aca="false">IF(A184&lt;&gt;A183,1,0)</f>
        <v>1</v>
      </c>
    </row>
    <row r="185" customFormat="false" ht="15" hidden="false" customHeight="false" outlineLevel="0" collapsed="false">
      <c r="A185" s="2" t="s">
        <v>301</v>
      </c>
      <c r="B185" s="13" t="n">
        <v>46268</v>
      </c>
      <c r="C185" s="2" t="s">
        <v>81</v>
      </c>
      <c r="D185" s="2" t="n">
        <v>2</v>
      </c>
      <c r="E185" s="15" t="n">
        <v>0.688888888888889</v>
      </c>
      <c r="F185" s="7" t="n">
        <v>15000</v>
      </c>
      <c r="G185" s="7" t="n">
        <f aca="false">D185*F185</f>
        <v>30000</v>
      </c>
      <c r="H185" s="2" t="str">
        <f aca="false">INDEX(Daftar_Menu!$B$2:$B$13,MATCH(C185,Daftar_Menu!$A$2:$A$13,0))</f>
        <v>Makanan</v>
      </c>
      <c r="I185" s="2" t="str">
        <f aca="false">CHOOSE(WEEKDAY(B185,2),"Senin","Selasa","Rabu","Kamis","Jumat","Sabtu","Minggu")</f>
        <v>Kamis</v>
      </c>
      <c r="J185" s="2" t="n">
        <f aca="false">HOUR(E185)</f>
        <v>16</v>
      </c>
      <c r="K185" s="2" t="str">
        <f aca="false">IF(J185&lt;11,"Pagi",IF(J185&lt;17,"Siang","Malam"))</f>
        <v>Siang</v>
      </c>
      <c r="L185" s="2" t="n">
        <f aca="false">IF(A185&lt;&gt;A184,1,0)</f>
        <v>0</v>
      </c>
    </row>
    <row r="186" customFormat="false" ht="15" hidden="false" customHeight="false" outlineLevel="0" collapsed="false">
      <c r="A186" s="2" t="s">
        <v>303</v>
      </c>
      <c r="B186" s="13" t="n">
        <v>46268</v>
      </c>
      <c r="C186" s="2" t="s">
        <v>126</v>
      </c>
      <c r="D186" s="2" t="n">
        <v>1</v>
      </c>
      <c r="E186" s="15" t="n">
        <v>0.696527777777778</v>
      </c>
      <c r="F186" s="7" t="n">
        <v>3000</v>
      </c>
      <c r="G186" s="7" t="n">
        <f aca="false">D186*F186</f>
        <v>3000</v>
      </c>
      <c r="H186" s="2" t="str">
        <f aca="false">INDEX(Daftar_Menu!$B$2:$B$13,MATCH(C186,Daftar_Menu!$A$2:$A$13,0))</f>
        <v>Minuman</v>
      </c>
      <c r="I186" s="2" t="str">
        <f aca="false">CHOOSE(WEEKDAY(B186,2),"Senin","Selasa","Rabu","Kamis","Jumat","Sabtu","Minggu")</f>
        <v>Kamis</v>
      </c>
      <c r="J186" s="2" t="n">
        <f aca="false">HOUR(E186)</f>
        <v>16</v>
      </c>
      <c r="K186" s="2" t="str">
        <f aca="false">IF(J186&lt;11,"Pagi",IF(J186&lt;17,"Siang","Malam"))</f>
        <v>Siang</v>
      </c>
      <c r="L186" s="2" t="n">
        <f aca="false">IF(A186&lt;&gt;A185,1,0)</f>
        <v>1</v>
      </c>
    </row>
    <row r="187" customFormat="false" ht="15" hidden="false" customHeight="false" outlineLevel="0" collapsed="false">
      <c r="A187" s="2" t="s">
        <v>303</v>
      </c>
      <c r="B187" s="13" t="n">
        <v>46268</v>
      </c>
      <c r="C187" s="2" t="s">
        <v>101</v>
      </c>
      <c r="D187" s="2" t="n">
        <v>1</v>
      </c>
      <c r="E187" s="15" t="n">
        <v>0.696527777777778</v>
      </c>
      <c r="F187" s="7" t="n">
        <v>18000</v>
      </c>
      <c r="G187" s="7" t="n">
        <f aca="false">D187*F187</f>
        <v>18000</v>
      </c>
      <c r="H187" s="2" t="str">
        <f aca="false">INDEX(Daftar_Menu!$B$2:$B$13,MATCH(C187,Daftar_Menu!$A$2:$A$13,0))</f>
        <v>Makanan</v>
      </c>
      <c r="I187" s="2" t="str">
        <f aca="false">CHOOSE(WEEKDAY(B187,2),"Senin","Selasa","Rabu","Kamis","Jumat","Sabtu","Minggu")</f>
        <v>Kamis</v>
      </c>
      <c r="J187" s="2" t="n">
        <f aca="false">HOUR(E187)</f>
        <v>16</v>
      </c>
      <c r="K187" s="2" t="str">
        <f aca="false">IF(J187&lt;11,"Pagi",IF(J187&lt;17,"Siang","Malam"))</f>
        <v>Siang</v>
      </c>
      <c r="L187" s="2" t="n">
        <f aca="false">IF(A187&lt;&gt;A186,1,0)</f>
        <v>0</v>
      </c>
    </row>
    <row r="188" customFormat="false" ht="15" hidden="false" customHeight="false" outlineLevel="0" collapsed="false">
      <c r="A188" s="2" t="s">
        <v>305</v>
      </c>
      <c r="B188" s="13" t="n">
        <v>46268</v>
      </c>
      <c r="C188" s="2" t="s">
        <v>81</v>
      </c>
      <c r="D188" s="2" t="n">
        <v>1</v>
      </c>
      <c r="E188" s="15" t="n">
        <v>0.702083333333333</v>
      </c>
      <c r="F188" s="7" t="n">
        <v>15000</v>
      </c>
      <c r="G188" s="7" t="n">
        <f aca="false">D188*F188</f>
        <v>15000</v>
      </c>
      <c r="H188" s="2" t="str">
        <f aca="false">INDEX(Daftar_Menu!$B$2:$B$13,MATCH(C188,Daftar_Menu!$A$2:$A$13,0))</f>
        <v>Makanan</v>
      </c>
      <c r="I188" s="2" t="str">
        <f aca="false">CHOOSE(WEEKDAY(B188,2),"Senin","Selasa","Rabu","Kamis","Jumat","Sabtu","Minggu")</f>
        <v>Kamis</v>
      </c>
      <c r="J188" s="2" t="n">
        <f aca="false">HOUR(E188)</f>
        <v>16</v>
      </c>
      <c r="K188" s="2" t="str">
        <f aca="false">IF(J188&lt;11,"Pagi",IF(J188&lt;17,"Siang","Malam"))</f>
        <v>Siang</v>
      </c>
      <c r="L188" s="2" t="n">
        <f aca="false">IF(A188&lt;&gt;A187,1,0)</f>
        <v>1</v>
      </c>
    </row>
    <row r="189" customFormat="false" ht="15" hidden="false" customHeight="false" outlineLevel="0" collapsed="false">
      <c r="A189" s="2" t="s">
        <v>305</v>
      </c>
      <c r="B189" s="13" t="n">
        <v>46268</v>
      </c>
      <c r="C189" s="2" t="s">
        <v>84</v>
      </c>
      <c r="D189" s="2" t="n">
        <v>1</v>
      </c>
      <c r="E189" s="15" t="n">
        <v>0.702083333333333</v>
      </c>
      <c r="F189" s="7" t="n">
        <v>5000</v>
      </c>
      <c r="G189" s="7" t="n">
        <f aca="false">D189*F189</f>
        <v>5000</v>
      </c>
      <c r="H189" s="2" t="str">
        <f aca="false">INDEX(Daftar_Menu!$B$2:$B$13,MATCH(C189,Daftar_Menu!$A$2:$A$13,0))</f>
        <v>Minuman</v>
      </c>
      <c r="I189" s="2" t="str">
        <f aca="false">CHOOSE(WEEKDAY(B189,2),"Senin","Selasa","Rabu","Kamis","Jumat","Sabtu","Minggu")</f>
        <v>Kamis</v>
      </c>
      <c r="J189" s="2" t="n">
        <f aca="false">HOUR(E189)</f>
        <v>16</v>
      </c>
      <c r="K189" s="2" t="str">
        <f aca="false">IF(J189&lt;11,"Pagi",IF(J189&lt;17,"Siang","Malam"))</f>
        <v>Siang</v>
      </c>
      <c r="L189" s="2" t="n">
        <f aca="false">IF(A189&lt;&gt;A188,1,0)</f>
        <v>0</v>
      </c>
    </row>
    <row r="190" customFormat="false" ht="15" hidden="false" customHeight="false" outlineLevel="0" collapsed="false">
      <c r="A190" s="2" t="s">
        <v>305</v>
      </c>
      <c r="B190" s="13" t="n">
        <v>46268</v>
      </c>
      <c r="C190" s="2" t="s">
        <v>89</v>
      </c>
      <c r="D190" s="2" t="n">
        <v>2</v>
      </c>
      <c r="E190" s="15" t="n">
        <v>0.702083333333333</v>
      </c>
      <c r="F190" s="7" t="n">
        <v>14000</v>
      </c>
      <c r="G190" s="7" t="n">
        <f aca="false">D190*F190</f>
        <v>28000</v>
      </c>
      <c r="H190" s="2" t="str">
        <f aca="false">INDEX(Daftar_Menu!$B$2:$B$13,MATCH(C190,Daftar_Menu!$A$2:$A$13,0))</f>
        <v>Makanan</v>
      </c>
      <c r="I190" s="2" t="str">
        <f aca="false">CHOOSE(WEEKDAY(B190,2),"Senin","Selasa","Rabu","Kamis","Jumat","Sabtu","Minggu")</f>
        <v>Kamis</v>
      </c>
      <c r="J190" s="2" t="n">
        <f aca="false">HOUR(E190)</f>
        <v>16</v>
      </c>
      <c r="K190" s="2" t="str">
        <f aca="false">IF(J190&lt;11,"Pagi",IF(J190&lt;17,"Siang","Malam"))</f>
        <v>Siang</v>
      </c>
      <c r="L190" s="2" t="n">
        <f aca="false">IF(A190&lt;&gt;A189,1,0)</f>
        <v>0</v>
      </c>
    </row>
    <row r="191" customFormat="false" ht="15" hidden="false" customHeight="false" outlineLevel="0" collapsed="false">
      <c r="A191" s="2" t="s">
        <v>307</v>
      </c>
      <c r="B191" s="13" t="n">
        <v>46268</v>
      </c>
      <c r="C191" s="2" t="s">
        <v>101</v>
      </c>
      <c r="D191" s="2" t="n">
        <v>1</v>
      </c>
      <c r="E191" s="15" t="n">
        <v>0.715972222222222</v>
      </c>
      <c r="F191" s="7" t="n">
        <v>18000</v>
      </c>
      <c r="G191" s="7" t="n">
        <f aca="false">D191*F191</f>
        <v>18000</v>
      </c>
      <c r="H191" s="2" t="str">
        <f aca="false">INDEX(Daftar_Menu!$B$2:$B$13,MATCH(C191,Daftar_Menu!$A$2:$A$13,0))</f>
        <v>Makanan</v>
      </c>
      <c r="I191" s="2" t="str">
        <f aca="false">CHOOSE(WEEKDAY(B191,2),"Senin","Selasa","Rabu","Kamis","Jumat","Sabtu","Minggu")</f>
        <v>Kamis</v>
      </c>
      <c r="J191" s="2" t="n">
        <f aca="false">HOUR(E191)</f>
        <v>17</v>
      </c>
      <c r="K191" s="2" t="str">
        <f aca="false">IF(J191&lt;11,"Pagi",IF(J191&lt;17,"Siang","Malam"))</f>
        <v>Malam</v>
      </c>
      <c r="L191" s="2" t="n">
        <f aca="false">IF(A191&lt;&gt;A190,1,0)</f>
        <v>1</v>
      </c>
    </row>
    <row r="192" customFormat="false" ht="15" hidden="false" customHeight="false" outlineLevel="0" collapsed="false">
      <c r="A192" s="2" t="s">
        <v>307</v>
      </c>
      <c r="B192" s="13" t="n">
        <v>46268</v>
      </c>
      <c r="C192" s="2" t="s">
        <v>186</v>
      </c>
      <c r="D192" s="2" t="n">
        <v>1</v>
      </c>
      <c r="E192" s="15" t="n">
        <v>0.715972222222222</v>
      </c>
      <c r="F192" s="7" t="n">
        <v>7000</v>
      </c>
      <c r="G192" s="7" t="n">
        <f aca="false">D192*F192</f>
        <v>7000</v>
      </c>
      <c r="H192" s="2" t="str">
        <f aca="false">INDEX(Daftar_Menu!$B$2:$B$13,MATCH(C192,Daftar_Menu!$A$2:$A$13,0))</f>
        <v>Minuman</v>
      </c>
      <c r="I192" s="2" t="str">
        <f aca="false">CHOOSE(WEEKDAY(B192,2),"Senin","Selasa","Rabu","Kamis","Jumat","Sabtu","Minggu")</f>
        <v>Kamis</v>
      </c>
      <c r="J192" s="2" t="n">
        <f aca="false">HOUR(E192)</f>
        <v>17</v>
      </c>
      <c r="K192" s="2" t="str">
        <f aca="false">IF(J192&lt;11,"Pagi",IF(J192&lt;17,"Siang","Malam"))</f>
        <v>Malam</v>
      </c>
      <c r="L192" s="2" t="n">
        <f aca="false">IF(A192&lt;&gt;A191,1,0)</f>
        <v>0</v>
      </c>
    </row>
    <row r="193" customFormat="false" ht="15" hidden="false" customHeight="false" outlineLevel="0" collapsed="false">
      <c r="A193" s="2" t="s">
        <v>309</v>
      </c>
      <c r="B193" s="13" t="n">
        <v>46268</v>
      </c>
      <c r="C193" s="2" t="s">
        <v>186</v>
      </c>
      <c r="D193" s="2" t="n">
        <v>2</v>
      </c>
      <c r="E193" s="15" t="n">
        <v>0.715972222222222</v>
      </c>
      <c r="F193" s="7" t="n">
        <v>7000</v>
      </c>
      <c r="G193" s="7" t="n">
        <f aca="false">D193*F193</f>
        <v>14000</v>
      </c>
      <c r="H193" s="2" t="str">
        <f aca="false">INDEX(Daftar_Menu!$B$2:$B$13,MATCH(C193,Daftar_Menu!$A$2:$A$13,0))</f>
        <v>Minuman</v>
      </c>
      <c r="I193" s="2" t="str">
        <f aca="false">CHOOSE(WEEKDAY(B193,2),"Senin","Selasa","Rabu","Kamis","Jumat","Sabtu","Minggu")</f>
        <v>Kamis</v>
      </c>
      <c r="J193" s="2" t="n">
        <f aca="false">HOUR(E193)</f>
        <v>17</v>
      </c>
      <c r="K193" s="2" t="str">
        <f aca="false">IF(J193&lt;11,"Pagi",IF(J193&lt;17,"Siang","Malam"))</f>
        <v>Malam</v>
      </c>
      <c r="L193" s="2" t="n">
        <f aca="false">IF(A193&lt;&gt;A192,1,0)</f>
        <v>1</v>
      </c>
    </row>
    <row r="194" customFormat="false" ht="15" hidden="false" customHeight="false" outlineLevel="0" collapsed="false">
      <c r="A194" s="2" t="s">
        <v>309</v>
      </c>
      <c r="B194" s="13" t="n">
        <v>46268</v>
      </c>
      <c r="C194" s="2" t="s">
        <v>84</v>
      </c>
      <c r="D194" s="2" t="n">
        <v>1</v>
      </c>
      <c r="E194" s="15" t="n">
        <v>0.715972222222222</v>
      </c>
      <c r="F194" s="7" t="n">
        <v>5000</v>
      </c>
      <c r="G194" s="7" t="n">
        <f aca="false">D194*F194</f>
        <v>5000</v>
      </c>
      <c r="H194" s="2" t="str">
        <f aca="false">INDEX(Daftar_Menu!$B$2:$B$13,MATCH(C194,Daftar_Menu!$A$2:$A$13,0))</f>
        <v>Minuman</v>
      </c>
      <c r="I194" s="2" t="str">
        <f aca="false">CHOOSE(WEEKDAY(B194,2),"Senin","Selasa","Rabu","Kamis","Jumat","Sabtu","Minggu")</f>
        <v>Kamis</v>
      </c>
      <c r="J194" s="2" t="n">
        <f aca="false">HOUR(E194)</f>
        <v>17</v>
      </c>
      <c r="K194" s="2" t="str">
        <f aca="false">IF(J194&lt;11,"Pagi",IF(J194&lt;17,"Siang","Malam"))</f>
        <v>Malam</v>
      </c>
      <c r="L194" s="2" t="n">
        <f aca="false">IF(A194&lt;&gt;A193,1,0)</f>
        <v>0</v>
      </c>
    </row>
    <row r="195" customFormat="false" ht="15" hidden="false" customHeight="false" outlineLevel="0" collapsed="false">
      <c r="A195" s="2" t="s">
        <v>309</v>
      </c>
      <c r="B195" s="13" t="n">
        <v>46268</v>
      </c>
      <c r="C195" s="2" t="s">
        <v>101</v>
      </c>
      <c r="D195" s="2" t="n">
        <v>1</v>
      </c>
      <c r="E195" s="15" t="n">
        <v>0.715972222222222</v>
      </c>
      <c r="F195" s="7" t="n">
        <v>18000</v>
      </c>
      <c r="G195" s="7" t="n">
        <f aca="false">D195*F195</f>
        <v>18000</v>
      </c>
      <c r="H195" s="2" t="str">
        <f aca="false">INDEX(Daftar_Menu!$B$2:$B$13,MATCH(C195,Daftar_Menu!$A$2:$A$13,0))</f>
        <v>Makanan</v>
      </c>
      <c r="I195" s="2" t="str">
        <f aca="false">CHOOSE(WEEKDAY(B195,2),"Senin","Selasa","Rabu","Kamis","Jumat","Sabtu","Minggu")</f>
        <v>Kamis</v>
      </c>
      <c r="J195" s="2" t="n">
        <f aca="false">HOUR(E195)</f>
        <v>17</v>
      </c>
      <c r="K195" s="2" t="str">
        <f aca="false">IF(J195&lt;11,"Pagi",IF(J195&lt;17,"Siang","Malam"))</f>
        <v>Malam</v>
      </c>
      <c r="L195" s="2" t="n">
        <f aca="false">IF(A195&lt;&gt;A194,1,0)</f>
        <v>0</v>
      </c>
    </row>
    <row r="196" customFormat="false" ht="15" hidden="false" customHeight="false" outlineLevel="0" collapsed="false">
      <c r="A196" s="2" t="s">
        <v>310</v>
      </c>
      <c r="B196" s="13" t="n">
        <v>46268</v>
      </c>
      <c r="C196" s="2" t="s">
        <v>186</v>
      </c>
      <c r="D196" s="2" t="n">
        <v>1</v>
      </c>
      <c r="E196" s="15" t="n">
        <v>0.728472222222222</v>
      </c>
      <c r="F196" s="7" t="n">
        <v>7000</v>
      </c>
      <c r="G196" s="7" t="n">
        <f aca="false">D196*F196</f>
        <v>7000</v>
      </c>
      <c r="H196" s="2" t="str">
        <f aca="false">INDEX(Daftar_Menu!$B$2:$B$13,MATCH(C196,Daftar_Menu!$A$2:$A$13,0))</f>
        <v>Minuman</v>
      </c>
      <c r="I196" s="2" t="str">
        <f aca="false">CHOOSE(WEEKDAY(B196,2),"Senin","Selasa","Rabu","Kamis","Jumat","Sabtu","Minggu")</f>
        <v>Kamis</v>
      </c>
      <c r="J196" s="2" t="n">
        <f aca="false">HOUR(E196)</f>
        <v>17</v>
      </c>
      <c r="K196" s="2" t="str">
        <f aca="false">IF(J196&lt;11,"Pagi",IF(J196&lt;17,"Siang","Malam"))</f>
        <v>Malam</v>
      </c>
      <c r="L196" s="2" t="n">
        <f aca="false">IF(A196&lt;&gt;A195,1,0)</f>
        <v>1</v>
      </c>
    </row>
    <row r="197" customFormat="false" ht="15" hidden="false" customHeight="false" outlineLevel="0" collapsed="false">
      <c r="A197" s="2" t="s">
        <v>312</v>
      </c>
      <c r="B197" s="13" t="n">
        <v>46268</v>
      </c>
      <c r="C197" s="2" t="s">
        <v>81</v>
      </c>
      <c r="D197" s="2" t="n">
        <v>1</v>
      </c>
      <c r="E197" s="15" t="n">
        <v>0.729166666666667</v>
      </c>
      <c r="F197" s="7" t="n">
        <v>15000</v>
      </c>
      <c r="G197" s="7" t="n">
        <f aca="false">D197*F197</f>
        <v>15000</v>
      </c>
      <c r="H197" s="2" t="str">
        <f aca="false">INDEX(Daftar_Menu!$B$2:$B$13,MATCH(C197,Daftar_Menu!$A$2:$A$13,0))</f>
        <v>Makanan</v>
      </c>
      <c r="I197" s="2" t="str">
        <f aca="false">CHOOSE(WEEKDAY(B197,2),"Senin","Selasa","Rabu","Kamis","Jumat","Sabtu","Minggu")</f>
        <v>Kamis</v>
      </c>
      <c r="J197" s="2" t="n">
        <f aca="false">HOUR(E197)</f>
        <v>17</v>
      </c>
      <c r="K197" s="2" t="str">
        <f aca="false">IF(J197&lt;11,"Pagi",IF(J197&lt;17,"Siang","Malam"))</f>
        <v>Malam</v>
      </c>
      <c r="L197" s="2" t="n">
        <f aca="false">IF(A197&lt;&gt;A196,1,0)</f>
        <v>1</v>
      </c>
    </row>
    <row r="198" customFormat="false" ht="15" hidden="false" customHeight="false" outlineLevel="0" collapsed="false">
      <c r="A198" s="2" t="s">
        <v>312</v>
      </c>
      <c r="B198" s="13" t="n">
        <v>46268</v>
      </c>
      <c r="C198" s="2" t="s">
        <v>101</v>
      </c>
      <c r="D198" s="2" t="n">
        <v>1</v>
      </c>
      <c r="E198" s="15" t="n">
        <v>0.729166666666667</v>
      </c>
      <c r="F198" s="7" t="n">
        <v>18000</v>
      </c>
      <c r="G198" s="7" t="n">
        <f aca="false">D198*F198</f>
        <v>18000</v>
      </c>
      <c r="H198" s="2" t="str">
        <f aca="false">INDEX(Daftar_Menu!$B$2:$B$13,MATCH(C198,Daftar_Menu!$A$2:$A$13,0))</f>
        <v>Makanan</v>
      </c>
      <c r="I198" s="2" t="str">
        <f aca="false">CHOOSE(WEEKDAY(B198,2),"Senin","Selasa","Rabu","Kamis","Jumat","Sabtu","Minggu")</f>
        <v>Kamis</v>
      </c>
      <c r="J198" s="2" t="n">
        <f aca="false">HOUR(E198)</f>
        <v>17</v>
      </c>
      <c r="K198" s="2" t="str">
        <f aca="false">IF(J198&lt;11,"Pagi",IF(J198&lt;17,"Siang","Malam"))</f>
        <v>Malam</v>
      </c>
      <c r="L198" s="2" t="n">
        <f aca="false">IF(A198&lt;&gt;A197,1,0)</f>
        <v>0</v>
      </c>
    </row>
    <row r="199" customFormat="false" ht="15" hidden="false" customHeight="false" outlineLevel="0" collapsed="false">
      <c r="A199" s="2" t="s">
        <v>315</v>
      </c>
      <c r="B199" s="13" t="n">
        <v>46268</v>
      </c>
      <c r="C199" s="2" t="s">
        <v>81</v>
      </c>
      <c r="D199" s="2" t="n">
        <v>1</v>
      </c>
      <c r="E199" s="15" t="n">
        <v>0.7625</v>
      </c>
      <c r="F199" s="7" t="n">
        <v>15000</v>
      </c>
      <c r="G199" s="7" t="n">
        <f aca="false">D199*F199</f>
        <v>15000</v>
      </c>
      <c r="H199" s="2" t="str">
        <f aca="false">INDEX(Daftar_Menu!$B$2:$B$13,MATCH(C199,Daftar_Menu!$A$2:$A$13,0))</f>
        <v>Makanan</v>
      </c>
      <c r="I199" s="2" t="str">
        <f aca="false">CHOOSE(WEEKDAY(B199,2),"Senin","Selasa","Rabu","Kamis","Jumat","Sabtu","Minggu")</f>
        <v>Kamis</v>
      </c>
      <c r="J199" s="2" t="n">
        <f aca="false">HOUR(E199)</f>
        <v>18</v>
      </c>
      <c r="K199" s="2" t="str">
        <f aca="false">IF(J199&lt;11,"Pagi",IF(J199&lt;17,"Siang","Malam"))</f>
        <v>Malam</v>
      </c>
      <c r="L199" s="2" t="n">
        <f aca="false">IF(A199&lt;&gt;A198,1,0)</f>
        <v>1</v>
      </c>
    </row>
    <row r="200" customFormat="false" ht="15" hidden="false" customHeight="false" outlineLevel="0" collapsed="false">
      <c r="A200" s="2" t="s">
        <v>317</v>
      </c>
      <c r="B200" s="13" t="n">
        <v>46268</v>
      </c>
      <c r="C200" s="2" t="s">
        <v>101</v>
      </c>
      <c r="D200" s="2" t="n">
        <v>1</v>
      </c>
      <c r="E200" s="15" t="n">
        <v>0.769444444444445</v>
      </c>
      <c r="F200" s="7" t="n">
        <v>18000</v>
      </c>
      <c r="G200" s="7" t="n">
        <f aca="false">D200*F200</f>
        <v>18000</v>
      </c>
      <c r="H200" s="2" t="str">
        <f aca="false">INDEX(Daftar_Menu!$B$2:$B$13,MATCH(C200,Daftar_Menu!$A$2:$A$13,0))</f>
        <v>Makanan</v>
      </c>
      <c r="I200" s="2" t="str">
        <f aca="false">CHOOSE(WEEKDAY(B200,2),"Senin","Selasa","Rabu","Kamis","Jumat","Sabtu","Minggu")</f>
        <v>Kamis</v>
      </c>
      <c r="J200" s="2" t="n">
        <f aca="false">HOUR(E200)</f>
        <v>18</v>
      </c>
      <c r="K200" s="2" t="str">
        <f aca="false">IF(J200&lt;11,"Pagi",IF(J200&lt;17,"Siang","Malam"))</f>
        <v>Malam</v>
      </c>
      <c r="L200" s="2" t="n">
        <f aca="false">IF(A200&lt;&gt;A199,1,0)</f>
        <v>1</v>
      </c>
    </row>
    <row r="201" customFormat="false" ht="15" hidden="false" customHeight="false" outlineLevel="0" collapsed="false">
      <c r="A201" s="2" t="s">
        <v>319</v>
      </c>
      <c r="B201" s="13" t="n">
        <v>46268</v>
      </c>
      <c r="C201" s="2" t="s">
        <v>81</v>
      </c>
      <c r="D201" s="2" t="n">
        <v>1</v>
      </c>
      <c r="E201" s="15" t="n">
        <v>0.774305555555556</v>
      </c>
      <c r="F201" s="7" t="n">
        <v>15000</v>
      </c>
      <c r="G201" s="7" t="n">
        <f aca="false">D201*F201</f>
        <v>15000</v>
      </c>
      <c r="H201" s="2" t="str">
        <f aca="false">INDEX(Daftar_Menu!$B$2:$B$13,MATCH(C201,Daftar_Menu!$A$2:$A$13,0))</f>
        <v>Makanan</v>
      </c>
      <c r="I201" s="2" t="str">
        <f aca="false">CHOOSE(WEEKDAY(B201,2),"Senin","Selasa","Rabu","Kamis","Jumat","Sabtu","Minggu")</f>
        <v>Kamis</v>
      </c>
      <c r="J201" s="2" t="n">
        <f aca="false">HOUR(E201)</f>
        <v>18</v>
      </c>
      <c r="K201" s="2" t="str">
        <f aca="false">IF(J201&lt;11,"Pagi",IF(J201&lt;17,"Siang","Malam"))</f>
        <v>Malam</v>
      </c>
      <c r="L201" s="2" t="n">
        <f aca="false">IF(A201&lt;&gt;A200,1,0)</f>
        <v>1</v>
      </c>
    </row>
    <row r="202" customFormat="false" ht="15" hidden="false" customHeight="false" outlineLevel="0" collapsed="false">
      <c r="A202" s="2" t="s">
        <v>320</v>
      </c>
      <c r="B202" s="13" t="n">
        <v>46268</v>
      </c>
      <c r="C202" s="2" t="s">
        <v>108</v>
      </c>
      <c r="D202" s="2" t="n">
        <v>1</v>
      </c>
      <c r="E202" s="15" t="n">
        <v>0.788888888888889</v>
      </c>
      <c r="F202" s="7" t="n">
        <v>20000</v>
      </c>
      <c r="G202" s="7" t="n">
        <f aca="false">D202*F202</f>
        <v>20000</v>
      </c>
      <c r="H202" s="2" t="str">
        <f aca="false">INDEX(Daftar_Menu!$B$2:$B$13,MATCH(C202,Daftar_Menu!$A$2:$A$13,0))</f>
        <v>Makanan</v>
      </c>
      <c r="I202" s="2" t="str">
        <f aca="false">CHOOSE(WEEKDAY(B202,2),"Senin","Selasa","Rabu","Kamis","Jumat","Sabtu","Minggu")</f>
        <v>Kamis</v>
      </c>
      <c r="J202" s="2" t="n">
        <f aca="false">HOUR(E202)</f>
        <v>18</v>
      </c>
      <c r="K202" s="2" t="str">
        <f aca="false">IF(J202&lt;11,"Pagi",IF(J202&lt;17,"Siang","Malam"))</f>
        <v>Malam</v>
      </c>
      <c r="L202" s="2" t="n">
        <f aca="false">IF(A202&lt;&gt;A201,1,0)</f>
        <v>1</v>
      </c>
    </row>
    <row r="203" customFormat="false" ht="15" hidden="false" customHeight="false" outlineLevel="0" collapsed="false">
      <c r="A203" s="2" t="s">
        <v>322</v>
      </c>
      <c r="B203" s="13" t="n">
        <v>46268</v>
      </c>
      <c r="C203" s="2" t="s">
        <v>79</v>
      </c>
      <c r="D203" s="2" t="n">
        <v>1</v>
      </c>
      <c r="E203" s="15" t="n">
        <v>0.790277777777778</v>
      </c>
      <c r="F203" s="7" t="n">
        <v>16000</v>
      </c>
      <c r="G203" s="7" t="n">
        <f aca="false">D203*F203</f>
        <v>16000</v>
      </c>
      <c r="H203" s="2" t="str">
        <f aca="false">INDEX(Daftar_Menu!$B$2:$B$13,MATCH(C203,Daftar_Menu!$A$2:$A$13,0))</f>
        <v>Makanan</v>
      </c>
      <c r="I203" s="2" t="str">
        <f aca="false">CHOOSE(WEEKDAY(B203,2),"Senin","Selasa","Rabu","Kamis","Jumat","Sabtu","Minggu")</f>
        <v>Kamis</v>
      </c>
      <c r="J203" s="2" t="n">
        <f aca="false">HOUR(E203)</f>
        <v>18</v>
      </c>
      <c r="K203" s="2" t="str">
        <f aca="false">IF(J203&lt;11,"Pagi",IF(J203&lt;17,"Siang","Malam"))</f>
        <v>Malam</v>
      </c>
      <c r="L203" s="2" t="n">
        <f aca="false">IF(A203&lt;&gt;A202,1,0)</f>
        <v>1</v>
      </c>
    </row>
    <row r="204" customFormat="false" ht="15" hidden="false" customHeight="false" outlineLevel="0" collapsed="false">
      <c r="A204" s="2" t="s">
        <v>322</v>
      </c>
      <c r="B204" s="13" t="n">
        <v>46268</v>
      </c>
      <c r="C204" s="2" t="s">
        <v>101</v>
      </c>
      <c r="D204" s="2" t="n">
        <v>1</v>
      </c>
      <c r="E204" s="15" t="n">
        <v>0.790277777777778</v>
      </c>
      <c r="F204" s="7" t="n">
        <v>18000</v>
      </c>
      <c r="G204" s="7" t="n">
        <f aca="false">D204*F204</f>
        <v>18000</v>
      </c>
      <c r="H204" s="2" t="str">
        <f aca="false">INDEX(Daftar_Menu!$B$2:$B$13,MATCH(C204,Daftar_Menu!$A$2:$A$13,0))</f>
        <v>Makanan</v>
      </c>
      <c r="I204" s="2" t="str">
        <f aca="false">CHOOSE(WEEKDAY(B204,2),"Senin","Selasa","Rabu","Kamis","Jumat","Sabtu","Minggu")</f>
        <v>Kamis</v>
      </c>
      <c r="J204" s="2" t="n">
        <f aca="false">HOUR(E204)</f>
        <v>18</v>
      </c>
      <c r="K204" s="2" t="str">
        <f aca="false">IF(J204&lt;11,"Pagi",IF(J204&lt;17,"Siang","Malam"))</f>
        <v>Malam</v>
      </c>
      <c r="L204" s="2" t="n">
        <f aca="false">IF(A204&lt;&gt;A203,1,0)</f>
        <v>0</v>
      </c>
    </row>
    <row r="205" customFormat="false" ht="15" hidden="false" customHeight="false" outlineLevel="0" collapsed="false">
      <c r="A205" s="2" t="s">
        <v>324</v>
      </c>
      <c r="B205" s="13" t="n">
        <v>46268</v>
      </c>
      <c r="C205" s="2" t="s">
        <v>84</v>
      </c>
      <c r="D205" s="2" t="n">
        <v>2</v>
      </c>
      <c r="E205" s="15" t="n">
        <v>0.79375</v>
      </c>
      <c r="F205" s="7" t="n">
        <v>5000</v>
      </c>
      <c r="G205" s="7" t="n">
        <f aca="false">D205*F205</f>
        <v>10000</v>
      </c>
      <c r="H205" s="2" t="str">
        <f aca="false">INDEX(Daftar_Menu!$B$2:$B$13,MATCH(C205,Daftar_Menu!$A$2:$A$13,0))</f>
        <v>Minuman</v>
      </c>
      <c r="I205" s="2" t="str">
        <f aca="false">CHOOSE(WEEKDAY(B205,2),"Senin","Selasa","Rabu","Kamis","Jumat","Sabtu","Minggu")</f>
        <v>Kamis</v>
      </c>
      <c r="J205" s="2" t="n">
        <f aca="false">HOUR(E205)</f>
        <v>19</v>
      </c>
      <c r="K205" s="2" t="str">
        <f aca="false">IF(J205&lt;11,"Pagi",IF(J205&lt;17,"Siang","Malam"))</f>
        <v>Malam</v>
      </c>
      <c r="L205" s="2" t="n">
        <f aca="false">IF(A205&lt;&gt;A204,1,0)</f>
        <v>1</v>
      </c>
    </row>
    <row r="206" customFormat="false" ht="15" hidden="false" customHeight="false" outlineLevel="0" collapsed="false">
      <c r="A206" s="2" t="s">
        <v>326</v>
      </c>
      <c r="B206" s="13" t="n">
        <v>46268</v>
      </c>
      <c r="C206" s="2" t="s">
        <v>126</v>
      </c>
      <c r="D206" s="2" t="n">
        <v>1</v>
      </c>
      <c r="E206" s="15" t="n">
        <v>0.79375</v>
      </c>
      <c r="F206" s="7" t="n">
        <v>3000</v>
      </c>
      <c r="G206" s="7" t="n">
        <f aca="false">D206*F206</f>
        <v>3000</v>
      </c>
      <c r="H206" s="2" t="str">
        <f aca="false">INDEX(Daftar_Menu!$B$2:$B$13,MATCH(C206,Daftar_Menu!$A$2:$A$13,0))</f>
        <v>Minuman</v>
      </c>
      <c r="I206" s="2" t="str">
        <f aca="false">CHOOSE(WEEKDAY(B206,2),"Senin","Selasa","Rabu","Kamis","Jumat","Sabtu","Minggu")</f>
        <v>Kamis</v>
      </c>
      <c r="J206" s="2" t="n">
        <f aca="false">HOUR(E206)</f>
        <v>19</v>
      </c>
      <c r="K206" s="2" t="str">
        <f aca="false">IF(J206&lt;11,"Pagi",IF(J206&lt;17,"Siang","Malam"))</f>
        <v>Malam</v>
      </c>
      <c r="L206" s="2" t="n">
        <f aca="false">IF(A206&lt;&gt;A205,1,0)</f>
        <v>1</v>
      </c>
    </row>
    <row r="207" customFormat="false" ht="15" hidden="false" customHeight="false" outlineLevel="0" collapsed="false">
      <c r="A207" s="2" t="s">
        <v>327</v>
      </c>
      <c r="B207" s="13" t="n">
        <v>46268</v>
      </c>
      <c r="C207" s="2" t="s">
        <v>101</v>
      </c>
      <c r="D207" s="2" t="n">
        <v>1</v>
      </c>
      <c r="E207" s="15" t="n">
        <v>0.820138888888889</v>
      </c>
      <c r="F207" s="7" t="n">
        <v>18000</v>
      </c>
      <c r="G207" s="7" t="n">
        <f aca="false">D207*F207</f>
        <v>18000</v>
      </c>
      <c r="H207" s="2" t="str">
        <f aca="false">INDEX(Daftar_Menu!$B$2:$B$13,MATCH(C207,Daftar_Menu!$A$2:$A$13,0))</f>
        <v>Makanan</v>
      </c>
      <c r="I207" s="2" t="str">
        <f aca="false">CHOOSE(WEEKDAY(B207,2),"Senin","Selasa","Rabu","Kamis","Jumat","Sabtu","Minggu")</f>
        <v>Kamis</v>
      </c>
      <c r="J207" s="2" t="n">
        <f aca="false">HOUR(E207)</f>
        <v>19</v>
      </c>
      <c r="K207" s="2" t="str">
        <f aca="false">IF(J207&lt;11,"Pagi",IF(J207&lt;17,"Siang","Malam"))</f>
        <v>Malam</v>
      </c>
      <c r="L207" s="2" t="n">
        <f aca="false">IF(A207&lt;&gt;A206,1,0)</f>
        <v>1</v>
      </c>
    </row>
    <row r="208" customFormat="false" ht="15" hidden="false" customHeight="false" outlineLevel="0" collapsed="false">
      <c r="A208" s="2" t="s">
        <v>327</v>
      </c>
      <c r="B208" s="13" t="n">
        <v>46268</v>
      </c>
      <c r="C208" s="2" t="s">
        <v>89</v>
      </c>
      <c r="D208" s="2" t="n">
        <v>1</v>
      </c>
      <c r="E208" s="15" t="n">
        <v>0.820138888888889</v>
      </c>
      <c r="F208" s="7" t="n">
        <v>14000</v>
      </c>
      <c r="G208" s="7" t="n">
        <f aca="false">D208*F208</f>
        <v>14000</v>
      </c>
      <c r="H208" s="2" t="str">
        <f aca="false">INDEX(Daftar_Menu!$B$2:$B$13,MATCH(C208,Daftar_Menu!$A$2:$A$13,0))</f>
        <v>Makanan</v>
      </c>
      <c r="I208" s="2" t="str">
        <f aca="false">CHOOSE(WEEKDAY(B208,2),"Senin","Selasa","Rabu","Kamis","Jumat","Sabtu","Minggu")</f>
        <v>Kamis</v>
      </c>
      <c r="J208" s="2" t="n">
        <f aca="false">HOUR(E208)</f>
        <v>19</v>
      </c>
      <c r="K208" s="2" t="str">
        <f aca="false">IF(J208&lt;11,"Pagi",IF(J208&lt;17,"Siang","Malam"))</f>
        <v>Malam</v>
      </c>
      <c r="L208" s="2" t="n">
        <f aca="false">IF(A208&lt;&gt;A207,1,0)</f>
        <v>0</v>
      </c>
    </row>
    <row r="209" customFormat="false" ht="15" hidden="false" customHeight="false" outlineLevel="0" collapsed="false">
      <c r="A209" s="2" t="s">
        <v>327</v>
      </c>
      <c r="B209" s="13" t="n">
        <v>46268</v>
      </c>
      <c r="C209" s="2" t="s">
        <v>82</v>
      </c>
      <c r="D209" s="2" t="n">
        <v>1</v>
      </c>
      <c r="E209" s="15" t="n">
        <v>0.820138888888889</v>
      </c>
      <c r="F209" s="7" t="n">
        <v>13000</v>
      </c>
      <c r="G209" s="7" t="n">
        <f aca="false">D209*F209</f>
        <v>13000</v>
      </c>
      <c r="H209" s="2" t="str">
        <f aca="false">INDEX(Daftar_Menu!$B$2:$B$13,MATCH(C209,Daftar_Menu!$A$2:$A$13,0))</f>
        <v>Makanan</v>
      </c>
      <c r="I209" s="2" t="str">
        <f aca="false">CHOOSE(WEEKDAY(B209,2),"Senin","Selasa","Rabu","Kamis","Jumat","Sabtu","Minggu")</f>
        <v>Kamis</v>
      </c>
      <c r="J209" s="2" t="n">
        <f aca="false">HOUR(E209)</f>
        <v>19</v>
      </c>
      <c r="K209" s="2" t="str">
        <f aca="false">IF(J209&lt;11,"Pagi",IF(J209&lt;17,"Siang","Malam"))</f>
        <v>Malam</v>
      </c>
      <c r="L209" s="2" t="n">
        <f aca="false">IF(A209&lt;&gt;A208,1,0)</f>
        <v>0</v>
      </c>
    </row>
    <row r="210" customFormat="false" ht="15" hidden="false" customHeight="false" outlineLevel="0" collapsed="false">
      <c r="A210" s="2" t="s">
        <v>329</v>
      </c>
      <c r="B210" s="13" t="n">
        <v>46268</v>
      </c>
      <c r="C210" s="2" t="s">
        <v>81</v>
      </c>
      <c r="D210" s="2" t="n">
        <v>2</v>
      </c>
      <c r="E210" s="15" t="n">
        <v>0.83125</v>
      </c>
      <c r="F210" s="7" t="n">
        <v>15000</v>
      </c>
      <c r="G210" s="7" t="n">
        <f aca="false">D210*F210</f>
        <v>30000</v>
      </c>
      <c r="H210" s="2" t="str">
        <f aca="false">INDEX(Daftar_Menu!$B$2:$B$13,MATCH(C210,Daftar_Menu!$A$2:$A$13,0))</f>
        <v>Makanan</v>
      </c>
      <c r="I210" s="2" t="str">
        <f aca="false">CHOOSE(WEEKDAY(B210,2),"Senin","Selasa","Rabu","Kamis","Jumat","Sabtu","Minggu")</f>
        <v>Kamis</v>
      </c>
      <c r="J210" s="2" t="n">
        <f aca="false">HOUR(E210)</f>
        <v>19</v>
      </c>
      <c r="K210" s="2" t="str">
        <f aca="false">IF(J210&lt;11,"Pagi",IF(J210&lt;17,"Siang","Malam"))</f>
        <v>Malam</v>
      </c>
      <c r="L210" s="2" t="n">
        <f aca="false">IF(A210&lt;&gt;A209,1,0)</f>
        <v>1</v>
      </c>
    </row>
    <row r="211" customFormat="false" ht="15" hidden="false" customHeight="false" outlineLevel="0" collapsed="false">
      <c r="A211" s="2" t="s">
        <v>329</v>
      </c>
      <c r="B211" s="13" t="n">
        <v>46268</v>
      </c>
      <c r="C211" s="2" t="s">
        <v>84</v>
      </c>
      <c r="D211" s="2" t="n">
        <v>2</v>
      </c>
      <c r="E211" s="15" t="n">
        <v>0.83125</v>
      </c>
      <c r="F211" s="7" t="n">
        <v>5000</v>
      </c>
      <c r="G211" s="7" t="n">
        <f aca="false">D211*F211</f>
        <v>10000</v>
      </c>
      <c r="H211" s="2" t="str">
        <f aca="false">INDEX(Daftar_Menu!$B$2:$B$13,MATCH(C211,Daftar_Menu!$A$2:$A$13,0))</f>
        <v>Minuman</v>
      </c>
      <c r="I211" s="2" t="str">
        <f aca="false">CHOOSE(WEEKDAY(B211,2),"Senin","Selasa","Rabu","Kamis","Jumat","Sabtu","Minggu")</f>
        <v>Kamis</v>
      </c>
      <c r="J211" s="2" t="n">
        <f aca="false">HOUR(E211)</f>
        <v>19</v>
      </c>
      <c r="K211" s="2" t="str">
        <f aca="false">IF(J211&lt;11,"Pagi",IF(J211&lt;17,"Siang","Malam"))</f>
        <v>Malam</v>
      </c>
      <c r="L211" s="2" t="n">
        <f aca="false">IF(A211&lt;&gt;A210,1,0)</f>
        <v>0</v>
      </c>
    </row>
    <row r="212" customFormat="false" ht="15" hidden="false" customHeight="false" outlineLevel="0" collapsed="false">
      <c r="A212" s="2" t="s">
        <v>329</v>
      </c>
      <c r="B212" s="13" t="n">
        <v>46268</v>
      </c>
      <c r="C212" s="2" t="s">
        <v>132</v>
      </c>
      <c r="D212" s="2" t="n">
        <v>1</v>
      </c>
      <c r="E212" s="15" t="n">
        <v>0.83125</v>
      </c>
      <c r="F212" s="7" t="n">
        <v>15000</v>
      </c>
      <c r="G212" s="7" t="n">
        <f aca="false">D212*F212</f>
        <v>15000</v>
      </c>
      <c r="H212" s="2" t="str">
        <f aca="false">INDEX(Daftar_Menu!$B$2:$B$13,MATCH(C212,Daftar_Menu!$A$2:$A$13,0))</f>
        <v>Makanan</v>
      </c>
      <c r="I212" s="2" t="str">
        <f aca="false">CHOOSE(WEEKDAY(B212,2),"Senin","Selasa","Rabu","Kamis","Jumat","Sabtu","Minggu")</f>
        <v>Kamis</v>
      </c>
      <c r="J212" s="2" t="n">
        <f aca="false">HOUR(E212)</f>
        <v>19</v>
      </c>
      <c r="K212" s="2" t="str">
        <f aca="false">IF(J212&lt;11,"Pagi",IF(J212&lt;17,"Siang","Malam"))</f>
        <v>Malam</v>
      </c>
      <c r="L212" s="2" t="n">
        <f aca="false">IF(A212&lt;&gt;A211,1,0)</f>
        <v>0</v>
      </c>
    </row>
    <row r="213" customFormat="false" ht="15" hidden="false" customHeight="false" outlineLevel="0" collapsed="false">
      <c r="A213" s="2" t="s">
        <v>330</v>
      </c>
      <c r="B213" s="13" t="n">
        <v>46268</v>
      </c>
      <c r="C213" s="2" t="s">
        <v>112</v>
      </c>
      <c r="D213" s="2" t="n">
        <v>1</v>
      </c>
      <c r="E213" s="15" t="n">
        <v>0.834027777777778</v>
      </c>
      <c r="F213" s="7" t="n">
        <v>10000</v>
      </c>
      <c r="G213" s="7" t="n">
        <f aca="false">D213*F213</f>
        <v>10000</v>
      </c>
      <c r="H213" s="2" t="str">
        <f aca="false">INDEX(Daftar_Menu!$B$2:$B$13,MATCH(C213,Daftar_Menu!$A$2:$A$13,0))</f>
        <v>Minuman</v>
      </c>
      <c r="I213" s="2" t="str">
        <f aca="false">CHOOSE(WEEKDAY(B213,2),"Senin","Selasa","Rabu","Kamis","Jumat","Sabtu","Minggu")</f>
        <v>Kamis</v>
      </c>
      <c r="J213" s="2" t="n">
        <f aca="false">HOUR(E213)</f>
        <v>20</v>
      </c>
      <c r="K213" s="2" t="str">
        <f aca="false">IF(J213&lt;11,"Pagi",IF(J213&lt;17,"Siang","Malam"))</f>
        <v>Malam</v>
      </c>
      <c r="L213" s="2" t="n">
        <f aca="false">IF(A213&lt;&gt;A212,1,0)</f>
        <v>1</v>
      </c>
    </row>
    <row r="214" customFormat="false" ht="15" hidden="false" customHeight="false" outlineLevel="0" collapsed="false">
      <c r="A214" s="2" t="s">
        <v>330</v>
      </c>
      <c r="B214" s="13" t="n">
        <v>46268</v>
      </c>
      <c r="C214" s="2" t="s">
        <v>81</v>
      </c>
      <c r="D214" s="2" t="n">
        <v>1</v>
      </c>
      <c r="E214" s="15" t="n">
        <v>0.834027777777778</v>
      </c>
      <c r="F214" s="7" t="n">
        <v>15000</v>
      </c>
      <c r="G214" s="7" t="n">
        <f aca="false">D214*F214</f>
        <v>15000</v>
      </c>
      <c r="H214" s="2" t="str">
        <f aca="false">INDEX(Daftar_Menu!$B$2:$B$13,MATCH(C214,Daftar_Menu!$A$2:$A$13,0))</f>
        <v>Makanan</v>
      </c>
      <c r="I214" s="2" t="str">
        <f aca="false">CHOOSE(WEEKDAY(B214,2),"Senin","Selasa","Rabu","Kamis","Jumat","Sabtu","Minggu")</f>
        <v>Kamis</v>
      </c>
      <c r="J214" s="2" t="n">
        <f aca="false">HOUR(E214)</f>
        <v>20</v>
      </c>
      <c r="K214" s="2" t="str">
        <f aca="false">IF(J214&lt;11,"Pagi",IF(J214&lt;17,"Siang","Malam"))</f>
        <v>Malam</v>
      </c>
      <c r="L214" s="2" t="n">
        <f aca="false">IF(A214&lt;&gt;A213,1,0)</f>
        <v>0</v>
      </c>
    </row>
    <row r="215" customFormat="false" ht="15" hidden="false" customHeight="false" outlineLevel="0" collapsed="false">
      <c r="A215" s="2" t="s">
        <v>332</v>
      </c>
      <c r="B215" s="13" t="n">
        <v>46268</v>
      </c>
      <c r="C215" s="2" t="s">
        <v>186</v>
      </c>
      <c r="D215" s="2" t="n">
        <v>1</v>
      </c>
      <c r="E215" s="15" t="n">
        <v>0.840277777777778</v>
      </c>
      <c r="F215" s="7" t="n">
        <v>7000</v>
      </c>
      <c r="G215" s="7" t="n">
        <f aca="false">D215*F215</f>
        <v>7000</v>
      </c>
      <c r="H215" s="2" t="str">
        <f aca="false">INDEX(Daftar_Menu!$B$2:$B$13,MATCH(C215,Daftar_Menu!$A$2:$A$13,0))</f>
        <v>Minuman</v>
      </c>
      <c r="I215" s="2" t="str">
        <f aca="false">CHOOSE(WEEKDAY(B215,2),"Senin","Selasa","Rabu","Kamis","Jumat","Sabtu","Minggu")</f>
        <v>Kamis</v>
      </c>
      <c r="J215" s="2" t="n">
        <f aca="false">HOUR(E215)</f>
        <v>20</v>
      </c>
      <c r="K215" s="2" t="str">
        <f aca="false">IF(J215&lt;11,"Pagi",IF(J215&lt;17,"Siang","Malam"))</f>
        <v>Malam</v>
      </c>
      <c r="L215" s="2" t="n">
        <f aca="false">IF(A215&lt;&gt;A214,1,0)</f>
        <v>1</v>
      </c>
    </row>
    <row r="216" customFormat="false" ht="15" hidden="false" customHeight="false" outlineLevel="0" collapsed="false">
      <c r="A216" s="2" t="s">
        <v>332</v>
      </c>
      <c r="B216" s="13" t="n">
        <v>46268</v>
      </c>
      <c r="C216" s="2" t="s">
        <v>84</v>
      </c>
      <c r="D216" s="2" t="n">
        <v>2</v>
      </c>
      <c r="E216" s="15" t="n">
        <v>0.840277777777778</v>
      </c>
      <c r="F216" s="7" t="n">
        <v>5000</v>
      </c>
      <c r="G216" s="7" t="n">
        <f aca="false">D216*F216</f>
        <v>10000</v>
      </c>
      <c r="H216" s="2" t="str">
        <f aca="false">INDEX(Daftar_Menu!$B$2:$B$13,MATCH(C216,Daftar_Menu!$A$2:$A$13,0))</f>
        <v>Minuman</v>
      </c>
      <c r="I216" s="2" t="str">
        <f aca="false">CHOOSE(WEEKDAY(B216,2),"Senin","Selasa","Rabu","Kamis","Jumat","Sabtu","Minggu")</f>
        <v>Kamis</v>
      </c>
      <c r="J216" s="2" t="n">
        <f aca="false">HOUR(E216)</f>
        <v>20</v>
      </c>
      <c r="K216" s="2" t="str">
        <f aca="false">IF(J216&lt;11,"Pagi",IF(J216&lt;17,"Siang","Malam"))</f>
        <v>Malam</v>
      </c>
      <c r="L216" s="2" t="n">
        <f aca="false">IF(A216&lt;&gt;A215,1,0)</f>
        <v>0</v>
      </c>
    </row>
    <row r="217" customFormat="false" ht="15" hidden="false" customHeight="false" outlineLevel="0" collapsed="false">
      <c r="A217" s="2" t="s">
        <v>334</v>
      </c>
      <c r="B217" s="13" t="n">
        <v>46268</v>
      </c>
      <c r="C217" s="2" t="s">
        <v>108</v>
      </c>
      <c r="D217" s="2" t="n">
        <v>1</v>
      </c>
      <c r="E217" s="15" t="n">
        <v>0.85</v>
      </c>
      <c r="F217" s="7" t="n">
        <v>20000</v>
      </c>
      <c r="G217" s="7" t="n">
        <f aca="false">D217*F217</f>
        <v>20000</v>
      </c>
      <c r="H217" s="2" t="str">
        <f aca="false">INDEX(Daftar_Menu!$B$2:$B$13,MATCH(C217,Daftar_Menu!$A$2:$A$13,0))</f>
        <v>Makanan</v>
      </c>
      <c r="I217" s="2" t="str">
        <f aca="false">CHOOSE(WEEKDAY(B217,2),"Senin","Selasa","Rabu","Kamis","Jumat","Sabtu","Minggu")</f>
        <v>Kamis</v>
      </c>
      <c r="J217" s="2" t="n">
        <f aca="false">HOUR(E217)</f>
        <v>20</v>
      </c>
      <c r="K217" s="2" t="str">
        <f aca="false">IF(J217&lt;11,"Pagi",IF(J217&lt;17,"Siang","Malam"))</f>
        <v>Malam</v>
      </c>
      <c r="L217" s="2" t="n">
        <f aca="false">IF(A217&lt;&gt;A216,1,0)</f>
        <v>1</v>
      </c>
    </row>
    <row r="218" customFormat="false" ht="15" hidden="false" customHeight="false" outlineLevel="0" collapsed="false">
      <c r="A218" s="2" t="s">
        <v>336</v>
      </c>
      <c r="B218" s="13" t="n">
        <v>46268</v>
      </c>
      <c r="C218" s="2" t="s">
        <v>81</v>
      </c>
      <c r="D218" s="2" t="n">
        <v>1</v>
      </c>
      <c r="E218" s="15" t="n">
        <v>0.869444444444445</v>
      </c>
      <c r="F218" s="7" t="n">
        <v>15000</v>
      </c>
      <c r="G218" s="7" t="n">
        <f aca="false">D218*F218</f>
        <v>15000</v>
      </c>
      <c r="H218" s="2" t="str">
        <f aca="false">INDEX(Daftar_Menu!$B$2:$B$13,MATCH(C218,Daftar_Menu!$A$2:$A$13,0))</f>
        <v>Makanan</v>
      </c>
      <c r="I218" s="2" t="str">
        <f aca="false">CHOOSE(WEEKDAY(B218,2),"Senin","Selasa","Rabu","Kamis","Jumat","Sabtu","Minggu")</f>
        <v>Kamis</v>
      </c>
      <c r="J218" s="2" t="n">
        <f aca="false">HOUR(E218)</f>
        <v>20</v>
      </c>
      <c r="K218" s="2" t="str">
        <f aca="false">IF(J218&lt;11,"Pagi",IF(J218&lt;17,"Siang","Malam"))</f>
        <v>Malam</v>
      </c>
      <c r="L218" s="2" t="n">
        <f aca="false">IF(A218&lt;&gt;A217,1,0)</f>
        <v>1</v>
      </c>
    </row>
    <row r="219" customFormat="false" ht="15" hidden="false" customHeight="false" outlineLevel="0" collapsed="false">
      <c r="A219" s="2" t="s">
        <v>338</v>
      </c>
      <c r="B219" s="13" t="n">
        <v>46268</v>
      </c>
      <c r="C219" s="2" t="s">
        <v>126</v>
      </c>
      <c r="D219" s="2" t="n">
        <v>1</v>
      </c>
      <c r="E219" s="15" t="n">
        <v>0.872222222222222</v>
      </c>
      <c r="F219" s="7" t="n">
        <v>3000</v>
      </c>
      <c r="G219" s="7" t="n">
        <f aca="false">D219*F219</f>
        <v>3000</v>
      </c>
      <c r="H219" s="2" t="str">
        <f aca="false">INDEX(Daftar_Menu!$B$2:$B$13,MATCH(C219,Daftar_Menu!$A$2:$A$13,0))</f>
        <v>Minuman</v>
      </c>
      <c r="I219" s="2" t="str">
        <f aca="false">CHOOSE(WEEKDAY(B219,2),"Senin","Selasa","Rabu","Kamis","Jumat","Sabtu","Minggu")</f>
        <v>Kamis</v>
      </c>
      <c r="J219" s="2" t="n">
        <f aca="false">HOUR(E219)</f>
        <v>20</v>
      </c>
      <c r="K219" s="2" t="str">
        <f aca="false">IF(J219&lt;11,"Pagi",IF(J219&lt;17,"Siang","Malam"))</f>
        <v>Malam</v>
      </c>
      <c r="L219" s="2" t="n">
        <f aca="false">IF(A219&lt;&gt;A218,1,0)</f>
        <v>1</v>
      </c>
    </row>
    <row r="220" customFormat="false" ht="15" hidden="false" customHeight="false" outlineLevel="0" collapsed="false">
      <c r="A220" s="2" t="s">
        <v>340</v>
      </c>
      <c r="B220" s="13" t="n">
        <v>46269</v>
      </c>
      <c r="C220" s="2" t="s">
        <v>89</v>
      </c>
      <c r="D220" s="2" t="n">
        <v>1</v>
      </c>
      <c r="E220" s="15" t="n">
        <v>0.336805555555556</v>
      </c>
      <c r="F220" s="7" t="n">
        <v>14000</v>
      </c>
      <c r="G220" s="7" t="n">
        <f aca="false">D220*F220</f>
        <v>14000</v>
      </c>
      <c r="H220" s="2" t="str">
        <f aca="false">INDEX(Daftar_Menu!$B$2:$B$13,MATCH(C220,Daftar_Menu!$A$2:$A$13,0))</f>
        <v>Makanan</v>
      </c>
      <c r="I220" s="2" t="str">
        <f aca="false">CHOOSE(WEEKDAY(B220,2),"Senin","Selasa","Rabu","Kamis","Jumat","Sabtu","Minggu")</f>
        <v>Jumat</v>
      </c>
      <c r="J220" s="2" t="n">
        <f aca="false">HOUR(E220)</f>
        <v>8</v>
      </c>
      <c r="K220" s="2" t="str">
        <f aca="false">IF(J220&lt;11,"Pagi",IF(J220&lt;17,"Siang","Malam"))</f>
        <v>Pagi</v>
      </c>
      <c r="L220" s="2" t="n">
        <f aca="false">IF(A220&lt;&gt;A219,1,0)</f>
        <v>1</v>
      </c>
    </row>
    <row r="221" customFormat="false" ht="15" hidden="false" customHeight="false" outlineLevel="0" collapsed="false">
      <c r="A221" s="2" t="s">
        <v>340</v>
      </c>
      <c r="B221" s="13" t="n">
        <v>46269</v>
      </c>
      <c r="C221" s="2" t="s">
        <v>101</v>
      </c>
      <c r="D221" s="2" t="n">
        <v>1</v>
      </c>
      <c r="E221" s="15" t="n">
        <v>0.336805555555556</v>
      </c>
      <c r="F221" s="7" t="n">
        <v>18000</v>
      </c>
      <c r="G221" s="7" t="n">
        <f aca="false">D221*F221</f>
        <v>18000</v>
      </c>
      <c r="H221" s="2" t="str">
        <f aca="false">INDEX(Daftar_Menu!$B$2:$B$13,MATCH(C221,Daftar_Menu!$A$2:$A$13,0))</f>
        <v>Makanan</v>
      </c>
      <c r="I221" s="2" t="str">
        <f aca="false">CHOOSE(WEEKDAY(B221,2),"Senin","Selasa","Rabu","Kamis","Jumat","Sabtu","Minggu")</f>
        <v>Jumat</v>
      </c>
      <c r="J221" s="2" t="n">
        <f aca="false">HOUR(E221)</f>
        <v>8</v>
      </c>
      <c r="K221" s="2" t="str">
        <f aca="false">IF(J221&lt;11,"Pagi",IF(J221&lt;17,"Siang","Malam"))</f>
        <v>Pagi</v>
      </c>
      <c r="L221" s="2" t="n">
        <f aca="false">IF(A221&lt;&gt;A220,1,0)</f>
        <v>0</v>
      </c>
    </row>
    <row r="222" customFormat="false" ht="15" hidden="false" customHeight="false" outlineLevel="0" collapsed="false">
      <c r="A222" s="2" t="s">
        <v>342</v>
      </c>
      <c r="B222" s="13" t="n">
        <v>46269</v>
      </c>
      <c r="C222" s="2" t="s">
        <v>79</v>
      </c>
      <c r="D222" s="2" t="n">
        <v>1</v>
      </c>
      <c r="E222" s="15" t="n">
        <v>0.390277777777778</v>
      </c>
      <c r="F222" s="7" t="n">
        <v>16000</v>
      </c>
      <c r="G222" s="7" t="n">
        <f aca="false">D222*F222</f>
        <v>16000</v>
      </c>
      <c r="H222" s="2" t="str">
        <f aca="false">INDEX(Daftar_Menu!$B$2:$B$13,MATCH(C222,Daftar_Menu!$A$2:$A$13,0))</f>
        <v>Makanan</v>
      </c>
      <c r="I222" s="2" t="str">
        <f aca="false">CHOOSE(WEEKDAY(B222,2),"Senin","Selasa","Rabu","Kamis","Jumat","Sabtu","Minggu")</f>
        <v>Jumat</v>
      </c>
      <c r="J222" s="2" t="n">
        <f aca="false">HOUR(E222)</f>
        <v>9</v>
      </c>
      <c r="K222" s="2" t="str">
        <f aca="false">IF(J222&lt;11,"Pagi",IF(J222&lt;17,"Siang","Malam"))</f>
        <v>Pagi</v>
      </c>
      <c r="L222" s="2" t="n">
        <f aca="false">IF(A222&lt;&gt;A221,1,0)</f>
        <v>1</v>
      </c>
    </row>
    <row r="223" customFormat="false" ht="15" hidden="false" customHeight="false" outlineLevel="0" collapsed="false">
      <c r="A223" s="2" t="s">
        <v>345</v>
      </c>
      <c r="B223" s="13" t="n">
        <v>46269</v>
      </c>
      <c r="C223" s="2" t="s">
        <v>81</v>
      </c>
      <c r="D223" s="2" t="n">
        <v>1</v>
      </c>
      <c r="E223" s="15" t="n">
        <v>0.392361111111111</v>
      </c>
      <c r="F223" s="7" t="n">
        <v>15000</v>
      </c>
      <c r="G223" s="7" t="n">
        <f aca="false">D223*F223</f>
        <v>15000</v>
      </c>
      <c r="H223" s="2" t="str">
        <f aca="false">INDEX(Daftar_Menu!$B$2:$B$13,MATCH(C223,Daftar_Menu!$A$2:$A$13,0))</f>
        <v>Makanan</v>
      </c>
      <c r="I223" s="2" t="str">
        <f aca="false">CHOOSE(WEEKDAY(B223,2),"Senin","Selasa","Rabu","Kamis","Jumat","Sabtu","Minggu")</f>
        <v>Jumat</v>
      </c>
      <c r="J223" s="2" t="n">
        <f aca="false">HOUR(E223)</f>
        <v>9</v>
      </c>
      <c r="K223" s="2" t="str">
        <f aca="false">IF(J223&lt;11,"Pagi",IF(J223&lt;17,"Siang","Malam"))</f>
        <v>Pagi</v>
      </c>
      <c r="L223" s="2" t="n">
        <f aca="false">IF(A223&lt;&gt;A222,1,0)</f>
        <v>1</v>
      </c>
    </row>
    <row r="224" customFormat="false" ht="15" hidden="false" customHeight="false" outlineLevel="0" collapsed="false">
      <c r="A224" s="2" t="s">
        <v>347</v>
      </c>
      <c r="B224" s="13" t="n">
        <v>46269</v>
      </c>
      <c r="C224" s="2" t="s">
        <v>126</v>
      </c>
      <c r="D224" s="2" t="n">
        <v>1</v>
      </c>
      <c r="E224" s="15" t="n">
        <v>0.417361111111111</v>
      </c>
      <c r="F224" s="7" t="n">
        <v>3000</v>
      </c>
      <c r="G224" s="7" t="n">
        <f aca="false">D224*F224</f>
        <v>3000</v>
      </c>
      <c r="H224" s="2" t="str">
        <f aca="false">INDEX(Daftar_Menu!$B$2:$B$13,MATCH(C224,Daftar_Menu!$A$2:$A$13,0))</f>
        <v>Minuman</v>
      </c>
      <c r="I224" s="2" t="str">
        <f aca="false">CHOOSE(WEEKDAY(B224,2),"Senin","Selasa","Rabu","Kamis","Jumat","Sabtu","Minggu")</f>
        <v>Jumat</v>
      </c>
      <c r="J224" s="2" t="n">
        <f aca="false">HOUR(E224)</f>
        <v>10</v>
      </c>
      <c r="K224" s="2" t="str">
        <f aca="false">IF(J224&lt;11,"Pagi",IF(J224&lt;17,"Siang","Malam"))</f>
        <v>Pagi</v>
      </c>
      <c r="L224" s="2" t="n">
        <f aca="false">IF(A224&lt;&gt;A223,1,0)</f>
        <v>1</v>
      </c>
    </row>
    <row r="225" customFormat="false" ht="15" hidden="false" customHeight="false" outlineLevel="0" collapsed="false">
      <c r="A225" s="2" t="s">
        <v>349</v>
      </c>
      <c r="B225" s="13" t="n">
        <v>46269</v>
      </c>
      <c r="C225" s="2" t="s">
        <v>82</v>
      </c>
      <c r="D225" s="2" t="n">
        <v>1</v>
      </c>
      <c r="E225" s="15" t="n">
        <v>0.434722222222222</v>
      </c>
      <c r="F225" s="7" t="n">
        <v>13000</v>
      </c>
      <c r="G225" s="7" t="n">
        <f aca="false">D225*F225</f>
        <v>13000</v>
      </c>
      <c r="H225" s="2" t="str">
        <f aca="false">INDEX(Daftar_Menu!$B$2:$B$13,MATCH(C225,Daftar_Menu!$A$2:$A$13,0))</f>
        <v>Makanan</v>
      </c>
      <c r="I225" s="2" t="str">
        <f aca="false">CHOOSE(WEEKDAY(B225,2),"Senin","Selasa","Rabu","Kamis","Jumat","Sabtu","Minggu")</f>
        <v>Jumat</v>
      </c>
      <c r="J225" s="2" t="n">
        <f aca="false">HOUR(E225)</f>
        <v>10</v>
      </c>
      <c r="K225" s="2" t="str">
        <f aca="false">IF(J225&lt;11,"Pagi",IF(J225&lt;17,"Siang","Malam"))</f>
        <v>Pagi</v>
      </c>
      <c r="L225" s="2" t="n">
        <f aca="false">IF(A225&lt;&gt;A224,1,0)</f>
        <v>1</v>
      </c>
    </row>
    <row r="226" customFormat="false" ht="15" hidden="false" customHeight="false" outlineLevel="0" collapsed="false">
      <c r="A226" s="2" t="s">
        <v>349</v>
      </c>
      <c r="B226" s="13" t="n">
        <v>46269</v>
      </c>
      <c r="C226" s="2" t="s">
        <v>112</v>
      </c>
      <c r="D226" s="2" t="n">
        <v>1</v>
      </c>
      <c r="E226" s="15" t="n">
        <v>0.434722222222222</v>
      </c>
      <c r="F226" s="7" t="n">
        <v>10000</v>
      </c>
      <c r="G226" s="7" t="n">
        <f aca="false">D226*F226</f>
        <v>10000</v>
      </c>
      <c r="H226" s="2" t="str">
        <f aca="false">INDEX(Daftar_Menu!$B$2:$B$13,MATCH(C226,Daftar_Menu!$A$2:$A$13,0))</f>
        <v>Minuman</v>
      </c>
      <c r="I226" s="2" t="str">
        <f aca="false">CHOOSE(WEEKDAY(B226,2),"Senin","Selasa","Rabu","Kamis","Jumat","Sabtu","Minggu")</f>
        <v>Jumat</v>
      </c>
      <c r="J226" s="2" t="n">
        <f aca="false">HOUR(E226)</f>
        <v>10</v>
      </c>
      <c r="K226" s="2" t="str">
        <f aca="false">IF(J226&lt;11,"Pagi",IF(J226&lt;17,"Siang","Malam"))</f>
        <v>Pagi</v>
      </c>
      <c r="L226" s="2" t="n">
        <f aca="false">IF(A226&lt;&gt;A225,1,0)</f>
        <v>0</v>
      </c>
    </row>
    <row r="227" customFormat="false" ht="15" hidden="false" customHeight="false" outlineLevel="0" collapsed="false">
      <c r="A227" s="2" t="s">
        <v>351</v>
      </c>
      <c r="B227" s="13" t="n">
        <v>46269</v>
      </c>
      <c r="C227" s="2" t="s">
        <v>79</v>
      </c>
      <c r="D227" s="2" t="n">
        <v>1</v>
      </c>
      <c r="E227" s="15" t="n">
        <v>0.469444444444444</v>
      </c>
      <c r="F227" s="7" t="n">
        <v>16000</v>
      </c>
      <c r="G227" s="7" t="n">
        <f aca="false">D227*F227</f>
        <v>16000</v>
      </c>
      <c r="H227" s="2" t="str">
        <f aca="false">INDEX(Daftar_Menu!$B$2:$B$13,MATCH(C227,Daftar_Menu!$A$2:$A$13,0))</f>
        <v>Makanan</v>
      </c>
      <c r="I227" s="2" t="str">
        <f aca="false">CHOOSE(WEEKDAY(B227,2),"Senin","Selasa","Rabu","Kamis","Jumat","Sabtu","Minggu")</f>
        <v>Jumat</v>
      </c>
      <c r="J227" s="2" t="n">
        <f aca="false">HOUR(E227)</f>
        <v>11</v>
      </c>
      <c r="K227" s="2" t="str">
        <f aca="false">IF(J227&lt;11,"Pagi",IF(J227&lt;17,"Siang","Malam"))</f>
        <v>Siang</v>
      </c>
      <c r="L227" s="2" t="n">
        <f aca="false">IF(A227&lt;&gt;A226,1,0)</f>
        <v>1</v>
      </c>
    </row>
    <row r="228" customFormat="false" ht="15" hidden="false" customHeight="false" outlineLevel="0" collapsed="false">
      <c r="A228" s="2" t="s">
        <v>351</v>
      </c>
      <c r="B228" s="13" t="n">
        <v>46269</v>
      </c>
      <c r="C228" s="2" t="s">
        <v>84</v>
      </c>
      <c r="D228" s="2" t="n">
        <v>1</v>
      </c>
      <c r="E228" s="15" t="n">
        <v>0.469444444444444</v>
      </c>
      <c r="F228" s="7" t="n">
        <v>5000</v>
      </c>
      <c r="G228" s="7" t="n">
        <f aca="false">D228*F228</f>
        <v>5000</v>
      </c>
      <c r="H228" s="2" t="str">
        <f aca="false">INDEX(Daftar_Menu!$B$2:$B$13,MATCH(C228,Daftar_Menu!$A$2:$A$13,0))</f>
        <v>Minuman</v>
      </c>
      <c r="I228" s="2" t="str">
        <f aca="false">CHOOSE(WEEKDAY(B228,2),"Senin","Selasa","Rabu","Kamis","Jumat","Sabtu","Minggu")</f>
        <v>Jumat</v>
      </c>
      <c r="J228" s="2" t="n">
        <f aca="false">HOUR(E228)</f>
        <v>11</v>
      </c>
      <c r="K228" s="2" t="str">
        <f aca="false">IF(J228&lt;11,"Pagi",IF(J228&lt;17,"Siang","Malam"))</f>
        <v>Siang</v>
      </c>
      <c r="L228" s="2" t="n">
        <f aca="false">IF(A228&lt;&gt;A227,1,0)</f>
        <v>0</v>
      </c>
    </row>
    <row r="229" customFormat="false" ht="15" hidden="false" customHeight="false" outlineLevel="0" collapsed="false">
      <c r="A229" s="2" t="s">
        <v>353</v>
      </c>
      <c r="B229" s="13" t="n">
        <v>46269</v>
      </c>
      <c r="C229" s="2" t="s">
        <v>79</v>
      </c>
      <c r="D229" s="2" t="n">
        <v>1</v>
      </c>
      <c r="E229" s="15" t="n">
        <v>0.474305555555556</v>
      </c>
      <c r="F229" s="7" t="n">
        <v>16000</v>
      </c>
      <c r="G229" s="7" t="n">
        <f aca="false">D229*F229</f>
        <v>16000</v>
      </c>
      <c r="H229" s="2" t="str">
        <f aca="false">INDEX(Daftar_Menu!$B$2:$B$13,MATCH(C229,Daftar_Menu!$A$2:$A$13,0))</f>
        <v>Makanan</v>
      </c>
      <c r="I229" s="2" t="str">
        <f aca="false">CHOOSE(WEEKDAY(B229,2),"Senin","Selasa","Rabu","Kamis","Jumat","Sabtu","Minggu")</f>
        <v>Jumat</v>
      </c>
      <c r="J229" s="2" t="n">
        <f aca="false">HOUR(E229)</f>
        <v>11</v>
      </c>
      <c r="K229" s="2" t="str">
        <f aca="false">IF(J229&lt;11,"Pagi",IF(J229&lt;17,"Siang","Malam"))</f>
        <v>Siang</v>
      </c>
      <c r="L229" s="2" t="n">
        <f aca="false">IF(A229&lt;&gt;A228,1,0)</f>
        <v>1</v>
      </c>
    </row>
    <row r="230" customFormat="false" ht="15" hidden="false" customHeight="false" outlineLevel="0" collapsed="false">
      <c r="A230" s="2" t="s">
        <v>353</v>
      </c>
      <c r="B230" s="13" t="n">
        <v>46269</v>
      </c>
      <c r="C230" s="2" t="s">
        <v>101</v>
      </c>
      <c r="D230" s="2" t="n">
        <v>2</v>
      </c>
      <c r="E230" s="15" t="n">
        <v>0.474305555555556</v>
      </c>
      <c r="F230" s="7" t="n">
        <v>18000</v>
      </c>
      <c r="G230" s="7" t="n">
        <f aca="false">D230*F230</f>
        <v>36000</v>
      </c>
      <c r="H230" s="2" t="str">
        <f aca="false">INDEX(Daftar_Menu!$B$2:$B$13,MATCH(C230,Daftar_Menu!$A$2:$A$13,0))</f>
        <v>Makanan</v>
      </c>
      <c r="I230" s="2" t="str">
        <f aca="false">CHOOSE(WEEKDAY(B230,2),"Senin","Selasa","Rabu","Kamis","Jumat","Sabtu","Minggu")</f>
        <v>Jumat</v>
      </c>
      <c r="J230" s="2" t="n">
        <f aca="false">HOUR(E230)</f>
        <v>11</v>
      </c>
      <c r="K230" s="2" t="str">
        <f aca="false">IF(J230&lt;11,"Pagi",IF(J230&lt;17,"Siang","Malam"))</f>
        <v>Siang</v>
      </c>
      <c r="L230" s="2" t="n">
        <f aca="false">IF(A230&lt;&gt;A229,1,0)</f>
        <v>0</v>
      </c>
    </row>
    <row r="231" customFormat="false" ht="15" hidden="false" customHeight="false" outlineLevel="0" collapsed="false">
      <c r="A231" s="2" t="s">
        <v>355</v>
      </c>
      <c r="B231" s="13" t="n">
        <v>46269</v>
      </c>
      <c r="C231" s="2" t="s">
        <v>81</v>
      </c>
      <c r="D231" s="2" t="n">
        <v>2</v>
      </c>
      <c r="E231" s="15" t="n">
        <v>0.488194444444444</v>
      </c>
      <c r="F231" s="7" t="n">
        <v>15000</v>
      </c>
      <c r="G231" s="7" t="n">
        <f aca="false">D231*F231</f>
        <v>30000</v>
      </c>
      <c r="H231" s="2" t="str">
        <f aca="false">INDEX(Daftar_Menu!$B$2:$B$13,MATCH(C231,Daftar_Menu!$A$2:$A$13,0))</f>
        <v>Makanan</v>
      </c>
      <c r="I231" s="2" t="str">
        <f aca="false">CHOOSE(WEEKDAY(B231,2),"Senin","Selasa","Rabu","Kamis","Jumat","Sabtu","Minggu")</f>
        <v>Jumat</v>
      </c>
      <c r="J231" s="2" t="n">
        <f aca="false">HOUR(E231)</f>
        <v>11</v>
      </c>
      <c r="K231" s="2" t="str">
        <f aca="false">IF(J231&lt;11,"Pagi",IF(J231&lt;17,"Siang","Malam"))</f>
        <v>Siang</v>
      </c>
      <c r="L231" s="2" t="n">
        <f aca="false">IF(A231&lt;&gt;A230,1,0)</f>
        <v>1</v>
      </c>
    </row>
    <row r="232" customFormat="false" ht="15" hidden="false" customHeight="false" outlineLevel="0" collapsed="false">
      <c r="A232" s="2" t="s">
        <v>357</v>
      </c>
      <c r="B232" s="13" t="n">
        <v>46269</v>
      </c>
      <c r="C232" s="2" t="s">
        <v>81</v>
      </c>
      <c r="D232" s="2" t="n">
        <v>1</v>
      </c>
      <c r="E232" s="15" t="n">
        <v>0.489583333333333</v>
      </c>
      <c r="F232" s="7" t="n">
        <v>15000</v>
      </c>
      <c r="G232" s="7" t="n">
        <f aca="false">D232*F232</f>
        <v>15000</v>
      </c>
      <c r="H232" s="2" t="str">
        <f aca="false">INDEX(Daftar_Menu!$B$2:$B$13,MATCH(C232,Daftar_Menu!$A$2:$A$13,0))</f>
        <v>Makanan</v>
      </c>
      <c r="I232" s="2" t="str">
        <f aca="false">CHOOSE(WEEKDAY(B232,2),"Senin","Selasa","Rabu","Kamis","Jumat","Sabtu","Minggu")</f>
        <v>Jumat</v>
      </c>
      <c r="J232" s="2" t="n">
        <f aca="false">HOUR(E232)</f>
        <v>11</v>
      </c>
      <c r="K232" s="2" t="str">
        <f aca="false">IF(J232&lt;11,"Pagi",IF(J232&lt;17,"Siang","Malam"))</f>
        <v>Siang</v>
      </c>
      <c r="L232" s="2" t="n">
        <f aca="false">IF(A232&lt;&gt;A231,1,0)</f>
        <v>1</v>
      </c>
    </row>
    <row r="233" customFormat="false" ht="15" hidden="false" customHeight="false" outlineLevel="0" collapsed="false">
      <c r="A233" s="2" t="s">
        <v>357</v>
      </c>
      <c r="B233" s="13" t="n">
        <v>46269</v>
      </c>
      <c r="C233" s="2" t="s">
        <v>186</v>
      </c>
      <c r="D233" s="2" t="n">
        <v>1</v>
      </c>
      <c r="E233" s="15" t="n">
        <v>0.489583333333333</v>
      </c>
      <c r="F233" s="7" t="n">
        <v>7000</v>
      </c>
      <c r="G233" s="7" t="n">
        <f aca="false">D233*F233</f>
        <v>7000</v>
      </c>
      <c r="H233" s="2" t="str">
        <f aca="false">INDEX(Daftar_Menu!$B$2:$B$13,MATCH(C233,Daftar_Menu!$A$2:$A$13,0))</f>
        <v>Minuman</v>
      </c>
      <c r="I233" s="2" t="str">
        <f aca="false">CHOOSE(WEEKDAY(B233,2),"Senin","Selasa","Rabu","Kamis","Jumat","Sabtu","Minggu")</f>
        <v>Jumat</v>
      </c>
      <c r="J233" s="2" t="n">
        <f aca="false">HOUR(E233)</f>
        <v>11</v>
      </c>
      <c r="K233" s="2" t="str">
        <f aca="false">IF(J233&lt;11,"Pagi",IF(J233&lt;17,"Siang","Malam"))</f>
        <v>Siang</v>
      </c>
      <c r="L233" s="2" t="n">
        <f aca="false">IF(A233&lt;&gt;A232,1,0)</f>
        <v>0</v>
      </c>
    </row>
    <row r="234" customFormat="false" ht="15" hidden="false" customHeight="false" outlineLevel="0" collapsed="false">
      <c r="A234" s="2" t="s">
        <v>357</v>
      </c>
      <c r="B234" s="13" t="n">
        <v>46269</v>
      </c>
      <c r="C234" s="2" t="s">
        <v>92</v>
      </c>
      <c r="D234" s="2" t="n">
        <v>1</v>
      </c>
      <c r="E234" s="15" t="n">
        <v>0.489583333333333</v>
      </c>
      <c r="F234" s="7" t="n">
        <v>4000</v>
      </c>
      <c r="G234" s="7" t="n">
        <f aca="false">D234*F234</f>
        <v>4000</v>
      </c>
      <c r="H234" s="2" t="str">
        <f aca="false">INDEX(Daftar_Menu!$B$2:$B$13,MATCH(C234,Daftar_Menu!$A$2:$A$13,0))</f>
        <v>Minuman</v>
      </c>
      <c r="I234" s="2" t="str">
        <f aca="false">CHOOSE(WEEKDAY(B234,2),"Senin","Selasa","Rabu","Kamis","Jumat","Sabtu","Minggu")</f>
        <v>Jumat</v>
      </c>
      <c r="J234" s="2" t="n">
        <f aca="false">HOUR(E234)</f>
        <v>11</v>
      </c>
      <c r="K234" s="2" t="str">
        <f aca="false">IF(J234&lt;11,"Pagi",IF(J234&lt;17,"Siang","Malam"))</f>
        <v>Siang</v>
      </c>
      <c r="L234" s="2" t="n">
        <f aca="false">IF(A234&lt;&gt;A233,1,0)</f>
        <v>0</v>
      </c>
    </row>
    <row r="235" customFormat="false" ht="15" hidden="false" customHeight="false" outlineLevel="0" collapsed="false">
      <c r="A235" s="2" t="s">
        <v>359</v>
      </c>
      <c r="B235" s="13" t="n">
        <v>46269</v>
      </c>
      <c r="C235" s="2" t="s">
        <v>81</v>
      </c>
      <c r="D235" s="2" t="n">
        <v>1</v>
      </c>
      <c r="E235" s="15" t="n">
        <v>0.493055555555556</v>
      </c>
      <c r="F235" s="7" t="n">
        <v>15000</v>
      </c>
      <c r="G235" s="7" t="n">
        <f aca="false">D235*F235</f>
        <v>15000</v>
      </c>
      <c r="H235" s="2" t="str">
        <f aca="false">INDEX(Daftar_Menu!$B$2:$B$13,MATCH(C235,Daftar_Menu!$A$2:$A$13,0))</f>
        <v>Makanan</v>
      </c>
      <c r="I235" s="2" t="str">
        <f aca="false">CHOOSE(WEEKDAY(B235,2),"Senin","Selasa","Rabu","Kamis","Jumat","Sabtu","Minggu")</f>
        <v>Jumat</v>
      </c>
      <c r="J235" s="2" t="n">
        <f aca="false">HOUR(E235)</f>
        <v>11</v>
      </c>
      <c r="K235" s="2" t="str">
        <f aca="false">IF(J235&lt;11,"Pagi",IF(J235&lt;17,"Siang","Malam"))</f>
        <v>Siang</v>
      </c>
      <c r="L235" s="2" t="n">
        <f aca="false">IF(A235&lt;&gt;A234,1,0)</f>
        <v>1</v>
      </c>
    </row>
    <row r="236" customFormat="false" ht="15" hidden="false" customHeight="false" outlineLevel="0" collapsed="false">
      <c r="A236" s="2" t="s">
        <v>359</v>
      </c>
      <c r="B236" s="13" t="n">
        <v>46269</v>
      </c>
      <c r="C236" s="2" t="s">
        <v>92</v>
      </c>
      <c r="D236" s="2" t="n">
        <v>2</v>
      </c>
      <c r="E236" s="15" t="n">
        <v>0.493055555555556</v>
      </c>
      <c r="F236" s="7" t="n">
        <v>4000</v>
      </c>
      <c r="G236" s="7" t="n">
        <f aca="false">D236*F236</f>
        <v>8000</v>
      </c>
      <c r="H236" s="2" t="str">
        <f aca="false">INDEX(Daftar_Menu!$B$2:$B$13,MATCH(C236,Daftar_Menu!$A$2:$A$13,0))</f>
        <v>Minuman</v>
      </c>
      <c r="I236" s="2" t="str">
        <f aca="false">CHOOSE(WEEKDAY(B236,2),"Senin","Selasa","Rabu","Kamis","Jumat","Sabtu","Minggu")</f>
        <v>Jumat</v>
      </c>
      <c r="J236" s="2" t="n">
        <f aca="false">HOUR(E236)</f>
        <v>11</v>
      </c>
      <c r="K236" s="2" t="str">
        <f aca="false">IF(J236&lt;11,"Pagi",IF(J236&lt;17,"Siang","Malam"))</f>
        <v>Siang</v>
      </c>
      <c r="L236" s="2" t="n">
        <f aca="false">IF(A236&lt;&gt;A235,1,0)</f>
        <v>0</v>
      </c>
    </row>
    <row r="237" customFormat="false" ht="15" hidden="false" customHeight="false" outlineLevel="0" collapsed="false">
      <c r="A237" s="2" t="s">
        <v>361</v>
      </c>
      <c r="B237" s="13" t="n">
        <v>46269</v>
      </c>
      <c r="C237" s="2" t="s">
        <v>101</v>
      </c>
      <c r="D237" s="2" t="n">
        <v>1</v>
      </c>
      <c r="E237" s="15" t="n">
        <v>0.504166666666667</v>
      </c>
      <c r="F237" s="7" t="n">
        <v>18000</v>
      </c>
      <c r="G237" s="7" t="n">
        <f aca="false">D237*F237</f>
        <v>18000</v>
      </c>
      <c r="H237" s="2" t="str">
        <f aca="false">INDEX(Daftar_Menu!$B$2:$B$13,MATCH(C237,Daftar_Menu!$A$2:$A$13,0))</f>
        <v>Makanan</v>
      </c>
      <c r="I237" s="2" t="str">
        <f aca="false">CHOOSE(WEEKDAY(B237,2),"Senin","Selasa","Rabu","Kamis","Jumat","Sabtu","Minggu")</f>
        <v>Jumat</v>
      </c>
      <c r="J237" s="2" t="n">
        <f aca="false">HOUR(E237)</f>
        <v>12</v>
      </c>
      <c r="K237" s="2" t="str">
        <f aca="false">IF(J237&lt;11,"Pagi",IF(J237&lt;17,"Siang","Malam"))</f>
        <v>Siang</v>
      </c>
      <c r="L237" s="2" t="n">
        <f aca="false">IF(A237&lt;&gt;A236,1,0)</f>
        <v>1</v>
      </c>
    </row>
    <row r="238" customFormat="false" ht="15" hidden="false" customHeight="false" outlineLevel="0" collapsed="false">
      <c r="A238" s="2" t="s">
        <v>362</v>
      </c>
      <c r="B238" s="13" t="n">
        <v>46269</v>
      </c>
      <c r="C238" s="2" t="s">
        <v>186</v>
      </c>
      <c r="D238" s="2" t="n">
        <v>1</v>
      </c>
      <c r="E238" s="15" t="n">
        <v>0.504166666666667</v>
      </c>
      <c r="F238" s="7" t="n">
        <v>7000</v>
      </c>
      <c r="G238" s="7" t="n">
        <f aca="false">D238*F238</f>
        <v>7000</v>
      </c>
      <c r="H238" s="2" t="str">
        <f aca="false">INDEX(Daftar_Menu!$B$2:$B$13,MATCH(C238,Daftar_Menu!$A$2:$A$13,0))</f>
        <v>Minuman</v>
      </c>
      <c r="I238" s="2" t="str">
        <f aca="false">CHOOSE(WEEKDAY(B238,2),"Senin","Selasa","Rabu","Kamis","Jumat","Sabtu","Minggu")</f>
        <v>Jumat</v>
      </c>
      <c r="J238" s="2" t="n">
        <f aca="false">HOUR(E238)</f>
        <v>12</v>
      </c>
      <c r="K238" s="2" t="str">
        <f aca="false">IF(J238&lt;11,"Pagi",IF(J238&lt;17,"Siang","Malam"))</f>
        <v>Siang</v>
      </c>
      <c r="L238" s="2" t="n">
        <f aca="false">IF(A238&lt;&gt;A237,1,0)</f>
        <v>1</v>
      </c>
    </row>
    <row r="239" customFormat="false" ht="15" hidden="false" customHeight="false" outlineLevel="0" collapsed="false">
      <c r="A239" s="2" t="s">
        <v>363</v>
      </c>
      <c r="B239" s="13" t="n">
        <v>46269</v>
      </c>
      <c r="C239" s="2" t="s">
        <v>132</v>
      </c>
      <c r="D239" s="2" t="n">
        <v>1</v>
      </c>
      <c r="E239" s="15" t="n">
        <v>0.507638888888889</v>
      </c>
      <c r="F239" s="7" t="n">
        <v>15000</v>
      </c>
      <c r="G239" s="7" t="n">
        <f aca="false">D239*F239</f>
        <v>15000</v>
      </c>
      <c r="H239" s="2" t="str">
        <f aca="false">INDEX(Daftar_Menu!$B$2:$B$13,MATCH(C239,Daftar_Menu!$A$2:$A$13,0))</f>
        <v>Makanan</v>
      </c>
      <c r="I239" s="2" t="str">
        <f aca="false">CHOOSE(WEEKDAY(B239,2),"Senin","Selasa","Rabu","Kamis","Jumat","Sabtu","Minggu")</f>
        <v>Jumat</v>
      </c>
      <c r="J239" s="2" t="n">
        <f aca="false">HOUR(E239)</f>
        <v>12</v>
      </c>
      <c r="K239" s="2" t="str">
        <f aca="false">IF(J239&lt;11,"Pagi",IF(J239&lt;17,"Siang","Malam"))</f>
        <v>Siang</v>
      </c>
      <c r="L239" s="2" t="n">
        <f aca="false">IF(A239&lt;&gt;A238,1,0)</f>
        <v>1</v>
      </c>
    </row>
    <row r="240" customFormat="false" ht="15" hidden="false" customHeight="false" outlineLevel="0" collapsed="false">
      <c r="A240" s="2" t="s">
        <v>365</v>
      </c>
      <c r="B240" s="13" t="n">
        <v>46269</v>
      </c>
      <c r="C240" s="2" t="s">
        <v>92</v>
      </c>
      <c r="D240" s="2" t="n">
        <v>1</v>
      </c>
      <c r="E240" s="15" t="n">
        <v>0.509027777777778</v>
      </c>
      <c r="F240" s="7" t="n">
        <v>4000</v>
      </c>
      <c r="G240" s="7" t="n">
        <f aca="false">D240*F240</f>
        <v>4000</v>
      </c>
      <c r="H240" s="2" t="str">
        <f aca="false">INDEX(Daftar_Menu!$B$2:$B$13,MATCH(C240,Daftar_Menu!$A$2:$A$13,0))</f>
        <v>Minuman</v>
      </c>
      <c r="I240" s="2" t="str">
        <f aca="false">CHOOSE(WEEKDAY(B240,2),"Senin","Selasa","Rabu","Kamis","Jumat","Sabtu","Minggu")</f>
        <v>Jumat</v>
      </c>
      <c r="J240" s="2" t="n">
        <f aca="false">HOUR(E240)</f>
        <v>12</v>
      </c>
      <c r="K240" s="2" t="str">
        <f aca="false">IF(J240&lt;11,"Pagi",IF(J240&lt;17,"Siang","Malam"))</f>
        <v>Siang</v>
      </c>
      <c r="L240" s="2" t="n">
        <f aca="false">IF(A240&lt;&gt;A239,1,0)</f>
        <v>1</v>
      </c>
    </row>
    <row r="241" customFormat="false" ht="15" hidden="false" customHeight="false" outlineLevel="0" collapsed="false">
      <c r="A241" s="2" t="s">
        <v>365</v>
      </c>
      <c r="B241" s="13" t="n">
        <v>46269</v>
      </c>
      <c r="C241" s="2" t="s">
        <v>79</v>
      </c>
      <c r="D241" s="2" t="n">
        <v>1</v>
      </c>
      <c r="E241" s="15" t="n">
        <v>0.509027777777778</v>
      </c>
      <c r="F241" s="7" t="n">
        <v>16000</v>
      </c>
      <c r="G241" s="7" t="n">
        <f aca="false">D241*F241</f>
        <v>16000</v>
      </c>
      <c r="H241" s="2" t="str">
        <f aca="false">INDEX(Daftar_Menu!$B$2:$B$13,MATCH(C241,Daftar_Menu!$A$2:$A$13,0))</f>
        <v>Makanan</v>
      </c>
      <c r="I241" s="2" t="str">
        <f aca="false">CHOOSE(WEEKDAY(B241,2),"Senin","Selasa","Rabu","Kamis","Jumat","Sabtu","Minggu")</f>
        <v>Jumat</v>
      </c>
      <c r="J241" s="2" t="n">
        <f aca="false">HOUR(E241)</f>
        <v>12</v>
      </c>
      <c r="K241" s="2" t="str">
        <f aca="false">IF(J241&lt;11,"Pagi",IF(J241&lt;17,"Siang","Malam"))</f>
        <v>Siang</v>
      </c>
      <c r="L241" s="2" t="n">
        <f aca="false">IF(A241&lt;&gt;A240,1,0)</f>
        <v>0</v>
      </c>
    </row>
    <row r="242" customFormat="false" ht="15" hidden="false" customHeight="false" outlineLevel="0" collapsed="false">
      <c r="A242" s="2" t="s">
        <v>367</v>
      </c>
      <c r="B242" s="13" t="n">
        <v>46269</v>
      </c>
      <c r="C242" s="2" t="s">
        <v>101</v>
      </c>
      <c r="D242" s="2" t="n">
        <v>1</v>
      </c>
      <c r="E242" s="15" t="n">
        <v>0.513888888888889</v>
      </c>
      <c r="F242" s="7" t="n">
        <v>18000</v>
      </c>
      <c r="G242" s="7" t="n">
        <f aca="false">D242*F242</f>
        <v>18000</v>
      </c>
      <c r="H242" s="2" t="str">
        <f aca="false">INDEX(Daftar_Menu!$B$2:$B$13,MATCH(C242,Daftar_Menu!$A$2:$A$13,0))</f>
        <v>Makanan</v>
      </c>
      <c r="I242" s="2" t="str">
        <f aca="false">CHOOSE(WEEKDAY(B242,2),"Senin","Selasa","Rabu","Kamis","Jumat","Sabtu","Minggu")</f>
        <v>Jumat</v>
      </c>
      <c r="J242" s="2" t="n">
        <f aca="false">HOUR(E242)</f>
        <v>12</v>
      </c>
      <c r="K242" s="2" t="str">
        <f aca="false">IF(J242&lt;11,"Pagi",IF(J242&lt;17,"Siang","Malam"))</f>
        <v>Siang</v>
      </c>
      <c r="L242" s="2" t="n">
        <f aca="false">IF(A242&lt;&gt;A241,1,0)</f>
        <v>1</v>
      </c>
    </row>
    <row r="243" customFormat="false" ht="15" hidden="false" customHeight="false" outlineLevel="0" collapsed="false">
      <c r="A243" s="2" t="s">
        <v>367</v>
      </c>
      <c r="B243" s="13" t="n">
        <v>46269</v>
      </c>
      <c r="C243" s="2" t="s">
        <v>84</v>
      </c>
      <c r="D243" s="2" t="n">
        <v>1</v>
      </c>
      <c r="E243" s="15" t="n">
        <v>0.513888888888889</v>
      </c>
      <c r="F243" s="7" t="n">
        <v>5000</v>
      </c>
      <c r="G243" s="7" t="n">
        <f aca="false">D243*F243</f>
        <v>5000</v>
      </c>
      <c r="H243" s="2" t="str">
        <f aca="false">INDEX(Daftar_Menu!$B$2:$B$13,MATCH(C243,Daftar_Menu!$A$2:$A$13,0))</f>
        <v>Minuman</v>
      </c>
      <c r="I243" s="2" t="str">
        <f aca="false">CHOOSE(WEEKDAY(B243,2),"Senin","Selasa","Rabu","Kamis","Jumat","Sabtu","Minggu")</f>
        <v>Jumat</v>
      </c>
      <c r="J243" s="2" t="n">
        <f aca="false">HOUR(E243)</f>
        <v>12</v>
      </c>
      <c r="K243" s="2" t="str">
        <f aca="false">IF(J243&lt;11,"Pagi",IF(J243&lt;17,"Siang","Malam"))</f>
        <v>Siang</v>
      </c>
      <c r="L243" s="2" t="n">
        <f aca="false">IF(A243&lt;&gt;A242,1,0)</f>
        <v>0</v>
      </c>
    </row>
    <row r="244" customFormat="false" ht="15" hidden="false" customHeight="false" outlineLevel="0" collapsed="false">
      <c r="A244" s="2" t="s">
        <v>369</v>
      </c>
      <c r="B244" s="13" t="n">
        <v>46269</v>
      </c>
      <c r="C244" s="2" t="s">
        <v>84</v>
      </c>
      <c r="D244" s="2" t="n">
        <v>1</v>
      </c>
      <c r="E244" s="15" t="n">
        <v>0.51875</v>
      </c>
      <c r="F244" s="7" t="n">
        <v>5000</v>
      </c>
      <c r="G244" s="7" t="n">
        <f aca="false">D244*F244</f>
        <v>5000</v>
      </c>
      <c r="H244" s="2" t="str">
        <f aca="false">INDEX(Daftar_Menu!$B$2:$B$13,MATCH(C244,Daftar_Menu!$A$2:$A$13,0))</f>
        <v>Minuman</v>
      </c>
      <c r="I244" s="2" t="str">
        <f aca="false">CHOOSE(WEEKDAY(B244,2),"Senin","Selasa","Rabu","Kamis","Jumat","Sabtu","Minggu")</f>
        <v>Jumat</v>
      </c>
      <c r="J244" s="2" t="n">
        <f aca="false">HOUR(E244)</f>
        <v>12</v>
      </c>
      <c r="K244" s="2" t="str">
        <f aca="false">IF(J244&lt;11,"Pagi",IF(J244&lt;17,"Siang","Malam"))</f>
        <v>Siang</v>
      </c>
      <c r="L244" s="2" t="n">
        <f aca="false">IF(A244&lt;&gt;A243,1,0)</f>
        <v>1</v>
      </c>
    </row>
    <row r="245" customFormat="false" ht="15" hidden="false" customHeight="false" outlineLevel="0" collapsed="false">
      <c r="A245" s="2" t="s">
        <v>371</v>
      </c>
      <c r="B245" s="13" t="n">
        <v>46269</v>
      </c>
      <c r="C245" s="2" t="s">
        <v>89</v>
      </c>
      <c r="D245" s="2" t="n">
        <v>2</v>
      </c>
      <c r="E245" s="15" t="n">
        <v>0.520833333333333</v>
      </c>
      <c r="F245" s="7" t="n">
        <v>14000</v>
      </c>
      <c r="G245" s="7" t="n">
        <f aca="false">D245*F245</f>
        <v>28000</v>
      </c>
      <c r="H245" s="2" t="str">
        <f aca="false">INDEX(Daftar_Menu!$B$2:$B$13,MATCH(C245,Daftar_Menu!$A$2:$A$13,0))</f>
        <v>Makanan</v>
      </c>
      <c r="I245" s="2" t="str">
        <f aca="false">CHOOSE(WEEKDAY(B245,2),"Senin","Selasa","Rabu","Kamis","Jumat","Sabtu","Minggu")</f>
        <v>Jumat</v>
      </c>
      <c r="J245" s="2" t="n">
        <f aca="false">HOUR(E245)</f>
        <v>12</v>
      </c>
      <c r="K245" s="2" t="str">
        <f aca="false">IF(J245&lt;11,"Pagi",IF(J245&lt;17,"Siang","Malam"))</f>
        <v>Siang</v>
      </c>
      <c r="L245" s="2" t="n">
        <f aca="false">IF(A245&lt;&gt;A244,1,0)</f>
        <v>1</v>
      </c>
    </row>
    <row r="246" customFormat="false" ht="15" hidden="false" customHeight="false" outlineLevel="0" collapsed="false">
      <c r="A246" s="2" t="s">
        <v>373</v>
      </c>
      <c r="B246" s="13" t="n">
        <v>46269</v>
      </c>
      <c r="C246" s="2" t="s">
        <v>132</v>
      </c>
      <c r="D246" s="2" t="n">
        <v>2</v>
      </c>
      <c r="E246" s="15" t="n">
        <v>0.523611111111111</v>
      </c>
      <c r="F246" s="7" t="n">
        <v>15000</v>
      </c>
      <c r="G246" s="7" t="n">
        <f aca="false">D246*F246</f>
        <v>30000</v>
      </c>
      <c r="H246" s="2" t="str">
        <f aca="false">INDEX(Daftar_Menu!$B$2:$B$13,MATCH(C246,Daftar_Menu!$A$2:$A$13,0))</f>
        <v>Makanan</v>
      </c>
      <c r="I246" s="2" t="str">
        <f aca="false">CHOOSE(WEEKDAY(B246,2),"Senin","Selasa","Rabu","Kamis","Jumat","Sabtu","Minggu")</f>
        <v>Jumat</v>
      </c>
      <c r="J246" s="2" t="n">
        <f aca="false">HOUR(E246)</f>
        <v>12</v>
      </c>
      <c r="K246" s="2" t="str">
        <f aca="false">IF(J246&lt;11,"Pagi",IF(J246&lt;17,"Siang","Malam"))</f>
        <v>Siang</v>
      </c>
      <c r="L246" s="2" t="n">
        <f aca="false">IF(A246&lt;&gt;A245,1,0)</f>
        <v>1</v>
      </c>
    </row>
    <row r="247" customFormat="false" ht="15" hidden="false" customHeight="false" outlineLevel="0" collapsed="false">
      <c r="A247" s="2" t="s">
        <v>373</v>
      </c>
      <c r="B247" s="13" t="n">
        <v>46269</v>
      </c>
      <c r="C247" s="2" t="s">
        <v>101</v>
      </c>
      <c r="D247" s="2" t="n">
        <v>1</v>
      </c>
      <c r="E247" s="15" t="n">
        <v>0.523611111111111</v>
      </c>
      <c r="F247" s="7" t="n">
        <v>18000</v>
      </c>
      <c r="G247" s="7" t="n">
        <f aca="false">D247*F247</f>
        <v>18000</v>
      </c>
      <c r="H247" s="2" t="str">
        <f aca="false">INDEX(Daftar_Menu!$B$2:$B$13,MATCH(C247,Daftar_Menu!$A$2:$A$13,0))</f>
        <v>Makanan</v>
      </c>
      <c r="I247" s="2" t="str">
        <f aca="false">CHOOSE(WEEKDAY(B247,2),"Senin","Selasa","Rabu","Kamis","Jumat","Sabtu","Minggu")</f>
        <v>Jumat</v>
      </c>
      <c r="J247" s="2" t="n">
        <f aca="false">HOUR(E247)</f>
        <v>12</v>
      </c>
      <c r="K247" s="2" t="str">
        <f aca="false">IF(J247&lt;11,"Pagi",IF(J247&lt;17,"Siang","Malam"))</f>
        <v>Siang</v>
      </c>
      <c r="L247" s="2" t="n">
        <f aca="false">IF(A247&lt;&gt;A246,1,0)</f>
        <v>0</v>
      </c>
    </row>
    <row r="248" customFormat="false" ht="15" hidden="false" customHeight="false" outlineLevel="0" collapsed="false">
      <c r="A248" s="2" t="s">
        <v>375</v>
      </c>
      <c r="B248" s="13" t="n">
        <v>46269</v>
      </c>
      <c r="C248" s="2" t="s">
        <v>81</v>
      </c>
      <c r="D248" s="2" t="n">
        <v>2</v>
      </c>
      <c r="E248" s="15" t="n">
        <v>0.524305555555556</v>
      </c>
      <c r="F248" s="7" t="n">
        <v>15000</v>
      </c>
      <c r="G248" s="7" t="n">
        <f aca="false">D248*F248</f>
        <v>30000</v>
      </c>
      <c r="H248" s="2" t="str">
        <f aca="false">INDEX(Daftar_Menu!$B$2:$B$13,MATCH(C248,Daftar_Menu!$A$2:$A$13,0))</f>
        <v>Makanan</v>
      </c>
      <c r="I248" s="2" t="str">
        <f aca="false">CHOOSE(WEEKDAY(B248,2),"Senin","Selasa","Rabu","Kamis","Jumat","Sabtu","Minggu")</f>
        <v>Jumat</v>
      </c>
      <c r="J248" s="2" t="n">
        <f aca="false">HOUR(E248)</f>
        <v>12</v>
      </c>
      <c r="K248" s="2" t="str">
        <f aca="false">IF(J248&lt;11,"Pagi",IF(J248&lt;17,"Siang","Malam"))</f>
        <v>Siang</v>
      </c>
      <c r="L248" s="2" t="n">
        <f aca="false">IF(A248&lt;&gt;A247,1,0)</f>
        <v>1</v>
      </c>
    </row>
    <row r="249" customFormat="false" ht="15" hidden="false" customHeight="false" outlineLevel="0" collapsed="false">
      <c r="A249" s="2" t="s">
        <v>375</v>
      </c>
      <c r="B249" s="13" t="n">
        <v>46269</v>
      </c>
      <c r="C249" s="2" t="s">
        <v>186</v>
      </c>
      <c r="D249" s="2" t="n">
        <v>1</v>
      </c>
      <c r="E249" s="15" t="n">
        <v>0.524305555555556</v>
      </c>
      <c r="F249" s="7" t="n">
        <v>7000</v>
      </c>
      <c r="G249" s="7" t="n">
        <f aca="false">D249*F249</f>
        <v>7000</v>
      </c>
      <c r="H249" s="2" t="str">
        <f aca="false">INDEX(Daftar_Menu!$B$2:$B$13,MATCH(C249,Daftar_Menu!$A$2:$A$13,0))</f>
        <v>Minuman</v>
      </c>
      <c r="I249" s="2" t="str">
        <f aca="false">CHOOSE(WEEKDAY(B249,2),"Senin","Selasa","Rabu","Kamis","Jumat","Sabtu","Minggu")</f>
        <v>Jumat</v>
      </c>
      <c r="J249" s="2" t="n">
        <f aca="false">HOUR(E249)</f>
        <v>12</v>
      </c>
      <c r="K249" s="2" t="str">
        <f aca="false">IF(J249&lt;11,"Pagi",IF(J249&lt;17,"Siang","Malam"))</f>
        <v>Siang</v>
      </c>
      <c r="L249" s="2" t="n">
        <f aca="false">IF(A249&lt;&gt;A248,1,0)</f>
        <v>0</v>
      </c>
    </row>
    <row r="250" customFormat="false" ht="15" hidden="false" customHeight="false" outlineLevel="0" collapsed="false">
      <c r="A250" s="2" t="s">
        <v>376</v>
      </c>
      <c r="B250" s="13" t="n">
        <v>46269</v>
      </c>
      <c r="C250" s="2" t="s">
        <v>79</v>
      </c>
      <c r="D250" s="2" t="n">
        <v>1</v>
      </c>
      <c r="E250" s="15" t="n">
        <v>0.533333333333333</v>
      </c>
      <c r="F250" s="7" t="n">
        <v>16000</v>
      </c>
      <c r="G250" s="7" t="n">
        <f aca="false">D250*F250</f>
        <v>16000</v>
      </c>
      <c r="H250" s="2" t="str">
        <f aca="false">INDEX(Daftar_Menu!$B$2:$B$13,MATCH(C250,Daftar_Menu!$A$2:$A$13,0))</f>
        <v>Makanan</v>
      </c>
      <c r="I250" s="2" t="str">
        <f aca="false">CHOOSE(WEEKDAY(B250,2),"Senin","Selasa","Rabu","Kamis","Jumat","Sabtu","Minggu")</f>
        <v>Jumat</v>
      </c>
      <c r="J250" s="2" t="n">
        <f aca="false">HOUR(E250)</f>
        <v>12</v>
      </c>
      <c r="K250" s="2" t="str">
        <f aca="false">IF(J250&lt;11,"Pagi",IF(J250&lt;17,"Siang","Malam"))</f>
        <v>Siang</v>
      </c>
      <c r="L250" s="2" t="n">
        <f aca="false">IF(A250&lt;&gt;A249,1,0)</f>
        <v>1</v>
      </c>
    </row>
    <row r="251" customFormat="false" ht="15" hidden="false" customHeight="false" outlineLevel="0" collapsed="false">
      <c r="A251" s="2" t="s">
        <v>378</v>
      </c>
      <c r="B251" s="13" t="n">
        <v>46269</v>
      </c>
      <c r="C251" s="2" t="s">
        <v>112</v>
      </c>
      <c r="D251" s="2" t="n">
        <v>1</v>
      </c>
      <c r="E251" s="15" t="n">
        <v>0.564583333333333</v>
      </c>
      <c r="F251" s="7" t="n">
        <v>10000</v>
      </c>
      <c r="G251" s="7" t="n">
        <f aca="false">D251*F251</f>
        <v>10000</v>
      </c>
      <c r="H251" s="2" t="str">
        <f aca="false">INDEX(Daftar_Menu!$B$2:$B$13,MATCH(C251,Daftar_Menu!$A$2:$A$13,0))</f>
        <v>Minuman</v>
      </c>
      <c r="I251" s="2" t="str">
        <f aca="false">CHOOSE(WEEKDAY(B251,2),"Senin","Selasa","Rabu","Kamis","Jumat","Sabtu","Minggu")</f>
        <v>Jumat</v>
      </c>
      <c r="J251" s="2" t="n">
        <f aca="false">HOUR(E251)</f>
        <v>13</v>
      </c>
      <c r="K251" s="2" t="str">
        <f aca="false">IF(J251&lt;11,"Pagi",IF(J251&lt;17,"Siang","Malam"))</f>
        <v>Siang</v>
      </c>
      <c r="L251" s="2" t="n">
        <f aca="false">IF(A251&lt;&gt;A250,1,0)</f>
        <v>1</v>
      </c>
    </row>
    <row r="252" customFormat="false" ht="15" hidden="false" customHeight="false" outlineLevel="0" collapsed="false">
      <c r="A252" s="2" t="s">
        <v>380</v>
      </c>
      <c r="B252" s="13" t="n">
        <v>46269</v>
      </c>
      <c r="C252" s="2" t="s">
        <v>84</v>
      </c>
      <c r="D252" s="2" t="n">
        <v>1</v>
      </c>
      <c r="E252" s="15" t="n">
        <v>0.575694444444444</v>
      </c>
      <c r="F252" s="7" t="n">
        <v>5000</v>
      </c>
      <c r="G252" s="7" t="n">
        <f aca="false">D252*F252</f>
        <v>5000</v>
      </c>
      <c r="H252" s="2" t="str">
        <f aca="false">INDEX(Daftar_Menu!$B$2:$B$13,MATCH(C252,Daftar_Menu!$A$2:$A$13,0))</f>
        <v>Minuman</v>
      </c>
      <c r="I252" s="2" t="str">
        <f aca="false">CHOOSE(WEEKDAY(B252,2),"Senin","Selasa","Rabu","Kamis","Jumat","Sabtu","Minggu")</f>
        <v>Jumat</v>
      </c>
      <c r="J252" s="2" t="n">
        <f aca="false">HOUR(E252)</f>
        <v>13</v>
      </c>
      <c r="K252" s="2" t="str">
        <f aca="false">IF(J252&lt;11,"Pagi",IF(J252&lt;17,"Siang","Malam"))</f>
        <v>Siang</v>
      </c>
      <c r="L252" s="2" t="n">
        <f aca="false">IF(A252&lt;&gt;A251,1,0)</f>
        <v>1</v>
      </c>
    </row>
    <row r="253" customFormat="false" ht="15" hidden="false" customHeight="false" outlineLevel="0" collapsed="false">
      <c r="A253" s="2" t="s">
        <v>380</v>
      </c>
      <c r="B253" s="13" t="n">
        <v>46269</v>
      </c>
      <c r="C253" s="2" t="s">
        <v>81</v>
      </c>
      <c r="D253" s="2" t="n">
        <v>1</v>
      </c>
      <c r="E253" s="15" t="n">
        <v>0.575694444444444</v>
      </c>
      <c r="F253" s="7" t="n">
        <v>15000</v>
      </c>
      <c r="G253" s="7" t="n">
        <f aca="false">D253*F253</f>
        <v>15000</v>
      </c>
      <c r="H253" s="2" t="str">
        <f aca="false">INDEX(Daftar_Menu!$B$2:$B$13,MATCH(C253,Daftar_Menu!$A$2:$A$13,0))</f>
        <v>Makanan</v>
      </c>
      <c r="I253" s="2" t="str">
        <f aca="false">CHOOSE(WEEKDAY(B253,2),"Senin","Selasa","Rabu","Kamis","Jumat","Sabtu","Minggu")</f>
        <v>Jumat</v>
      </c>
      <c r="J253" s="2" t="n">
        <f aca="false">HOUR(E253)</f>
        <v>13</v>
      </c>
      <c r="K253" s="2" t="str">
        <f aca="false">IF(J253&lt;11,"Pagi",IF(J253&lt;17,"Siang","Malam"))</f>
        <v>Siang</v>
      </c>
      <c r="L253" s="2" t="n">
        <f aca="false">IF(A253&lt;&gt;A252,1,0)</f>
        <v>0</v>
      </c>
    </row>
    <row r="254" customFormat="false" ht="15" hidden="false" customHeight="false" outlineLevel="0" collapsed="false">
      <c r="A254" s="2" t="s">
        <v>380</v>
      </c>
      <c r="B254" s="13" t="n">
        <v>46269</v>
      </c>
      <c r="C254" s="2" t="s">
        <v>101</v>
      </c>
      <c r="D254" s="2" t="n">
        <v>2</v>
      </c>
      <c r="E254" s="15" t="n">
        <v>0.575694444444444</v>
      </c>
      <c r="F254" s="7" t="n">
        <v>18000</v>
      </c>
      <c r="G254" s="7" t="n">
        <f aca="false">D254*F254</f>
        <v>36000</v>
      </c>
      <c r="H254" s="2" t="str">
        <f aca="false">INDEX(Daftar_Menu!$B$2:$B$13,MATCH(C254,Daftar_Menu!$A$2:$A$13,0))</f>
        <v>Makanan</v>
      </c>
      <c r="I254" s="2" t="str">
        <f aca="false">CHOOSE(WEEKDAY(B254,2),"Senin","Selasa","Rabu","Kamis","Jumat","Sabtu","Minggu")</f>
        <v>Jumat</v>
      </c>
      <c r="J254" s="2" t="n">
        <f aca="false">HOUR(E254)</f>
        <v>13</v>
      </c>
      <c r="K254" s="2" t="str">
        <f aca="false">IF(J254&lt;11,"Pagi",IF(J254&lt;17,"Siang","Malam"))</f>
        <v>Siang</v>
      </c>
      <c r="L254" s="2" t="n">
        <f aca="false">IF(A254&lt;&gt;A253,1,0)</f>
        <v>0</v>
      </c>
    </row>
    <row r="255" customFormat="false" ht="15" hidden="false" customHeight="false" outlineLevel="0" collapsed="false">
      <c r="A255" s="2" t="s">
        <v>381</v>
      </c>
      <c r="B255" s="13" t="n">
        <v>46269</v>
      </c>
      <c r="C255" s="2" t="s">
        <v>108</v>
      </c>
      <c r="D255" s="2" t="n">
        <v>1</v>
      </c>
      <c r="E255" s="15" t="n">
        <v>0.611111111111111</v>
      </c>
      <c r="F255" s="7" t="n">
        <v>20000</v>
      </c>
      <c r="G255" s="7" t="n">
        <f aca="false">D255*F255</f>
        <v>20000</v>
      </c>
      <c r="H255" s="2" t="str">
        <f aca="false">INDEX(Daftar_Menu!$B$2:$B$13,MATCH(C255,Daftar_Menu!$A$2:$A$13,0))</f>
        <v>Makanan</v>
      </c>
      <c r="I255" s="2" t="str">
        <f aca="false">CHOOSE(WEEKDAY(B255,2),"Senin","Selasa","Rabu","Kamis","Jumat","Sabtu","Minggu")</f>
        <v>Jumat</v>
      </c>
      <c r="J255" s="2" t="n">
        <f aca="false">HOUR(E255)</f>
        <v>14</v>
      </c>
      <c r="K255" s="2" t="str">
        <f aca="false">IF(J255&lt;11,"Pagi",IF(J255&lt;17,"Siang","Malam"))</f>
        <v>Siang</v>
      </c>
      <c r="L255" s="2" t="n">
        <f aca="false">IF(A255&lt;&gt;A254,1,0)</f>
        <v>1</v>
      </c>
    </row>
    <row r="256" customFormat="false" ht="15" hidden="false" customHeight="false" outlineLevel="0" collapsed="false">
      <c r="A256" s="2" t="s">
        <v>381</v>
      </c>
      <c r="B256" s="13" t="n">
        <v>46269</v>
      </c>
      <c r="C256" s="2" t="s">
        <v>79</v>
      </c>
      <c r="D256" s="2" t="n">
        <v>1</v>
      </c>
      <c r="E256" s="15" t="n">
        <v>0.611111111111111</v>
      </c>
      <c r="F256" s="7" t="n">
        <v>16000</v>
      </c>
      <c r="G256" s="7" t="n">
        <f aca="false">D256*F256</f>
        <v>16000</v>
      </c>
      <c r="H256" s="2" t="str">
        <f aca="false">INDEX(Daftar_Menu!$B$2:$B$13,MATCH(C256,Daftar_Menu!$A$2:$A$13,0))</f>
        <v>Makanan</v>
      </c>
      <c r="I256" s="2" t="str">
        <f aca="false">CHOOSE(WEEKDAY(B256,2),"Senin","Selasa","Rabu","Kamis","Jumat","Sabtu","Minggu")</f>
        <v>Jumat</v>
      </c>
      <c r="J256" s="2" t="n">
        <f aca="false">HOUR(E256)</f>
        <v>14</v>
      </c>
      <c r="K256" s="2" t="str">
        <f aca="false">IF(J256&lt;11,"Pagi",IF(J256&lt;17,"Siang","Malam"))</f>
        <v>Siang</v>
      </c>
      <c r="L256" s="2" t="n">
        <f aca="false">IF(A256&lt;&gt;A255,1,0)</f>
        <v>0</v>
      </c>
    </row>
    <row r="257" customFormat="false" ht="15" hidden="false" customHeight="false" outlineLevel="0" collapsed="false">
      <c r="A257" s="2" t="s">
        <v>383</v>
      </c>
      <c r="B257" s="13" t="n">
        <v>46269</v>
      </c>
      <c r="C257" s="2" t="s">
        <v>101</v>
      </c>
      <c r="D257" s="2" t="n">
        <v>1</v>
      </c>
      <c r="E257" s="15" t="n">
        <v>0.636805555555556</v>
      </c>
      <c r="F257" s="7" t="n">
        <v>18000</v>
      </c>
      <c r="G257" s="7" t="n">
        <f aca="false">D257*F257</f>
        <v>18000</v>
      </c>
      <c r="H257" s="2" t="str">
        <f aca="false">INDEX(Daftar_Menu!$B$2:$B$13,MATCH(C257,Daftar_Menu!$A$2:$A$13,0))</f>
        <v>Makanan</v>
      </c>
      <c r="I257" s="2" t="str">
        <f aca="false">CHOOSE(WEEKDAY(B257,2),"Senin","Selasa","Rabu","Kamis","Jumat","Sabtu","Minggu")</f>
        <v>Jumat</v>
      </c>
      <c r="J257" s="2" t="n">
        <f aca="false">HOUR(E257)</f>
        <v>15</v>
      </c>
      <c r="K257" s="2" t="str">
        <f aca="false">IF(J257&lt;11,"Pagi",IF(J257&lt;17,"Siang","Malam"))</f>
        <v>Siang</v>
      </c>
      <c r="L257" s="2" t="n">
        <f aca="false">IF(A257&lt;&gt;A256,1,0)</f>
        <v>1</v>
      </c>
    </row>
    <row r="258" customFormat="false" ht="15" hidden="false" customHeight="false" outlineLevel="0" collapsed="false">
      <c r="A258" s="2" t="s">
        <v>385</v>
      </c>
      <c r="B258" s="13" t="n">
        <v>46269</v>
      </c>
      <c r="C258" s="2" t="s">
        <v>101</v>
      </c>
      <c r="D258" s="2" t="n">
        <v>1</v>
      </c>
      <c r="E258" s="15" t="n">
        <v>0.669444444444444</v>
      </c>
      <c r="F258" s="7" t="n">
        <v>18000</v>
      </c>
      <c r="G258" s="7" t="n">
        <f aca="false">D258*F258</f>
        <v>18000</v>
      </c>
      <c r="H258" s="2" t="str">
        <f aca="false">INDEX(Daftar_Menu!$B$2:$B$13,MATCH(C258,Daftar_Menu!$A$2:$A$13,0))</f>
        <v>Makanan</v>
      </c>
      <c r="I258" s="2" t="str">
        <f aca="false">CHOOSE(WEEKDAY(B258,2),"Senin","Selasa","Rabu","Kamis","Jumat","Sabtu","Minggu")</f>
        <v>Jumat</v>
      </c>
      <c r="J258" s="2" t="n">
        <f aca="false">HOUR(E258)</f>
        <v>16</v>
      </c>
      <c r="K258" s="2" t="str">
        <f aca="false">IF(J258&lt;11,"Pagi",IF(J258&lt;17,"Siang","Malam"))</f>
        <v>Siang</v>
      </c>
      <c r="L258" s="2" t="n">
        <f aca="false">IF(A258&lt;&gt;A257,1,0)</f>
        <v>1</v>
      </c>
    </row>
    <row r="259" customFormat="false" ht="15" hidden="false" customHeight="false" outlineLevel="0" collapsed="false">
      <c r="A259" s="2" t="s">
        <v>387</v>
      </c>
      <c r="B259" s="13" t="n">
        <v>46269</v>
      </c>
      <c r="C259" s="2" t="s">
        <v>84</v>
      </c>
      <c r="D259" s="2" t="n">
        <v>1</v>
      </c>
      <c r="E259" s="15" t="n">
        <v>0.675694444444445</v>
      </c>
      <c r="F259" s="7" t="n">
        <v>5000</v>
      </c>
      <c r="G259" s="7" t="n">
        <f aca="false">D259*F259</f>
        <v>5000</v>
      </c>
      <c r="H259" s="2" t="str">
        <f aca="false">INDEX(Daftar_Menu!$B$2:$B$13,MATCH(C259,Daftar_Menu!$A$2:$A$13,0))</f>
        <v>Minuman</v>
      </c>
      <c r="I259" s="2" t="str">
        <f aca="false">CHOOSE(WEEKDAY(B259,2),"Senin","Selasa","Rabu","Kamis","Jumat","Sabtu","Minggu")</f>
        <v>Jumat</v>
      </c>
      <c r="J259" s="2" t="n">
        <f aca="false">HOUR(E259)</f>
        <v>16</v>
      </c>
      <c r="K259" s="2" t="str">
        <f aca="false">IF(J259&lt;11,"Pagi",IF(J259&lt;17,"Siang","Malam"))</f>
        <v>Siang</v>
      </c>
      <c r="L259" s="2" t="n">
        <f aca="false">IF(A259&lt;&gt;A258,1,0)</f>
        <v>1</v>
      </c>
    </row>
    <row r="260" customFormat="false" ht="15" hidden="false" customHeight="false" outlineLevel="0" collapsed="false">
      <c r="A260" s="2" t="s">
        <v>389</v>
      </c>
      <c r="B260" s="13" t="n">
        <v>46269</v>
      </c>
      <c r="C260" s="2" t="s">
        <v>132</v>
      </c>
      <c r="D260" s="2" t="n">
        <v>1</v>
      </c>
      <c r="E260" s="15" t="n">
        <v>0.685416666666667</v>
      </c>
      <c r="F260" s="7" t="n">
        <v>15000</v>
      </c>
      <c r="G260" s="7" t="n">
        <f aca="false">D260*F260</f>
        <v>15000</v>
      </c>
      <c r="H260" s="2" t="str">
        <f aca="false">INDEX(Daftar_Menu!$B$2:$B$13,MATCH(C260,Daftar_Menu!$A$2:$A$13,0))</f>
        <v>Makanan</v>
      </c>
      <c r="I260" s="2" t="str">
        <f aca="false">CHOOSE(WEEKDAY(B260,2),"Senin","Selasa","Rabu","Kamis","Jumat","Sabtu","Minggu")</f>
        <v>Jumat</v>
      </c>
      <c r="J260" s="2" t="n">
        <f aca="false">HOUR(E260)</f>
        <v>16</v>
      </c>
      <c r="K260" s="2" t="str">
        <f aca="false">IF(J260&lt;11,"Pagi",IF(J260&lt;17,"Siang","Malam"))</f>
        <v>Siang</v>
      </c>
      <c r="L260" s="2" t="n">
        <f aca="false">IF(A260&lt;&gt;A259,1,0)</f>
        <v>1</v>
      </c>
    </row>
    <row r="261" customFormat="false" ht="15" hidden="false" customHeight="false" outlineLevel="0" collapsed="false">
      <c r="A261" s="2" t="s">
        <v>391</v>
      </c>
      <c r="B261" s="13" t="n">
        <v>46269</v>
      </c>
      <c r="C261" s="2" t="s">
        <v>79</v>
      </c>
      <c r="D261" s="2" t="n">
        <v>1</v>
      </c>
      <c r="E261" s="15" t="n">
        <v>0.691666666666667</v>
      </c>
      <c r="F261" s="7" t="n">
        <v>16000</v>
      </c>
      <c r="G261" s="7" t="n">
        <f aca="false">D261*F261</f>
        <v>16000</v>
      </c>
      <c r="H261" s="2" t="str">
        <f aca="false">INDEX(Daftar_Menu!$B$2:$B$13,MATCH(C261,Daftar_Menu!$A$2:$A$13,0))</f>
        <v>Makanan</v>
      </c>
      <c r="I261" s="2" t="str">
        <f aca="false">CHOOSE(WEEKDAY(B261,2),"Senin","Selasa","Rabu","Kamis","Jumat","Sabtu","Minggu")</f>
        <v>Jumat</v>
      </c>
      <c r="J261" s="2" t="n">
        <f aca="false">HOUR(E261)</f>
        <v>16</v>
      </c>
      <c r="K261" s="2" t="str">
        <f aca="false">IF(J261&lt;11,"Pagi",IF(J261&lt;17,"Siang","Malam"))</f>
        <v>Siang</v>
      </c>
      <c r="L261" s="2" t="n">
        <f aca="false">IF(A261&lt;&gt;A260,1,0)</f>
        <v>1</v>
      </c>
    </row>
    <row r="262" customFormat="false" ht="15" hidden="false" customHeight="false" outlineLevel="0" collapsed="false">
      <c r="A262" s="2" t="s">
        <v>393</v>
      </c>
      <c r="B262" s="13" t="n">
        <v>46269</v>
      </c>
      <c r="C262" s="2" t="s">
        <v>132</v>
      </c>
      <c r="D262" s="2" t="n">
        <v>2</v>
      </c>
      <c r="E262" s="15" t="n">
        <v>0.691666666666667</v>
      </c>
      <c r="F262" s="7" t="n">
        <v>15000</v>
      </c>
      <c r="G262" s="7" t="n">
        <f aca="false">D262*F262</f>
        <v>30000</v>
      </c>
      <c r="H262" s="2" t="str">
        <f aca="false">INDEX(Daftar_Menu!$B$2:$B$13,MATCH(C262,Daftar_Menu!$A$2:$A$13,0))</f>
        <v>Makanan</v>
      </c>
      <c r="I262" s="2" t="str">
        <f aca="false">CHOOSE(WEEKDAY(B262,2),"Senin","Selasa","Rabu","Kamis","Jumat","Sabtu","Minggu")</f>
        <v>Jumat</v>
      </c>
      <c r="J262" s="2" t="n">
        <f aca="false">HOUR(E262)</f>
        <v>16</v>
      </c>
      <c r="K262" s="2" t="str">
        <f aca="false">IF(J262&lt;11,"Pagi",IF(J262&lt;17,"Siang","Malam"))</f>
        <v>Siang</v>
      </c>
      <c r="L262" s="2" t="n">
        <f aca="false">IF(A262&lt;&gt;A261,1,0)</f>
        <v>1</v>
      </c>
    </row>
    <row r="263" customFormat="false" ht="15" hidden="false" customHeight="false" outlineLevel="0" collapsed="false">
      <c r="A263" s="2" t="s">
        <v>394</v>
      </c>
      <c r="B263" s="13" t="n">
        <v>46269</v>
      </c>
      <c r="C263" s="2" t="s">
        <v>89</v>
      </c>
      <c r="D263" s="2" t="n">
        <v>1</v>
      </c>
      <c r="E263" s="15" t="n">
        <v>0.7125</v>
      </c>
      <c r="F263" s="7" t="n">
        <v>14000</v>
      </c>
      <c r="G263" s="7" t="n">
        <f aca="false">D263*F263</f>
        <v>14000</v>
      </c>
      <c r="H263" s="2" t="str">
        <f aca="false">INDEX(Daftar_Menu!$B$2:$B$13,MATCH(C263,Daftar_Menu!$A$2:$A$13,0))</f>
        <v>Makanan</v>
      </c>
      <c r="I263" s="2" t="str">
        <f aca="false">CHOOSE(WEEKDAY(B263,2),"Senin","Selasa","Rabu","Kamis","Jumat","Sabtu","Minggu")</f>
        <v>Jumat</v>
      </c>
      <c r="J263" s="2" t="n">
        <f aca="false">HOUR(E263)</f>
        <v>17</v>
      </c>
      <c r="K263" s="2" t="str">
        <f aca="false">IF(J263&lt;11,"Pagi",IF(J263&lt;17,"Siang","Malam"))</f>
        <v>Malam</v>
      </c>
      <c r="L263" s="2" t="n">
        <f aca="false">IF(A263&lt;&gt;A262,1,0)</f>
        <v>1</v>
      </c>
    </row>
    <row r="264" customFormat="false" ht="15" hidden="false" customHeight="false" outlineLevel="0" collapsed="false">
      <c r="A264" s="2" t="s">
        <v>395</v>
      </c>
      <c r="B264" s="13" t="n">
        <v>46269</v>
      </c>
      <c r="C264" s="2" t="s">
        <v>108</v>
      </c>
      <c r="D264" s="2" t="n">
        <v>1</v>
      </c>
      <c r="E264" s="15" t="n">
        <v>0.735416666666667</v>
      </c>
      <c r="F264" s="7" t="n">
        <v>20000</v>
      </c>
      <c r="G264" s="7" t="n">
        <f aca="false">D264*F264</f>
        <v>20000</v>
      </c>
      <c r="H264" s="2" t="str">
        <f aca="false">INDEX(Daftar_Menu!$B$2:$B$13,MATCH(C264,Daftar_Menu!$A$2:$A$13,0))</f>
        <v>Makanan</v>
      </c>
      <c r="I264" s="2" t="str">
        <f aca="false">CHOOSE(WEEKDAY(B264,2),"Senin","Selasa","Rabu","Kamis","Jumat","Sabtu","Minggu")</f>
        <v>Jumat</v>
      </c>
      <c r="J264" s="2" t="n">
        <f aca="false">HOUR(E264)</f>
        <v>17</v>
      </c>
      <c r="K264" s="2" t="str">
        <f aca="false">IF(J264&lt;11,"Pagi",IF(J264&lt;17,"Siang","Malam"))</f>
        <v>Malam</v>
      </c>
      <c r="L264" s="2" t="n">
        <f aca="false">IF(A264&lt;&gt;A263,1,0)</f>
        <v>1</v>
      </c>
    </row>
    <row r="265" customFormat="false" ht="15" hidden="false" customHeight="false" outlineLevel="0" collapsed="false">
      <c r="A265" s="2" t="s">
        <v>395</v>
      </c>
      <c r="B265" s="13" t="n">
        <v>46269</v>
      </c>
      <c r="C265" s="2" t="s">
        <v>81</v>
      </c>
      <c r="D265" s="2" t="n">
        <v>2</v>
      </c>
      <c r="E265" s="15" t="n">
        <v>0.735416666666667</v>
      </c>
      <c r="F265" s="7" t="n">
        <v>15000</v>
      </c>
      <c r="G265" s="7" t="n">
        <f aca="false">D265*F265</f>
        <v>30000</v>
      </c>
      <c r="H265" s="2" t="str">
        <f aca="false">INDEX(Daftar_Menu!$B$2:$B$13,MATCH(C265,Daftar_Menu!$A$2:$A$13,0))</f>
        <v>Makanan</v>
      </c>
      <c r="I265" s="2" t="str">
        <f aca="false">CHOOSE(WEEKDAY(B265,2),"Senin","Selasa","Rabu","Kamis","Jumat","Sabtu","Minggu")</f>
        <v>Jumat</v>
      </c>
      <c r="J265" s="2" t="n">
        <f aca="false">HOUR(E265)</f>
        <v>17</v>
      </c>
      <c r="K265" s="2" t="str">
        <f aca="false">IF(J265&lt;11,"Pagi",IF(J265&lt;17,"Siang","Malam"))</f>
        <v>Malam</v>
      </c>
      <c r="L265" s="2" t="n">
        <f aca="false">IF(A265&lt;&gt;A264,1,0)</f>
        <v>0</v>
      </c>
    </row>
    <row r="266" customFormat="false" ht="15" hidden="false" customHeight="false" outlineLevel="0" collapsed="false">
      <c r="A266" s="2" t="s">
        <v>397</v>
      </c>
      <c r="B266" s="13" t="n">
        <v>46269</v>
      </c>
      <c r="C266" s="2" t="s">
        <v>79</v>
      </c>
      <c r="D266" s="2" t="n">
        <v>2</v>
      </c>
      <c r="E266" s="15" t="n">
        <v>0.757638888888889</v>
      </c>
      <c r="F266" s="7" t="n">
        <v>16000</v>
      </c>
      <c r="G266" s="7" t="n">
        <f aca="false">D266*F266</f>
        <v>32000</v>
      </c>
      <c r="H266" s="2" t="str">
        <f aca="false">INDEX(Daftar_Menu!$B$2:$B$13,MATCH(C266,Daftar_Menu!$A$2:$A$13,0))</f>
        <v>Makanan</v>
      </c>
      <c r="I266" s="2" t="str">
        <f aca="false">CHOOSE(WEEKDAY(B266,2),"Senin","Selasa","Rabu","Kamis","Jumat","Sabtu","Minggu")</f>
        <v>Jumat</v>
      </c>
      <c r="J266" s="2" t="n">
        <f aca="false">HOUR(E266)</f>
        <v>18</v>
      </c>
      <c r="K266" s="2" t="str">
        <f aca="false">IF(J266&lt;11,"Pagi",IF(J266&lt;17,"Siang","Malam"))</f>
        <v>Malam</v>
      </c>
      <c r="L266" s="2" t="n">
        <f aca="false">IF(A266&lt;&gt;A265,1,0)</f>
        <v>1</v>
      </c>
    </row>
    <row r="267" customFormat="false" ht="15" hidden="false" customHeight="false" outlineLevel="0" collapsed="false">
      <c r="A267" s="2" t="s">
        <v>399</v>
      </c>
      <c r="B267" s="13" t="n">
        <v>46269</v>
      </c>
      <c r="C267" s="2" t="s">
        <v>112</v>
      </c>
      <c r="D267" s="2" t="n">
        <v>1</v>
      </c>
      <c r="E267" s="15" t="n">
        <v>0.759027777777778</v>
      </c>
      <c r="F267" s="7" t="n">
        <v>10000</v>
      </c>
      <c r="G267" s="7" t="n">
        <f aca="false">D267*F267</f>
        <v>10000</v>
      </c>
      <c r="H267" s="2" t="str">
        <f aca="false">INDEX(Daftar_Menu!$B$2:$B$13,MATCH(C267,Daftar_Menu!$A$2:$A$13,0))</f>
        <v>Minuman</v>
      </c>
      <c r="I267" s="2" t="str">
        <f aca="false">CHOOSE(WEEKDAY(B267,2),"Senin","Selasa","Rabu","Kamis","Jumat","Sabtu","Minggu")</f>
        <v>Jumat</v>
      </c>
      <c r="J267" s="2" t="n">
        <f aca="false">HOUR(E267)</f>
        <v>18</v>
      </c>
      <c r="K267" s="2" t="str">
        <f aca="false">IF(J267&lt;11,"Pagi",IF(J267&lt;17,"Siang","Malam"))</f>
        <v>Malam</v>
      </c>
      <c r="L267" s="2" t="n">
        <f aca="false">IF(A267&lt;&gt;A266,1,0)</f>
        <v>1</v>
      </c>
    </row>
    <row r="268" customFormat="false" ht="15" hidden="false" customHeight="false" outlineLevel="0" collapsed="false">
      <c r="A268" s="2" t="s">
        <v>401</v>
      </c>
      <c r="B268" s="13" t="n">
        <v>46269</v>
      </c>
      <c r="C268" s="2" t="s">
        <v>84</v>
      </c>
      <c r="D268" s="2" t="n">
        <v>1</v>
      </c>
      <c r="E268" s="15" t="n">
        <v>0.768055555555556</v>
      </c>
      <c r="F268" s="7" t="n">
        <v>5000</v>
      </c>
      <c r="G268" s="7" t="n">
        <f aca="false">D268*F268</f>
        <v>5000</v>
      </c>
      <c r="H268" s="2" t="str">
        <f aca="false">INDEX(Daftar_Menu!$B$2:$B$13,MATCH(C268,Daftar_Menu!$A$2:$A$13,0))</f>
        <v>Minuman</v>
      </c>
      <c r="I268" s="2" t="str">
        <f aca="false">CHOOSE(WEEKDAY(B268,2),"Senin","Selasa","Rabu","Kamis","Jumat","Sabtu","Minggu")</f>
        <v>Jumat</v>
      </c>
      <c r="J268" s="2" t="n">
        <f aca="false">HOUR(E268)</f>
        <v>18</v>
      </c>
      <c r="K268" s="2" t="str">
        <f aca="false">IF(J268&lt;11,"Pagi",IF(J268&lt;17,"Siang","Malam"))</f>
        <v>Malam</v>
      </c>
      <c r="L268" s="2" t="n">
        <f aca="false">IF(A268&lt;&gt;A267,1,0)</f>
        <v>1</v>
      </c>
    </row>
    <row r="269" customFormat="false" ht="15" hidden="false" customHeight="false" outlineLevel="0" collapsed="false">
      <c r="A269" s="2" t="s">
        <v>401</v>
      </c>
      <c r="B269" s="13" t="n">
        <v>46269</v>
      </c>
      <c r="C269" s="2" t="s">
        <v>82</v>
      </c>
      <c r="D269" s="2" t="n">
        <v>1</v>
      </c>
      <c r="E269" s="15" t="n">
        <v>0.768055555555556</v>
      </c>
      <c r="F269" s="7" t="n">
        <v>13000</v>
      </c>
      <c r="G269" s="7" t="n">
        <f aca="false">D269*F269</f>
        <v>13000</v>
      </c>
      <c r="H269" s="2" t="str">
        <f aca="false">INDEX(Daftar_Menu!$B$2:$B$13,MATCH(C269,Daftar_Menu!$A$2:$A$13,0))</f>
        <v>Makanan</v>
      </c>
      <c r="I269" s="2" t="str">
        <f aca="false">CHOOSE(WEEKDAY(B269,2),"Senin","Selasa","Rabu","Kamis","Jumat","Sabtu","Minggu")</f>
        <v>Jumat</v>
      </c>
      <c r="J269" s="2" t="n">
        <f aca="false">HOUR(E269)</f>
        <v>18</v>
      </c>
      <c r="K269" s="2" t="str">
        <f aca="false">IF(J269&lt;11,"Pagi",IF(J269&lt;17,"Siang","Malam"))</f>
        <v>Malam</v>
      </c>
      <c r="L269" s="2" t="n">
        <f aca="false">IF(A269&lt;&gt;A268,1,0)</f>
        <v>0</v>
      </c>
    </row>
    <row r="270" customFormat="false" ht="15" hidden="false" customHeight="false" outlineLevel="0" collapsed="false">
      <c r="A270" s="2" t="s">
        <v>401</v>
      </c>
      <c r="B270" s="13" t="n">
        <v>46269</v>
      </c>
      <c r="C270" s="2" t="s">
        <v>101</v>
      </c>
      <c r="D270" s="2" t="n">
        <v>1</v>
      </c>
      <c r="E270" s="15" t="n">
        <v>0.768055555555556</v>
      </c>
      <c r="F270" s="7" t="n">
        <v>18000</v>
      </c>
      <c r="G270" s="7" t="n">
        <f aca="false">D270*F270</f>
        <v>18000</v>
      </c>
      <c r="H270" s="2" t="str">
        <f aca="false">INDEX(Daftar_Menu!$B$2:$B$13,MATCH(C270,Daftar_Menu!$A$2:$A$13,0))</f>
        <v>Makanan</v>
      </c>
      <c r="I270" s="2" t="str">
        <f aca="false">CHOOSE(WEEKDAY(B270,2),"Senin","Selasa","Rabu","Kamis","Jumat","Sabtu","Minggu")</f>
        <v>Jumat</v>
      </c>
      <c r="J270" s="2" t="n">
        <f aca="false">HOUR(E270)</f>
        <v>18</v>
      </c>
      <c r="K270" s="2" t="str">
        <f aca="false">IF(J270&lt;11,"Pagi",IF(J270&lt;17,"Siang","Malam"))</f>
        <v>Malam</v>
      </c>
      <c r="L270" s="2" t="n">
        <f aca="false">IF(A270&lt;&gt;A269,1,0)</f>
        <v>0</v>
      </c>
    </row>
    <row r="271" customFormat="false" ht="15" hidden="false" customHeight="false" outlineLevel="0" collapsed="false">
      <c r="A271" s="2" t="s">
        <v>402</v>
      </c>
      <c r="B271" s="13" t="n">
        <v>46269</v>
      </c>
      <c r="C271" s="2" t="s">
        <v>132</v>
      </c>
      <c r="D271" s="2" t="n">
        <v>2</v>
      </c>
      <c r="E271" s="15" t="n">
        <v>0.775</v>
      </c>
      <c r="F271" s="7" t="n">
        <v>15000</v>
      </c>
      <c r="G271" s="7" t="n">
        <f aca="false">D271*F271</f>
        <v>30000</v>
      </c>
      <c r="H271" s="2" t="str">
        <f aca="false">INDEX(Daftar_Menu!$B$2:$B$13,MATCH(C271,Daftar_Menu!$A$2:$A$13,0))</f>
        <v>Makanan</v>
      </c>
      <c r="I271" s="2" t="str">
        <f aca="false">CHOOSE(WEEKDAY(B271,2),"Senin","Selasa","Rabu","Kamis","Jumat","Sabtu","Minggu")</f>
        <v>Jumat</v>
      </c>
      <c r="J271" s="2" t="n">
        <f aca="false">HOUR(E271)</f>
        <v>18</v>
      </c>
      <c r="K271" s="2" t="str">
        <f aca="false">IF(J271&lt;11,"Pagi",IF(J271&lt;17,"Siang","Malam"))</f>
        <v>Malam</v>
      </c>
      <c r="L271" s="2" t="n">
        <f aca="false">IF(A271&lt;&gt;A270,1,0)</f>
        <v>1</v>
      </c>
    </row>
    <row r="272" customFormat="false" ht="15" hidden="false" customHeight="false" outlineLevel="0" collapsed="false">
      <c r="A272" s="2" t="s">
        <v>404</v>
      </c>
      <c r="B272" s="13" t="n">
        <v>46269</v>
      </c>
      <c r="C272" s="2" t="s">
        <v>89</v>
      </c>
      <c r="D272" s="2" t="n">
        <v>1</v>
      </c>
      <c r="E272" s="15" t="n">
        <v>0.784722222222222</v>
      </c>
      <c r="F272" s="7" t="n">
        <v>14000</v>
      </c>
      <c r="G272" s="7" t="n">
        <f aca="false">D272*F272</f>
        <v>14000</v>
      </c>
      <c r="H272" s="2" t="str">
        <f aca="false">INDEX(Daftar_Menu!$B$2:$B$13,MATCH(C272,Daftar_Menu!$A$2:$A$13,0))</f>
        <v>Makanan</v>
      </c>
      <c r="I272" s="2" t="str">
        <f aca="false">CHOOSE(WEEKDAY(B272,2),"Senin","Selasa","Rabu","Kamis","Jumat","Sabtu","Minggu")</f>
        <v>Jumat</v>
      </c>
      <c r="J272" s="2" t="n">
        <f aca="false">HOUR(E272)</f>
        <v>18</v>
      </c>
      <c r="K272" s="2" t="str">
        <f aca="false">IF(J272&lt;11,"Pagi",IF(J272&lt;17,"Siang","Malam"))</f>
        <v>Malam</v>
      </c>
      <c r="L272" s="2" t="n">
        <f aca="false">IF(A272&lt;&gt;A271,1,0)</f>
        <v>1</v>
      </c>
    </row>
    <row r="273" customFormat="false" ht="15" hidden="false" customHeight="false" outlineLevel="0" collapsed="false">
      <c r="A273" s="2" t="s">
        <v>404</v>
      </c>
      <c r="B273" s="13" t="n">
        <v>46269</v>
      </c>
      <c r="C273" s="2" t="s">
        <v>84</v>
      </c>
      <c r="D273" s="2" t="n">
        <v>1</v>
      </c>
      <c r="E273" s="15" t="n">
        <v>0.784722222222222</v>
      </c>
      <c r="F273" s="7" t="n">
        <v>5000</v>
      </c>
      <c r="G273" s="7" t="n">
        <f aca="false">D273*F273</f>
        <v>5000</v>
      </c>
      <c r="H273" s="2" t="str">
        <f aca="false">INDEX(Daftar_Menu!$B$2:$B$13,MATCH(C273,Daftar_Menu!$A$2:$A$13,0))</f>
        <v>Minuman</v>
      </c>
      <c r="I273" s="2" t="str">
        <f aca="false">CHOOSE(WEEKDAY(B273,2),"Senin","Selasa","Rabu","Kamis","Jumat","Sabtu","Minggu")</f>
        <v>Jumat</v>
      </c>
      <c r="J273" s="2" t="n">
        <f aca="false">HOUR(E273)</f>
        <v>18</v>
      </c>
      <c r="K273" s="2" t="str">
        <f aca="false">IF(J273&lt;11,"Pagi",IF(J273&lt;17,"Siang","Malam"))</f>
        <v>Malam</v>
      </c>
      <c r="L273" s="2" t="n">
        <f aca="false">IF(A273&lt;&gt;A272,1,0)</f>
        <v>0</v>
      </c>
    </row>
    <row r="274" customFormat="false" ht="15" hidden="false" customHeight="false" outlineLevel="0" collapsed="false">
      <c r="A274" s="2" t="s">
        <v>404</v>
      </c>
      <c r="B274" s="13" t="n">
        <v>46269</v>
      </c>
      <c r="C274" s="2" t="s">
        <v>132</v>
      </c>
      <c r="D274" s="2" t="n">
        <v>1</v>
      </c>
      <c r="E274" s="15" t="n">
        <v>0.784722222222222</v>
      </c>
      <c r="F274" s="7" t="n">
        <v>15000</v>
      </c>
      <c r="G274" s="7" t="n">
        <f aca="false">D274*F274</f>
        <v>15000</v>
      </c>
      <c r="H274" s="2" t="str">
        <f aca="false">INDEX(Daftar_Menu!$B$2:$B$13,MATCH(C274,Daftar_Menu!$A$2:$A$13,0))</f>
        <v>Makanan</v>
      </c>
      <c r="I274" s="2" t="str">
        <f aca="false">CHOOSE(WEEKDAY(B274,2),"Senin","Selasa","Rabu","Kamis","Jumat","Sabtu","Minggu")</f>
        <v>Jumat</v>
      </c>
      <c r="J274" s="2" t="n">
        <f aca="false">HOUR(E274)</f>
        <v>18</v>
      </c>
      <c r="K274" s="2" t="str">
        <f aca="false">IF(J274&lt;11,"Pagi",IF(J274&lt;17,"Siang","Malam"))</f>
        <v>Malam</v>
      </c>
      <c r="L274" s="2" t="n">
        <f aca="false">IF(A274&lt;&gt;A273,1,0)</f>
        <v>0</v>
      </c>
    </row>
    <row r="275" customFormat="false" ht="15" hidden="false" customHeight="false" outlineLevel="0" collapsed="false">
      <c r="A275" s="2" t="s">
        <v>406</v>
      </c>
      <c r="B275" s="13" t="n">
        <v>46269</v>
      </c>
      <c r="C275" s="2" t="s">
        <v>84</v>
      </c>
      <c r="D275" s="2" t="n">
        <v>2</v>
      </c>
      <c r="E275" s="15" t="n">
        <v>0.7875</v>
      </c>
      <c r="F275" s="7" t="n">
        <v>5000</v>
      </c>
      <c r="G275" s="7" t="n">
        <f aca="false">D275*F275</f>
        <v>10000</v>
      </c>
      <c r="H275" s="2" t="str">
        <f aca="false">INDEX(Daftar_Menu!$B$2:$B$13,MATCH(C275,Daftar_Menu!$A$2:$A$13,0))</f>
        <v>Minuman</v>
      </c>
      <c r="I275" s="2" t="str">
        <f aca="false">CHOOSE(WEEKDAY(B275,2),"Senin","Selasa","Rabu","Kamis","Jumat","Sabtu","Minggu")</f>
        <v>Jumat</v>
      </c>
      <c r="J275" s="2" t="n">
        <f aca="false">HOUR(E275)</f>
        <v>18</v>
      </c>
      <c r="K275" s="2" t="str">
        <f aca="false">IF(J275&lt;11,"Pagi",IF(J275&lt;17,"Siang","Malam"))</f>
        <v>Malam</v>
      </c>
      <c r="L275" s="2" t="n">
        <f aca="false">IF(A275&lt;&gt;A274,1,0)</f>
        <v>1</v>
      </c>
    </row>
    <row r="276" customFormat="false" ht="15" hidden="false" customHeight="false" outlineLevel="0" collapsed="false">
      <c r="A276" s="2" t="s">
        <v>408</v>
      </c>
      <c r="B276" s="13" t="n">
        <v>46269</v>
      </c>
      <c r="C276" s="2" t="s">
        <v>89</v>
      </c>
      <c r="D276" s="2" t="n">
        <v>2</v>
      </c>
      <c r="E276" s="15" t="n">
        <v>0.799305555555556</v>
      </c>
      <c r="F276" s="7" t="n">
        <v>14000</v>
      </c>
      <c r="G276" s="7" t="n">
        <f aca="false">D276*F276</f>
        <v>28000</v>
      </c>
      <c r="H276" s="2" t="str">
        <f aca="false">INDEX(Daftar_Menu!$B$2:$B$13,MATCH(C276,Daftar_Menu!$A$2:$A$13,0))</f>
        <v>Makanan</v>
      </c>
      <c r="I276" s="2" t="str">
        <f aca="false">CHOOSE(WEEKDAY(B276,2),"Senin","Selasa","Rabu","Kamis","Jumat","Sabtu","Minggu")</f>
        <v>Jumat</v>
      </c>
      <c r="J276" s="2" t="n">
        <f aca="false">HOUR(E276)</f>
        <v>19</v>
      </c>
      <c r="K276" s="2" t="str">
        <f aca="false">IF(J276&lt;11,"Pagi",IF(J276&lt;17,"Siang","Malam"))</f>
        <v>Malam</v>
      </c>
      <c r="L276" s="2" t="n">
        <f aca="false">IF(A276&lt;&gt;A275,1,0)</f>
        <v>1</v>
      </c>
    </row>
    <row r="277" customFormat="false" ht="15" hidden="false" customHeight="false" outlineLevel="0" collapsed="false">
      <c r="A277" s="2" t="s">
        <v>408</v>
      </c>
      <c r="B277" s="13" t="n">
        <v>46269</v>
      </c>
      <c r="C277" s="2" t="s">
        <v>82</v>
      </c>
      <c r="D277" s="2" t="n">
        <v>1</v>
      </c>
      <c r="E277" s="15" t="n">
        <v>0.799305555555556</v>
      </c>
      <c r="F277" s="7" t="n">
        <v>13000</v>
      </c>
      <c r="G277" s="7" t="n">
        <f aca="false">D277*F277</f>
        <v>13000</v>
      </c>
      <c r="H277" s="2" t="str">
        <f aca="false">INDEX(Daftar_Menu!$B$2:$B$13,MATCH(C277,Daftar_Menu!$A$2:$A$13,0))</f>
        <v>Makanan</v>
      </c>
      <c r="I277" s="2" t="str">
        <f aca="false">CHOOSE(WEEKDAY(B277,2),"Senin","Selasa","Rabu","Kamis","Jumat","Sabtu","Minggu")</f>
        <v>Jumat</v>
      </c>
      <c r="J277" s="2" t="n">
        <f aca="false">HOUR(E277)</f>
        <v>19</v>
      </c>
      <c r="K277" s="2" t="str">
        <f aca="false">IF(J277&lt;11,"Pagi",IF(J277&lt;17,"Siang","Malam"))</f>
        <v>Malam</v>
      </c>
      <c r="L277" s="2" t="n">
        <f aca="false">IF(A277&lt;&gt;A276,1,0)</f>
        <v>0</v>
      </c>
    </row>
    <row r="278" customFormat="false" ht="15" hidden="false" customHeight="false" outlineLevel="0" collapsed="false">
      <c r="A278" s="2" t="s">
        <v>410</v>
      </c>
      <c r="B278" s="13" t="n">
        <v>46269</v>
      </c>
      <c r="C278" s="2" t="s">
        <v>132</v>
      </c>
      <c r="D278" s="2" t="n">
        <v>2</v>
      </c>
      <c r="E278" s="15" t="n">
        <v>0.801388888888889</v>
      </c>
      <c r="F278" s="7" t="n">
        <v>15000</v>
      </c>
      <c r="G278" s="7" t="n">
        <f aca="false">D278*F278</f>
        <v>30000</v>
      </c>
      <c r="H278" s="2" t="str">
        <f aca="false">INDEX(Daftar_Menu!$B$2:$B$13,MATCH(C278,Daftar_Menu!$A$2:$A$13,0))</f>
        <v>Makanan</v>
      </c>
      <c r="I278" s="2" t="str">
        <f aca="false">CHOOSE(WEEKDAY(B278,2),"Senin","Selasa","Rabu","Kamis","Jumat","Sabtu","Minggu")</f>
        <v>Jumat</v>
      </c>
      <c r="J278" s="2" t="n">
        <f aca="false">HOUR(E278)</f>
        <v>19</v>
      </c>
      <c r="K278" s="2" t="str">
        <f aca="false">IF(J278&lt;11,"Pagi",IF(J278&lt;17,"Siang","Malam"))</f>
        <v>Malam</v>
      </c>
      <c r="L278" s="2" t="n">
        <f aca="false">IF(A278&lt;&gt;A277,1,0)</f>
        <v>1</v>
      </c>
    </row>
    <row r="279" customFormat="false" ht="15" hidden="false" customHeight="false" outlineLevel="0" collapsed="false">
      <c r="A279" s="2" t="s">
        <v>410</v>
      </c>
      <c r="B279" s="13" t="n">
        <v>46269</v>
      </c>
      <c r="C279" s="2" t="s">
        <v>84</v>
      </c>
      <c r="D279" s="2" t="n">
        <v>1</v>
      </c>
      <c r="E279" s="15" t="n">
        <v>0.801388888888889</v>
      </c>
      <c r="F279" s="7" t="n">
        <v>5000</v>
      </c>
      <c r="G279" s="7" t="n">
        <f aca="false">D279*F279</f>
        <v>5000</v>
      </c>
      <c r="H279" s="2" t="str">
        <f aca="false">INDEX(Daftar_Menu!$B$2:$B$13,MATCH(C279,Daftar_Menu!$A$2:$A$13,0))</f>
        <v>Minuman</v>
      </c>
      <c r="I279" s="2" t="str">
        <f aca="false">CHOOSE(WEEKDAY(B279,2),"Senin","Selasa","Rabu","Kamis","Jumat","Sabtu","Minggu")</f>
        <v>Jumat</v>
      </c>
      <c r="J279" s="2" t="n">
        <f aca="false">HOUR(E279)</f>
        <v>19</v>
      </c>
      <c r="K279" s="2" t="str">
        <f aca="false">IF(J279&lt;11,"Pagi",IF(J279&lt;17,"Siang","Malam"))</f>
        <v>Malam</v>
      </c>
      <c r="L279" s="2" t="n">
        <f aca="false">IF(A279&lt;&gt;A278,1,0)</f>
        <v>0</v>
      </c>
    </row>
    <row r="280" customFormat="false" ht="15" hidden="false" customHeight="false" outlineLevel="0" collapsed="false">
      <c r="A280" s="2" t="s">
        <v>412</v>
      </c>
      <c r="B280" s="13" t="n">
        <v>46269</v>
      </c>
      <c r="C280" s="2" t="s">
        <v>84</v>
      </c>
      <c r="D280" s="2" t="n">
        <v>1</v>
      </c>
      <c r="E280" s="15" t="n">
        <v>0.806944444444445</v>
      </c>
      <c r="F280" s="7" t="n">
        <v>5000</v>
      </c>
      <c r="G280" s="7" t="n">
        <f aca="false">D280*F280</f>
        <v>5000</v>
      </c>
      <c r="H280" s="2" t="str">
        <f aca="false">INDEX(Daftar_Menu!$B$2:$B$13,MATCH(C280,Daftar_Menu!$A$2:$A$13,0))</f>
        <v>Minuman</v>
      </c>
      <c r="I280" s="2" t="str">
        <f aca="false">CHOOSE(WEEKDAY(B280,2),"Senin","Selasa","Rabu","Kamis","Jumat","Sabtu","Minggu")</f>
        <v>Jumat</v>
      </c>
      <c r="J280" s="2" t="n">
        <f aca="false">HOUR(E280)</f>
        <v>19</v>
      </c>
      <c r="K280" s="2" t="str">
        <f aca="false">IF(J280&lt;11,"Pagi",IF(J280&lt;17,"Siang","Malam"))</f>
        <v>Malam</v>
      </c>
      <c r="L280" s="2" t="n">
        <f aca="false">IF(A280&lt;&gt;A279,1,0)</f>
        <v>1</v>
      </c>
    </row>
    <row r="281" customFormat="false" ht="15" hidden="false" customHeight="false" outlineLevel="0" collapsed="false">
      <c r="A281" s="2" t="s">
        <v>412</v>
      </c>
      <c r="B281" s="13" t="n">
        <v>46269</v>
      </c>
      <c r="C281" s="2" t="s">
        <v>89</v>
      </c>
      <c r="D281" s="2" t="n">
        <v>1</v>
      </c>
      <c r="E281" s="15" t="n">
        <v>0.806944444444445</v>
      </c>
      <c r="F281" s="7" t="n">
        <v>14000</v>
      </c>
      <c r="G281" s="7" t="n">
        <f aca="false">D281*F281</f>
        <v>14000</v>
      </c>
      <c r="H281" s="2" t="str">
        <f aca="false">INDEX(Daftar_Menu!$B$2:$B$13,MATCH(C281,Daftar_Menu!$A$2:$A$13,0))</f>
        <v>Makanan</v>
      </c>
      <c r="I281" s="2" t="str">
        <f aca="false">CHOOSE(WEEKDAY(B281,2),"Senin","Selasa","Rabu","Kamis","Jumat","Sabtu","Minggu")</f>
        <v>Jumat</v>
      </c>
      <c r="J281" s="2" t="n">
        <f aca="false">HOUR(E281)</f>
        <v>19</v>
      </c>
      <c r="K281" s="2" t="str">
        <f aca="false">IF(J281&lt;11,"Pagi",IF(J281&lt;17,"Siang","Malam"))</f>
        <v>Malam</v>
      </c>
      <c r="L281" s="2" t="n">
        <f aca="false">IF(A281&lt;&gt;A280,1,0)</f>
        <v>0</v>
      </c>
    </row>
    <row r="282" customFormat="false" ht="15" hidden="false" customHeight="false" outlineLevel="0" collapsed="false">
      <c r="A282" s="2" t="s">
        <v>412</v>
      </c>
      <c r="B282" s="13" t="n">
        <v>46269</v>
      </c>
      <c r="C282" s="2" t="s">
        <v>81</v>
      </c>
      <c r="D282" s="2" t="n">
        <v>1</v>
      </c>
      <c r="E282" s="15" t="n">
        <v>0.806944444444445</v>
      </c>
      <c r="F282" s="7" t="n">
        <v>15000</v>
      </c>
      <c r="G282" s="7" t="n">
        <f aca="false">D282*F282</f>
        <v>15000</v>
      </c>
      <c r="H282" s="2" t="str">
        <f aca="false">INDEX(Daftar_Menu!$B$2:$B$13,MATCH(C282,Daftar_Menu!$A$2:$A$13,0))</f>
        <v>Makanan</v>
      </c>
      <c r="I282" s="2" t="str">
        <f aca="false">CHOOSE(WEEKDAY(B282,2),"Senin","Selasa","Rabu","Kamis","Jumat","Sabtu","Minggu")</f>
        <v>Jumat</v>
      </c>
      <c r="J282" s="2" t="n">
        <f aca="false">HOUR(E282)</f>
        <v>19</v>
      </c>
      <c r="K282" s="2" t="str">
        <f aca="false">IF(J282&lt;11,"Pagi",IF(J282&lt;17,"Siang","Malam"))</f>
        <v>Malam</v>
      </c>
      <c r="L282" s="2" t="n">
        <f aca="false">IF(A282&lt;&gt;A281,1,0)</f>
        <v>0</v>
      </c>
    </row>
    <row r="283" customFormat="false" ht="15" hidden="false" customHeight="false" outlineLevel="0" collapsed="false">
      <c r="A283" s="2" t="s">
        <v>415</v>
      </c>
      <c r="B283" s="13" t="n">
        <v>46269</v>
      </c>
      <c r="C283" s="2" t="s">
        <v>81</v>
      </c>
      <c r="D283" s="2" t="n">
        <v>1</v>
      </c>
      <c r="E283" s="15" t="n">
        <v>0.820138888888889</v>
      </c>
      <c r="F283" s="7" t="n">
        <v>15000</v>
      </c>
      <c r="G283" s="7" t="n">
        <f aca="false">D283*F283</f>
        <v>15000</v>
      </c>
      <c r="H283" s="2" t="str">
        <f aca="false">INDEX(Daftar_Menu!$B$2:$B$13,MATCH(C283,Daftar_Menu!$A$2:$A$13,0))</f>
        <v>Makanan</v>
      </c>
      <c r="I283" s="2" t="str">
        <f aca="false">CHOOSE(WEEKDAY(B283,2),"Senin","Selasa","Rabu","Kamis","Jumat","Sabtu","Minggu")</f>
        <v>Jumat</v>
      </c>
      <c r="J283" s="2" t="n">
        <f aca="false">HOUR(E283)</f>
        <v>19</v>
      </c>
      <c r="K283" s="2" t="str">
        <f aca="false">IF(J283&lt;11,"Pagi",IF(J283&lt;17,"Siang","Malam"))</f>
        <v>Malam</v>
      </c>
      <c r="L283" s="2" t="n">
        <f aca="false">IF(A283&lt;&gt;A282,1,0)</f>
        <v>1</v>
      </c>
    </row>
    <row r="284" customFormat="false" ht="15" hidden="false" customHeight="false" outlineLevel="0" collapsed="false">
      <c r="A284" s="2" t="s">
        <v>415</v>
      </c>
      <c r="B284" s="13" t="n">
        <v>46269</v>
      </c>
      <c r="C284" s="2" t="s">
        <v>101</v>
      </c>
      <c r="D284" s="2" t="n">
        <v>2</v>
      </c>
      <c r="E284" s="15" t="n">
        <v>0.820138888888889</v>
      </c>
      <c r="F284" s="7" t="n">
        <v>18000</v>
      </c>
      <c r="G284" s="7" t="n">
        <f aca="false">D284*F284</f>
        <v>36000</v>
      </c>
      <c r="H284" s="2" t="str">
        <f aca="false">INDEX(Daftar_Menu!$B$2:$B$13,MATCH(C284,Daftar_Menu!$A$2:$A$13,0))</f>
        <v>Makanan</v>
      </c>
      <c r="I284" s="2" t="str">
        <f aca="false">CHOOSE(WEEKDAY(B284,2),"Senin","Selasa","Rabu","Kamis","Jumat","Sabtu","Minggu")</f>
        <v>Jumat</v>
      </c>
      <c r="J284" s="2" t="n">
        <f aca="false">HOUR(E284)</f>
        <v>19</v>
      </c>
      <c r="K284" s="2" t="str">
        <f aca="false">IF(J284&lt;11,"Pagi",IF(J284&lt;17,"Siang","Malam"))</f>
        <v>Malam</v>
      </c>
      <c r="L284" s="2" t="n">
        <f aca="false">IF(A284&lt;&gt;A283,1,0)</f>
        <v>0</v>
      </c>
    </row>
    <row r="285" customFormat="false" ht="15" hidden="false" customHeight="false" outlineLevel="0" collapsed="false">
      <c r="A285" s="2" t="s">
        <v>415</v>
      </c>
      <c r="B285" s="13" t="n">
        <v>46269</v>
      </c>
      <c r="C285" s="2" t="s">
        <v>84</v>
      </c>
      <c r="D285" s="2" t="n">
        <v>1</v>
      </c>
      <c r="E285" s="15" t="n">
        <v>0.820138888888889</v>
      </c>
      <c r="F285" s="7" t="n">
        <v>5000</v>
      </c>
      <c r="G285" s="7" t="n">
        <f aca="false">D285*F285</f>
        <v>5000</v>
      </c>
      <c r="H285" s="2" t="str">
        <f aca="false">INDEX(Daftar_Menu!$B$2:$B$13,MATCH(C285,Daftar_Menu!$A$2:$A$13,0))</f>
        <v>Minuman</v>
      </c>
      <c r="I285" s="2" t="str">
        <f aca="false">CHOOSE(WEEKDAY(B285,2),"Senin","Selasa","Rabu","Kamis","Jumat","Sabtu","Minggu")</f>
        <v>Jumat</v>
      </c>
      <c r="J285" s="2" t="n">
        <f aca="false">HOUR(E285)</f>
        <v>19</v>
      </c>
      <c r="K285" s="2" t="str">
        <f aca="false">IF(J285&lt;11,"Pagi",IF(J285&lt;17,"Siang","Malam"))</f>
        <v>Malam</v>
      </c>
      <c r="L285" s="2" t="n">
        <f aca="false">IF(A285&lt;&gt;A284,1,0)</f>
        <v>0</v>
      </c>
    </row>
    <row r="286" customFormat="false" ht="15" hidden="false" customHeight="false" outlineLevel="0" collapsed="false">
      <c r="A286" s="2" t="s">
        <v>416</v>
      </c>
      <c r="B286" s="13" t="n">
        <v>46269</v>
      </c>
      <c r="C286" s="2" t="s">
        <v>89</v>
      </c>
      <c r="D286" s="2" t="n">
        <v>1</v>
      </c>
      <c r="E286" s="15" t="n">
        <v>0.83125</v>
      </c>
      <c r="F286" s="7" t="n">
        <v>14000</v>
      </c>
      <c r="G286" s="7" t="n">
        <f aca="false">D286*F286</f>
        <v>14000</v>
      </c>
      <c r="H286" s="2" t="str">
        <f aca="false">INDEX(Daftar_Menu!$B$2:$B$13,MATCH(C286,Daftar_Menu!$A$2:$A$13,0))</f>
        <v>Makanan</v>
      </c>
      <c r="I286" s="2" t="str">
        <f aca="false">CHOOSE(WEEKDAY(B286,2),"Senin","Selasa","Rabu","Kamis","Jumat","Sabtu","Minggu")</f>
        <v>Jumat</v>
      </c>
      <c r="J286" s="2" t="n">
        <f aca="false">HOUR(E286)</f>
        <v>19</v>
      </c>
      <c r="K286" s="2" t="str">
        <f aca="false">IF(J286&lt;11,"Pagi",IF(J286&lt;17,"Siang","Malam"))</f>
        <v>Malam</v>
      </c>
      <c r="L286" s="2" t="n">
        <f aca="false">IF(A286&lt;&gt;A285,1,0)</f>
        <v>1</v>
      </c>
    </row>
    <row r="287" customFormat="false" ht="15" hidden="false" customHeight="false" outlineLevel="0" collapsed="false">
      <c r="A287" s="2" t="s">
        <v>417</v>
      </c>
      <c r="B287" s="13" t="n">
        <v>46269</v>
      </c>
      <c r="C287" s="2" t="s">
        <v>79</v>
      </c>
      <c r="D287" s="2" t="n">
        <v>1</v>
      </c>
      <c r="E287" s="15" t="n">
        <v>0.835416666666667</v>
      </c>
      <c r="F287" s="7" t="n">
        <v>16000</v>
      </c>
      <c r="G287" s="7" t="n">
        <f aca="false">D287*F287</f>
        <v>16000</v>
      </c>
      <c r="H287" s="2" t="str">
        <f aca="false">INDEX(Daftar_Menu!$B$2:$B$13,MATCH(C287,Daftar_Menu!$A$2:$A$13,0))</f>
        <v>Makanan</v>
      </c>
      <c r="I287" s="2" t="str">
        <f aca="false">CHOOSE(WEEKDAY(B287,2),"Senin","Selasa","Rabu","Kamis","Jumat","Sabtu","Minggu")</f>
        <v>Jumat</v>
      </c>
      <c r="J287" s="2" t="n">
        <f aca="false">HOUR(E287)</f>
        <v>20</v>
      </c>
      <c r="K287" s="2" t="str">
        <f aca="false">IF(J287&lt;11,"Pagi",IF(J287&lt;17,"Siang","Malam"))</f>
        <v>Malam</v>
      </c>
      <c r="L287" s="2" t="n">
        <f aca="false">IF(A287&lt;&gt;A286,1,0)</f>
        <v>1</v>
      </c>
    </row>
    <row r="288" customFormat="false" ht="15" hidden="false" customHeight="false" outlineLevel="0" collapsed="false">
      <c r="A288" s="2" t="s">
        <v>419</v>
      </c>
      <c r="B288" s="13" t="n">
        <v>46269</v>
      </c>
      <c r="C288" s="2" t="s">
        <v>101</v>
      </c>
      <c r="D288" s="2" t="n">
        <v>2</v>
      </c>
      <c r="E288" s="15" t="n">
        <v>0.848611111111111</v>
      </c>
      <c r="F288" s="7" t="n">
        <v>18000</v>
      </c>
      <c r="G288" s="7" t="n">
        <f aca="false">D288*F288</f>
        <v>36000</v>
      </c>
      <c r="H288" s="2" t="str">
        <f aca="false">INDEX(Daftar_Menu!$B$2:$B$13,MATCH(C288,Daftar_Menu!$A$2:$A$13,0))</f>
        <v>Makanan</v>
      </c>
      <c r="I288" s="2" t="str">
        <f aca="false">CHOOSE(WEEKDAY(B288,2),"Senin","Selasa","Rabu","Kamis","Jumat","Sabtu","Minggu")</f>
        <v>Jumat</v>
      </c>
      <c r="J288" s="2" t="n">
        <f aca="false">HOUR(E288)</f>
        <v>20</v>
      </c>
      <c r="K288" s="2" t="str">
        <f aca="false">IF(J288&lt;11,"Pagi",IF(J288&lt;17,"Siang","Malam"))</f>
        <v>Malam</v>
      </c>
      <c r="L288" s="2" t="n">
        <f aca="false">IF(A288&lt;&gt;A287,1,0)</f>
        <v>1</v>
      </c>
    </row>
    <row r="289" customFormat="false" ht="15" hidden="false" customHeight="false" outlineLevel="0" collapsed="false">
      <c r="A289" s="2" t="s">
        <v>419</v>
      </c>
      <c r="B289" s="13" t="n">
        <v>46269</v>
      </c>
      <c r="C289" s="2" t="s">
        <v>186</v>
      </c>
      <c r="D289" s="2" t="n">
        <v>2</v>
      </c>
      <c r="E289" s="15" t="n">
        <v>0.848611111111111</v>
      </c>
      <c r="F289" s="7" t="n">
        <v>7000</v>
      </c>
      <c r="G289" s="7" t="n">
        <f aca="false">D289*F289</f>
        <v>14000</v>
      </c>
      <c r="H289" s="2" t="str">
        <f aca="false">INDEX(Daftar_Menu!$B$2:$B$13,MATCH(C289,Daftar_Menu!$A$2:$A$13,0))</f>
        <v>Minuman</v>
      </c>
      <c r="I289" s="2" t="str">
        <f aca="false">CHOOSE(WEEKDAY(B289,2),"Senin","Selasa","Rabu","Kamis","Jumat","Sabtu","Minggu")</f>
        <v>Jumat</v>
      </c>
      <c r="J289" s="2" t="n">
        <f aca="false">HOUR(E289)</f>
        <v>20</v>
      </c>
      <c r="K289" s="2" t="str">
        <f aca="false">IF(J289&lt;11,"Pagi",IF(J289&lt;17,"Siang","Malam"))</f>
        <v>Malam</v>
      </c>
      <c r="L289" s="2" t="n">
        <f aca="false">IF(A289&lt;&gt;A288,1,0)</f>
        <v>0</v>
      </c>
    </row>
    <row r="290" customFormat="false" ht="15" hidden="false" customHeight="false" outlineLevel="0" collapsed="false">
      <c r="A290" s="2" t="s">
        <v>421</v>
      </c>
      <c r="B290" s="13" t="n">
        <v>46269</v>
      </c>
      <c r="C290" s="2" t="s">
        <v>82</v>
      </c>
      <c r="D290" s="2" t="n">
        <v>1</v>
      </c>
      <c r="E290" s="15" t="n">
        <v>0.870833333333333</v>
      </c>
      <c r="F290" s="7" t="n">
        <v>13000</v>
      </c>
      <c r="G290" s="7" t="n">
        <f aca="false">D290*F290</f>
        <v>13000</v>
      </c>
      <c r="H290" s="2" t="str">
        <f aca="false">INDEX(Daftar_Menu!$B$2:$B$13,MATCH(C290,Daftar_Menu!$A$2:$A$13,0))</f>
        <v>Makanan</v>
      </c>
      <c r="I290" s="2" t="str">
        <f aca="false">CHOOSE(WEEKDAY(B290,2),"Senin","Selasa","Rabu","Kamis","Jumat","Sabtu","Minggu")</f>
        <v>Jumat</v>
      </c>
      <c r="J290" s="2" t="n">
        <f aca="false">HOUR(E290)</f>
        <v>20</v>
      </c>
      <c r="K290" s="2" t="str">
        <f aca="false">IF(J290&lt;11,"Pagi",IF(J290&lt;17,"Siang","Malam"))</f>
        <v>Malam</v>
      </c>
      <c r="L290" s="2" t="n">
        <f aca="false">IF(A290&lt;&gt;A289,1,0)</f>
        <v>1</v>
      </c>
    </row>
    <row r="291" customFormat="false" ht="15" hidden="false" customHeight="false" outlineLevel="0" collapsed="false">
      <c r="A291" s="2" t="s">
        <v>421</v>
      </c>
      <c r="B291" s="13" t="n">
        <v>46269</v>
      </c>
      <c r="C291" s="2" t="s">
        <v>84</v>
      </c>
      <c r="D291" s="2" t="n">
        <v>2</v>
      </c>
      <c r="E291" s="15" t="n">
        <v>0.870833333333333</v>
      </c>
      <c r="F291" s="7" t="n">
        <v>5000</v>
      </c>
      <c r="G291" s="7" t="n">
        <f aca="false">D291*F291</f>
        <v>10000</v>
      </c>
      <c r="H291" s="2" t="str">
        <f aca="false">INDEX(Daftar_Menu!$B$2:$B$13,MATCH(C291,Daftar_Menu!$A$2:$A$13,0))</f>
        <v>Minuman</v>
      </c>
      <c r="I291" s="2" t="str">
        <f aca="false">CHOOSE(WEEKDAY(B291,2),"Senin","Selasa","Rabu","Kamis","Jumat","Sabtu","Minggu")</f>
        <v>Jumat</v>
      </c>
      <c r="J291" s="2" t="n">
        <f aca="false">HOUR(E291)</f>
        <v>20</v>
      </c>
      <c r="K291" s="2" t="str">
        <f aca="false">IF(J291&lt;11,"Pagi",IF(J291&lt;17,"Siang","Malam"))</f>
        <v>Malam</v>
      </c>
      <c r="L291" s="2" t="n">
        <f aca="false">IF(A291&lt;&gt;A290,1,0)</f>
        <v>0</v>
      </c>
    </row>
    <row r="292" customFormat="false" ht="15" hidden="false" customHeight="false" outlineLevel="0" collapsed="false">
      <c r="A292" s="2" t="s">
        <v>424</v>
      </c>
      <c r="B292" s="13" t="n">
        <v>46269</v>
      </c>
      <c r="C292" s="2" t="s">
        <v>126</v>
      </c>
      <c r="D292" s="2" t="n">
        <v>2</v>
      </c>
      <c r="E292" s="15" t="n">
        <v>0.872222222222222</v>
      </c>
      <c r="F292" s="7" t="n">
        <v>3000</v>
      </c>
      <c r="G292" s="7" t="n">
        <f aca="false">D292*F292</f>
        <v>6000</v>
      </c>
      <c r="H292" s="2" t="str">
        <f aca="false">INDEX(Daftar_Menu!$B$2:$B$13,MATCH(C292,Daftar_Menu!$A$2:$A$13,0))</f>
        <v>Minuman</v>
      </c>
      <c r="I292" s="2" t="str">
        <f aca="false">CHOOSE(WEEKDAY(B292,2),"Senin","Selasa","Rabu","Kamis","Jumat","Sabtu","Minggu")</f>
        <v>Jumat</v>
      </c>
      <c r="J292" s="2" t="n">
        <f aca="false">HOUR(E292)</f>
        <v>20</v>
      </c>
      <c r="K292" s="2" t="str">
        <f aca="false">IF(J292&lt;11,"Pagi",IF(J292&lt;17,"Siang","Malam"))</f>
        <v>Malam</v>
      </c>
      <c r="L292" s="2" t="n">
        <f aca="false">IF(A292&lt;&gt;A291,1,0)</f>
        <v>1</v>
      </c>
    </row>
    <row r="293" customFormat="false" ht="15" hidden="false" customHeight="false" outlineLevel="0" collapsed="false">
      <c r="A293" s="2" t="s">
        <v>425</v>
      </c>
      <c r="B293" s="13" t="n">
        <v>46270</v>
      </c>
      <c r="C293" s="2" t="s">
        <v>112</v>
      </c>
      <c r="D293" s="2" t="n">
        <v>1</v>
      </c>
      <c r="E293" s="15" t="n">
        <v>0.34375</v>
      </c>
      <c r="F293" s="7" t="n">
        <v>10000</v>
      </c>
      <c r="G293" s="7" t="n">
        <f aca="false">D293*F293</f>
        <v>10000</v>
      </c>
      <c r="H293" s="2" t="str">
        <f aca="false">INDEX(Daftar_Menu!$B$2:$B$13,MATCH(C293,Daftar_Menu!$A$2:$A$13,0))</f>
        <v>Minuman</v>
      </c>
      <c r="I293" s="2" t="str">
        <f aca="false">CHOOSE(WEEKDAY(B293,2),"Senin","Selasa","Rabu","Kamis","Jumat","Sabtu","Minggu")</f>
        <v>Sabtu</v>
      </c>
      <c r="J293" s="2" t="n">
        <f aca="false">HOUR(E293)</f>
        <v>8</v>
      </c>
      <c r="K293" s="2" t="str">
        <f aca="false">IF(J293&lt;11,"Pagi",IF(J293&lt;17,"Siang","Malam"))</f>
        <v>Pagi</v>
      </c>
      <c r="L293" s="2" t="n">
        <f aca="false">IF(A293&lt;&gt;A292,1,0)</f>
        <v>1</v>
      </c>
    </row>
    <row r="294" customFormat="false" ht="15" hidden="false" customHeight="false" outlineLevel="0" collapsed="false">
      <c r="A294" s="2" t="s">
        <v>427</v>
      </c>
      <c r="B294" s="13" t="n">
        <v>46270</v>
      </c>
      <c r="C294" s="2" t="s">
        <v>101</v>
      </c>
      <c r="D294" s="2" t="n">
        <v>1</v>
      </c>
      <c r="E294" s="15" t="n">
        <v>0.347916666666667</v>
      </c>
      <c r="F294" s="7" t="n">
        <v>18000</v>
      </c>
      <c r="G294" s="7" t="n">
        <f aca="false">D294*F294</f>
        <v>18000</v>
      </c>
      <c r="H294" s="2" t="str">
        <f aca="false">INDEX(Daftar_Menu!$B$2:$B$13,MATCH(C294,Daftar_Menu!$A$2:$A$13,0))</f>
        <v>Makanan</v>
      </c>
      <c r="I294" s="2" t="str">
        <f aca="false">CHOOSE(WEEKDAY(B294,2),"Senin","Selasa","Rabu","Kamis","Jumat","Sabtu","Minggu")</f>
        <v>Sabtu</v>
      </c>
      <c r="J294" s="2" t="n">
        <f aca="false">HOUR(E294)</f>
        <v>8</v>
      </c>
      <c r="K294" s="2" t="str">
        <f aca="false">IF(J294&lt;11,"Pagi",IF(J294&lt;17,"Siang","Malam"))</f>
        <v>Pagi</v>
      </c>
      <c r="L294" s="2" t="n">
        <f aca="false">IF(A294&lt;&gt;A293,1,0)</f>
        <v>1</v>
      </c>
    </row>
    <row r="295" customFormat="false" ht="15" hidden="false" customHeight="false" outlineLevel="0" collapsed="false">
      <c r="A295" s="2" t="s">
        <v>429</v>
      </c>
      <c r="B295" s="13" t="n">
        <v>46270</v>
      </c>
      <c r="C295" s="2" t="s">
        <v>132</v>
      </c>
      <c r="D295" s="2" t="n">
        <v>1</v>
      </c>
      <c r="E295" s="15" t="n">
        <v>0.382638888888889</v>
      </c>
      <c r="F295" s="7" t="n">
        <v>15000</v>
      </c>
      <c r="G295" s="7" t="n">
        <f aca="false">D295*F295</f>
        <v>15000</v>
      </c>
      <c r="H295" s="2" t="str">
        <f aca="false">INDEX(Daftar_Menu!$B$2:$B$13,MATCH(C295,Daftar_Menu!$A$2:$A$13,0))</f>
        <v>Makanan</v>
      </c>
      <c r="I295" s="2" t="str">
        <f aca="false">CHOOSE(WEEKDAY(B295,2),"Senin","Selasa","Rabu","Kamis","Jumat","Sabtu","Minggu")</f>
        <v>Sabtu</v>
      </c>
      <c r="J295" s="2" t="n">
        <f aca="false">HOUR(E295)</f>
        <v>9</v>
      </c>
      <c r="K295" s="2" t="str">
        <f aca="false">IF(J295&lt;11,"Pagi",IF(J295&lt;17,"Siang","Malam"))</f>
        <v>Pagi</v>
      </c>
      <c r="L295" s="2" t="n">
        <f aca="false">IF(A295&lt;&gt;A294,1,0)</f>
        <v>1</v>
      </c>
    </row>
    <row r="296" customFormat="false" ht="15" hidden="false" customHeight="false" outlineLevel="0" collapsed="false">
      <c r="A296" s="2" t="s">
        <v>429</v>
      </c>
      <c r="B296" s="13" t="n">
        <v>46270</v>
      </c>
      <c r="C296" s="2" t="s">
        <v>101</v>
      </c>
      <c r="D296" s="2" t="n">
        <v>2</v>
      </c>
      <c r="E296" s="15" t="n">
        <v>0.382638888888889</v>
      </c>
      <c r="F296" s="7" t="n">
        <v>18000</v>
      </c>
      <c r="G296" s="7" t="n">
        <f aca="false">D296*F296</f>
        <v>36000</v>
      </c>
      <c r="H296" s="2" t="str">
        <f aca="false">INDEX(Daftar_Menu!$B$2:$B$13,MATCH(C296,Daftar_Menu!$A$2:$A$13,0))</f>
        <v>Makanan</v>
      </c>
      <c r="I296" s="2" t="str">
        <f aca="false">CHOOSE(WEEKDAY(B296,2),"Senin","Selasa","Rabu","Kamis","Jumat","Sabtu","Minggu")</f>
        <v>Sabtu</v>
      </c>
      <c r="J296" s="2" t="n">
        <f aca="false">HOUR(E296)</f>
        <v>9</v>
      </c>
      <c r="K296" s="2" t="str">
        <f aca="false">IF(J296&lt;11,"Pagi",IF(J296&lt;17,"Siang","Malam"))</f>
        <v>Pagi</v>
      </c>
      <c r="L296" s="2" t="n">
        <f aca="false">IF(A296&lt;&gt;A295,1,0)</f>
        <v>0</v>
      </c>
    </row>
    <row r="297" customFormat="false" ht="15" hidden="false" customHeight="false" outlineLevel="0" collapsed="false">
      <c r="A297" s="2" t="s">
        <v>429</v>
      </c>
      <c r="B297" s="13" t="n">
        <v>46270</v>
      </c>
      <c r="C297" s="2" t="s">
        <v>81</v>
      </c>
      <c r="D297" s="2" t="n">
        <v>1</v>
      </c>
      <c r="E297" s="15" t="n">
        <v>0.382638888888889</v>
      </c>
      <c r="F297" s="7" t="n">
        <v>15000</v>
      </c>
      <c r="G297" s="7" t="n">
        <f aca="false">D297*F297</f>
        <v>15000</v>
      </c>
      <c r="H297" s="2" t="str">
        <f aca="false">INDEX(Daftar_Menu!$B$2:$B$13,MATCH(C297,Daftar_Menu!$A$2:$A$13,0))</f>
        <v>Makanan</v>
      </c>
      <c r="I297" s="2" t="str">
        <f aca="false">CHOOSE(WEEKDAY(B297,2),"Senin","Selasa","Rabu","Kamis","Jumat","Sabtu","Minggu")</f>
        <v>Sabtu</v>
      </c>
      <c r="J297" s="2" t="n">
        <f aca="false">HOUR(E297)</f>
        <v>9</v>
      </c>
      <c r="K297" s="2" t="str">
        <f aca="false">IF(J297&lt;11,"Pagi",IF(J297&lt;17,"Siang","Malam"))</f>
        <v>Pagi</v>
      </c>
      <c r="L297" s="2" t="n">
        <f aca="false">IF(A297&lt;&gt;A296,1,0)</f>
        <v>0</v>
      </c>
    </row>
    <row r="298" customFormat="false" ht="15" hidden="false" customHeight="false" outlineLevel="0" collapsed="false">
      <c r="A298" s="2" t="s">
        <v>431</v>
      </c>
      <c r="B298" s="13" t="n">
        <v>46270</v>
      </c>
      <c r="C298" s="2" t="s">
        <v>92</v>
      </c>
      <c r="D298" s="2" t="n">
        <v>1</v>
      </c>
      <c r="E298" s="15" t="n">
        <v>0.40625</v>
      </c>
      <c r="F298" s="7" t="n">
        <v>4000</v>
      </c>
      <c r="G298" s="7" t="n">
        <f aca="false">D298*F298</f>
        <v>4000</v>
      </c>
      <c r="H298" s="2" t="str">
        <f aca="false">INDEX(Daftar_Menu!$B$2:$B$13,MATCH(C298,Daftar_Menu!$A$2:$A$13,0))</f>
        <v>Minuman</v>
      </c>
      <c r="I298" s="2" t="str">
        <f aca="false">CHOOSE(WEEKDAY(B298,2),"Senin","Selasa","Rabu","Kamis","Jumat","Sabtu","Minggu")</f>
        <v>Sabtu</v>
      </c>
      <c r="J298" s="2" t="n">
        <f aca="false">HOUR(E298)</f>
        <v>9</v>
      </c>
      <c r="K298" s="2" t="str">
        <f aca="false">IF(J298&lt;11,"Pagi",IF(J298&lt;17,"Siang","Malam"))</f>
        <v>Pagi</v>
      </c>
      <c r="L298" s="2" t="n">
        <f aca="false">IF(A298&lt;&gt;A297,1,0)</f>
        <v>1</v>
      </c>
    </row>
    <row r="299" customFormat="false" ht="15" hidden="false" customHeight="false" outlineLevel="0" collapsed="false">
      <c r="A299" s="2" t="s">
        <v>433</v>
      </c>
      <c r="B299" s="13" t="n">
        <v>46270</v>
      </c>
      <c r="C299" s="2" t="s">
        <v>84</v>
      </c>
      <c r="D299" s="2" t="n">
        <v>2</v>
      </c>
      <c r="E299" s="15" t="n">
        <v>0.40625</v>
      </c>
      <c r="F299" s="7" t="n">
        <v>5000</v>
      </c>
      <c r="G299" s="7" t="n">
        <f aca="false">D299*F299</f>
        <v>10000</v>
      </c>
      <c r="H299" s="2" t="str">
        <f aca="false">INDEX(Daftar_Menu!$B$2:$B$13,MATCH(C299,Daftar_Menu!$A$2:$A$13,0))</f>
        <v>Minuman</v>
      </c>
      <c r="I299" s="2" t="str">
        <f aca="false">CHOOSE(WEEKDAY(B299,2),"Senin","Selasa","Rabu","Kamis","Jumat","Sabtu","Minggu")</f>
        <v>Sabtu</v>
      </c>
      <c r="J299" s="2" t="n">
        <f aca="false">HOUR(E299)</f>
        <v>9</v>
      </c>
      <c r="K299" s="2" t="str">
        <f aca="false">IF(J299&lt;11,"Pagi",IF(J299&lt;17,"Siang","Malam"))</f>
        <v>Pagi</v>
      </c>
      <c r="L299" s="2" t="n">
        <f aca="false">IF(A299&lt;&gt;A298,1,0)</f>
        <v>1</v>
      </c>
    </row>
    <row r="300" customFormat="false" ht="15" hidden="false" customHeight="false" outlineLevel="0" collapsed="false">
      <c r="A300" s="2" t="s">
        <v>433</v>
      </c>
      <c r="B300" s="13" t="n">
        <v>46270</v>
      </c>
      <c r="C300" s="2" t="s">
        <v>112</v>
      </c>
      <c r="D300" s="2" t="n">
        <v>2</v>
      </c>
      <c r="E300" s="15" t="n">
        <v>0.40625</v>
      </c>
      <c r="F300" s="7" t="n">
        <v>10000</v>
      </c>
      <c r="G300" s="7" t="n">
        <f aca="false">D300*F300</f>
        <v>20000</v>
      </c>
      <c r="H300" s="2" t="str">
        <f aca="false">INDEX(Daftar_Menu!$B$2:$B$13,MATCH(C300,Daftar_Menu!$A$2:$A$13,0))</f>
        <v>Minuman</v>
      </c>
      <c r="I300" s="2" t="str">
        <f aca="false">CHOOSE(WEEKDAY(B300,2),"Senin","Selasa","Rabu","Kamis","Jumat","Sabtu","Minggu")</f>
        <v>Sabtu</v>
      </c>
      <c r="J300" s="2" t="n">
        <f aca="false">HOUR(E300)</f>
        <v>9</v>
      </c>
      <c r="K300" s="2" t="str">
        <f aca="false">IF(J300&lt;11,"Pagi",IF(J300&lt;17,"Siang","Malam"))</f>
        <v>Pagi</v>
      </c>
      <c r="L300" s="2" t="n">
        <f aca="false">IF(A300&lt;&gt;A299,1,0)</f>
        <v>0</v>
      </c>
    </row>
    <row r="301" customFormat="false" ht="15" hidden="false" customHeight="false" outlineLevel="0" collapsed="false">
      <c r="A301" s="2" t="s">
        <v>434</v>
      </c>
      <c r="B301" s="13" t="n">
        <v>46270</v>
      </c>
      <c r="C301" s="2" t="s">
        <v>112</v>
      </c>
      <c r="D301" s="2" t="n">
        <v>2</v>
      </c>
      <c r="E301" s="15" t="n">
        <v>0.411805555555556</v>
      </c>
      <c r="F301" s="7" t="n">
        <v>10000</v>
      </c>
      <c r="G301" s="7" t="n">
        <f aca="false">D301*F301</f>
        <v>20000</v>
      </c>
      <c r="H301" s="2" t="str">
        <f aca="false">INDEX(Daftar_Menu!$B$2:$B$13,MATCH(C301,Daftar_Menu!$A$2:$A$13,0))</f>
        <v>Minuman</v>
      </c>
      <c r="I301" s="2" t="str">
        <f aca="false">CHOOSE(WEEKDAY(B301,2),"Senin","Selasa","Rabu","Kamis","Jumat","Sabtu","Minggu")</f>
        <v>Sabtu</v>
      </c>
      <c r="J301" s="2" t="n">
        <f aca="false">HOUR(E301)</f>
        <v>9</v>
      </c>
      <c r="K301" s="2" t="str">
        <f aca="false">IF(J301&lt;11,"Pagi",IF(J301&lt;17,"Siang","Malam"))</f>
        <v>Pagi</v>
      </c>
      <c r="L301" s="2" t="n">
        <f aca="false">IF(A301&lt;&gt;A300,1,0)</f>
        <v>1</v>
      </c>
    </row>
    <row r="302" customFormat="false" ht="15" hidden="false" customHeight="false" outlineLevel="0" collapsed="false">
      <c r="A302" s="2" t="s">
        <v>434</v>
      </c>
      <c r="B302" s="13" t="n">
        <v>46270</v>
      </c>
      <c r="C302" s="2" t="s">
        <v>186</v>
      </c>
      <c r="D302" s="2" t="n">
        <v>1</v>
      </c>
      <c r="E302" s="15" t="n">
        <v>0.411805555555556</v>
      </c>
      <c r="F302" s="7" t="n">
        <v>7000</v>
      </c>
      <c r="G302" s="7" t="n">
        <f aca="false">D302*F302</f>
        <v>7000</v>
      </c>
      <c r="H302" s="2" t="str">
        <f aca="false">INDEX(Daftar_Menu!$B$2:$B$13,MATCH(C302,Daftar_Menu!$A$2:$A$13,0))</f>
        <v>Minuman</v>
      </c>
      <c r="I302" s="2" t="str">
        <f aca="false">CHOOSE(WEEKDAY(B302,2),"Senin","Selasa","Rabu","Kamis","Jumat","Sabtu","Minggu")</f>
        <v>Sabtu</v>
      </c>
      <c r="J302" s="2" t="n">
        <f aca="false">HOUR(E302)</f>
        <v>9</v>
      </c>
      <c r="K302" s="2" t="str">
        <f aca="false">IF(J302&lt;11,"Pagi",IF(J302&lt;17,"Siang","Malam"))</f>
        <v>Pagi</v>
      </c>
      <c r="L302" s="2" t="n">
        <f aca="false">IF(A302&lt;&gt;A301,1,0)</f>
        <v>0</v>
      </c>
    </row>
    <row r="303" customFormat="false" ht="15" hidden="false" customHeight="false" outlineLevel="0" collapsed="false">
      <c r="A303" s="2" t="s">
        <v>436</v>
      </c>
      <c r="B303" s="13" t="n">
        <v>46270</v>
      </c>
      <c r="C303" s="2" t="s">
        <v>126</v>
      </c>
      <c r="D303" s="2" t="n">
        <v>1</v>
      </c>
      <c r="E303" s="15" t="n">
        <v>0.459722222222222</v>
      </c>
      <c r="F303" s="7" t="n">
        <v>3000</v>
      </c>
      <c r="G303" s="7" t="n">
        <f aca="false">D303*F303</f>
        <v>3000</v>
      </c>
      <c r="H303" s="2" t="str">
        <f aca="false">INDEX(Daftar_Menu!$B$2:$B$13,MATCH(C303,Daftar_Menu!$A$2:$A$13,0))</f>
        <v>Minuman</v>
      </c>
      <c r="I303" s="2" t="str">
        <f aca="false">CHOOSE(WEEKDAY(B303,2),"Senin","Selasa","Rabu","Kamis","Jumat","Sabtu","Minggu")</f>
        <v>Sabtu</v>
      </c>
      <c r="J303" s="2" t="n">
        <f aca="false">HOUR(E303)</f>
        <v>11</v>
      </c>
      <c r="K303" s="2" t="str">
        <f aca="false">IF(J303&lt;11,"Pagi",IF(J303&lt;17,"Siang","Malam"))</f>
        <v>Siang</v>
      </c>
      <c r="L303" s="2" t="n">
        <f aca="false">IF(A303&lt;&gt;A302,1,0)</f>
        <v>1</v>
      </c>
    </row>
    <row r="304" customFormat="false" ht="15" hidden="false" customHeight="false" outlineLevel="0" collapsed="false">
      <c r="A304" s="2" t="s">
        <v>438</v>
      </c>
      <c r="B304" s="13" t="n">
        <v>46270</v>
      </c>
      <c r="C304" s="2" t="s">
        <v>92</v>
      </c>
      <c r="D304" s="2" t="n">
        <v>1</v>
      </c>
      <c r="E304" s="15" t="n">
        <v>0.460416666666667</v>
      </c>
      <c r="F304" s="7" t="n">
        <v>4000</v>
      </c>
      <c r="G304" s="7" t="n">
        <f aca="false">D304*F304</f>
        <v>4000</v>
      </c>
      <c r="H304" s="2" t="str">
        <f aca="false">INDEX(Daftar_Menu!$B$2:$B$13,MATCH(C304,Daftar_Menu!$A$2:$A$13,0))</f>
        <v>Minuman</v>
      </c>
      <c r="I304" s="2" t="str">
        <f aca="false">CHOOSE(WEEKDAY(B304,2),"Senin","Selasa","Rabu","Kamis","Jumat","Sabtu","Minggu")</f>
        <v>Sabtu</v>
      </c>
      <c r="J304" s="2" t="n">
        <f aca="false">HOUR(E304)</f>
        <v>11</v>
      </c>
      <c r="K304" s="2" t="str">
        <f aca="false">IF(J304&lt;11,"Pagi",IF(J304&lt;17,"Siang","Malam"))</f>
        <v>Siang</v>
      </c>
      <c r="L304" s="2" t="n">
        <f aca="false">IF(A304&lt;&gt;A303,1,0)</f>
        <v>1</v>
      </c>
    </row>
    <row r="305" customFormat="false" ht="15" hidden="false" customHeight="false" outlineLevel="0" collapsed="false">
      <c r="A305" s="2" t="s">
        <v>439</v>
      </c>
      <c r="B305" s="13" t="n">
        <v>46270</v>
      </c>
      <c r="C305" s="2" t="s">
        <v>84</v>
      </c>
      <c r="D305" s="2" t="n">
        <v>2</v>
      </c>
      <c r="E305" s="15" t="n">
        <v>0.463194444444445</v>
      </c>
      <c r="F305" s="7" t="n">
        <v>5000</v>
      </c>
      <c r="G305" s="7" t="n">
        <f aca="false">D305*F305</f>
        <v>10000</v>
      </c>
      <c r="H305" s="2" t="str">
        <f aca="false">INDEX(Daftar_Menu!$B$2:$B$13,MATCH(C305,Daftar_Menu!$A$2:$A$13,0))</f>
        <v>Minuman</v>
      </c>
      <c r="I305" s="2" t="str">
        <f aca="false">CHOOSE(WEEKDAY(B305,2),"Senin","Selasa","Rabu","Kamis","Jumat","Sabtu","Minggu")</f>
        <v>Sabtu</v>
      </c>
      <c r="J305" s="2" t="n">
        <f aca="false">HOUR(E305)</f>
        <v>11</v>
      </c>
      <c r="K305" s="2" t="str">
        <f aca="false">IF(J305&lt;11,"Pagi",IF(J305&lt;17,"Siang","Malam"))</f>
        <v>Siang</v>
      </c>
      <c r="L305" s="2" t="n">
        <f aca="false">IF(A305&lt;&gt;A304,1,0)</f>
        <v>1</v>
      </c>
    </row>
    <row r="306" customFormat="false" ht="15" hidden="false" customHeight="false" outlineLevel="0" collapsed="false">
      <c r="A306" s="2" t="s">
        <v>441</v>
      </c>
      <c r="B306" s="13" t="n">
        <v>46270</v>
      </c>
      <c r="C306" s="2" t="s">
        <v>81</v>
      </c>
      <c r="D306" s="2" t="n">
        <v>1</v>
      </c>
      <c r="E306" s="15" t="n">
        <v>0.463888888888889</v>
      </c>
      <c r="F306" s="7" t="n">
        <v>15000</v>
      </c>
      <c r="G306" s="7" t="n">
        <f aca="false">D306*F306</f>
        <v>15000</v>
      </c>
      <c r="H306" s="2" t="str">
        <f aca="false">INDEX(Daftar_Menu!$B$2:$B$13,MATCH(C306,Daftar_Menu!$A$2:$A$13,0))</f>
        <v>Makanan</v>
      </c>
      <c r="I306" s="2" t="str">
        <f aca="false">CHOOSE(WEEKDAY(B306,2),"Senin","Selasa","Rabu","Kamis","Jumat","Sabtu","Minggu")</f>
        <v>Sabtu</v>
      </c>
      <c r="J306" s="2" t="n">
        <f aca="false">HOUR(E306)</f>
        <v>11</v>
      </c>
      <c r="K306" s="2" t="str">
        <f aca="false">IF(J306&lt;11,"Pagi",IF(J306&lt;17,"Siang","Malam"))</f>
        <v>Siang</v>
      </c>
      <c r="L306" s="2" t="n">
        <f aca="false">IF(A306&lt;&gt;A305,1,0)</f>
        <v>1</v>
      </c>
    </row>
    <row r="307" customFormat="false" ht="15" hidden="false" customHeight="false" outlineLevel="0" collapsed="false">
      <c r="A307" s="2" t="s">
        <v>441</v>
      </c>
      <c r="B307" s="13" t="n">
        <v>46270</v>
      </c>
      <c r="C307" s="2" t="s">
        <v>132</v>
      </c>
      <c r="D307" s="2" t="n">
        <v>1</v>
      </c>
      <c r="E307" s="15" t="n">
        <v>0.463888888888889</v>
      </c>
      <c r="F307" s="7" t="n">
        <v>15000</v>
      </c>
      <c r="G307" s="7" t="n">
        <f aca="false">D307*F307</f>
        <v>15000</v>
      </c>
      <c r="H307" s="2" t="str">
        <f aca="false">INDEX(Daftar_Menu!$B$2:$B$13,MATCH(C307,Daftar_Menu!$A$2:$A$13,0))</f>
        <v>Makanan</v>
      </c>
      <c r="I307" s="2" t="str">
        <f aca="false">CHOOSE(WEEKDAY(B307,2),"Senin","Selasa","Rabu","Kamis","Jumat","Sabtu","Minggu")</f>
        <v>Sabtu</v>
      </c>
      <c r="J307" s="2" t="n">
        <f aca="false">HOUR(E307)</f>
        <v>11</v>
      </c>
      <c r="K307" s="2" t="str">
        <f aca="false">IF(J307&lt;11,"Pagi",IF(J307&lt;17,"Siang","Malam"))</f>
        <v>Siang</v>
      </c>
      <c r="L307" s="2" t="n">
        <f aca="false">IF(A307&lt;&gt;A306,1,0)</f>
        <v>0</v>
      </c>
    </row>
    <row r="308" customFormat="false" ht="15" hidden="false" customHeight="false" outlineLevel="0" collapsed="false">
      <c r="A308" s="2" t="s">
        <v>442</v>
      </c>
      <c r="B308" s="13" t="n">
        <v>46270</v>
      </c>
      <c r="C308" s="2" t="s">
        <v>82</v>
      </c>
      <c r="D308" s="2" t="n">
        <v>1</v>
      </c>
      <c r="E308" s="15" t="n">
        <v>0.481944444444445</v>
      </c>
      <c r="F308" s="7" t="n">
        <v>13000</v>
      </c>
      <c r="G308" s="7" t="n">
        <f aca="false">D308*F308</f>
        <v>13000</v>
      </c>
      <c r="H308" s="2" t="str">
        <f aca="false">INDEX(Daftar_Menu!$B$2:$B$13,MATCH(C308,Daftar_Menu!$A$2:$A$13,0))</f>
        <v>Makanan</v>
      </c>
      <c r="I308" s="2" t="str">
        <f aca="false">CHOOSE(WEEKDAY(B308,2),"Senin","Selasa","Rabu","Kamis","Jumat","Sabtu","Minggu")</f>
        <v>Sabtu</v>
      </c>
      <c r="J308" s="2" t="n">
        <f aca="false">HOUR(E308)</f>
        <v>11</v>
      </c>
      <c r="K308" s="2" t="str">
        <f aca="false">IF(J308&lt;11,"Pagi",IF(J308&lt;17,"Siang","Malam"))</f>
        <v>Siang</v>
      </c>
      <c r="L308" s="2" t="n">
        <f aca="false">IF(A308&lt;&gt;A307,1,0)</f>
        <v>1</v>
      </c>
    </row>
    <row r="309" customFormat="false" ht="15" hidden="false" customHeight="false" outlineLevel="0" collapsed="false">
      <c r="A309" s="2" t="s">
        <v>442</v>
      </c>
      <c r="B309" s="13" t="n">
        <v>46270</v>
      </c>
      <c r="C309" s="2" t="s">
        <v>101</v>
      </c>
      <c r="D309" s="2" t="n">
        <v>2</v>
      </c>
      <c r="E309" s="15" t="n">
        <v>0.481944444444445</v>
      </c>
      <c r="F309" s="7" t="n">
        <v>18000</v>
      </c>
      <c r="G309" s="7" t="n">
        <f aca="false">D309*F309</f>
        <v>36000</v>
      </c>
      <c r="H309" s="2" t="str">
        <f aca="false">INDEX(Daftar_Menu!$B$2:$B$13,MATCH(C309,Daftar_Menu!$A$2:$A$13,0))</f>
        <v>Makanan</v>
      </c>
      <c r="I309" s="2" t="str">
        <f aca="false">CHOOSE(WEEKDAY(B309,2),"Senin","Selasa","Rabu","Kamis","Jumat","Sabtu","Minggu")</f>
        <v>Sabtu</v>
      </c>
      <c r="J309" s="2" t="n">
        <f aca="false">HOUR(E309)</f>
        <v>11</v>
      </c>
      <c r="K309" s="2" t="str">
        <f aca="false">IF(J309&lt;11,"Pagi",IF(J309&lt;17,"Siang","Malam"))</f>
        <v>Siang</v>
      </c>
      <c r="L309" s="2" t="n">
        <f aca="false">IF(A309&lt;&gt;A308,1,0)</f>
        <v>0</v>
      </c>
    </row>
    <row r="310" customFormat="false" ht="15" hidden="false" customHeight="false" outlineLevel="0" collapsed="false">
      <c r="A310" s="2" t="s">
        <v>442</v>
      </c>
      <c r="B310" s="13" t="n">
        <v>46270</v>
      </c>
      <c r="C310" s="2" t="s">
        <v>79</v>
      </c>
      <c r="D310" s="2" t="n">
        <v>1</v>
      </c>
      <c r="E310" s="15" t="n">
        <v>0.481944444444445</v>
      </c>
      <c r="F310" s="7" t="n">
        <v>16000</v>
      </c>
      <c r="G310" s="7" t="n">
        <f aca="false">D310*F310</f>
        <v>16000</v>
      </c>
      <c r="H310" s="2" t="str">
        <f aca="false">INDEX(Daftar_Menu!$B$2:$B$13,MATCH(C310,Daftar_Menu!$A$2:$A$13,0))</f>
        <v>Makanan</v>
      </c>
      <c r="I310" s="2" t="str">
        <f aca="false">CHOOSE(WEEKDAY(B310,2),"Senin","Selasa","Rabu","Kamis","Jumat","Sabtu","Minggu")</f>
        <v>Sabtu</v>
      </c>
      <c r="J310" s="2" t="n">
        <f aca="false">HOUR(E310)</f>
        <v>11</v>
      </c>
      <c r="K310" s="2" t="str">
        <f aca="false">IF(J310&lt;11,"Pagi",IF(J310&lt;17,"Siang","Malam"))</f>
        <v>Siang</v>
      </c>
      <c r="L310" s="2" t="n">
        <f aca="false">IF(A310&lt;&gt;A309,1,0)</f>
        <v>0</v>
      </c>
    </row>
    <row r="311" customFormat="false" ht="15" hidden="false" customHeight="false" outlineLevel="0" collapsed="false">
      <c r="A311" s="2" t="s">
        <v>444</v>
      </c>
      <c r="B311" s="13" t="n">
        <v>46270</v>
      </c>
      <c r="C311" s="2" t="s">
        <v>84</v>
      </c>
      <c r="D311" s="2" t="n">
        <v>2</v>
      </c>
      <c r="E311" s="15" t="n">
        <v>0.486111111111111</v>
      </c>
      <c r="F311" s="7" t="n">
        <v>5000</v>
      </c>
      <c r="G311" s="7" t="n">
        <f aca="false">D311*F311</f>
        <v>10000</v>
      </c>
      <c r="H311" s="2" t="str">
        <f aca="false">INDEX(Daftar_Menu!$B$2:$B$13,MATCH(C311,Daftar_Menu!$A$2:$A$13,0))</f>
        <v>Minuman</v>
      </c>
      <c r="I311" s="2" t="str">
        <f aca="false">CHOOSE(WEEKDAY(B311,2),"Senin","Selasa","Rabu","Kamis","Jumat","Sabtu","Minggu")</f>
        <v>Sabtu</v>
      </c>
      <c r="J311" s="2" t="n">
        <f aca="false">HOUR(E311)</f>
        <v>11</v>
      </c>
      <c r="K311" s="2" t="str">
        <f aca="false">IF(J311&lt;11,"Pagi",IF(J311&lt;17,"Siang","Malam"))</f>
        <v>Siang</v>
      </c>
      <c r="L311" s="2" t="n">
        <f aca="false">IF(A311&lt;&gt;A310,1,0)</f>
        <v>1</v>
      </c>
    </row>
    <row r="312" customFormat="false" ht="15" hidden="false" customHeight="false" outlineLevel="0" collapsed="false">
      <c r="A312" s="2" t="s">
        <v>444</v>
      </c>
      <c r="B312" s="13" t="n">
        <v>46270</v>
      </c>
      <c r="C312" s="2" t="s">
        <v>81</v>
      </c>
      <c r="D312" s="2" t="n">
        <v>1</v>
      </c>
      <c r="E312" s="15" t="n">
        <v>0.486111111111111</v>
      </c>
      <c r="F312" s="7" t="n">
        <v>15000</v>
      </c>
      <c r="G312" s="7" t="n">
        <f aca="false">D312*F312</f>
        <v>15000</v>
      </c>
      <c r="H312" s="2" t="str">
        <f aca="false">INDEX(Daftar_Menu!$B$2:$B$13,MATCH(C312,Daftar_Menu!$A$2:$A$13,0))</f>
        <v>Makanan</v>
      </c>
      <c r="I312" s="2" t="str">
        <f aca="false">CHOOSE(WEEKDAY(B312,2),"Senin","Selasa","Rabu","Kamis","Jumat","Sabtu","Minggu")</f>
        <v>Sabtu</v>
      </c>
      <c r="J312" s="2" t="n">
        <f aca="false">HOUR(E312)</f>
        <v>11</v>
      </c>
      <c r="K312" s="2" t="str">
        <f aca="false">IF(J312&lt;11,"Pagi",IF(J312&lt;17,"Siang","Malam"))</f>
        <v>Siang</v>
      </c>
      <c r="L312" s="2" t="n">
        <f aca="false">IF(A312&lt;&gt;A311,1,0)</f>
        <v>0</v>
      </c>
    </row>
    <row r="313" customFormat="false" ht="15" hidden="false" customHeight="false" outlineLevel="0" collapsed="false">
      <c r="A313" s="2" t="s">
        <v>446</v>
      </c>
      <c r="B313" s="13" t="n">
        <v>46270</v>
      </c>
      <c r="C313" s="2" t="s">
        <v>132</v>
      </c>
      <c r="D313" s="2" t="n">
        <v>2</v>
      </c>
      <c r="E313" s="15" t="n">
        <v>0.490972222222222</v>
      </c>
      <c r="F313" s="7" t="n">
        <v>15000</v>
      </c>
      <c r="G313" s="7" t="n">
        <f aca="false">D313*F313</f>
        <v>30000</v>
      </c>
      <c r="H313" s="2" t="str">
        <f aca="false">INDEX(Daftar_Menu!$B$2:$B$13,MATCH(C313,Daftar_Menu!$A$2:$A$13,0))</f>
        <v>Makanan</v>
      </c>
      <c r="I313" s="2" t="str">
        <f aca="false">CHOOSE(WEEKDAY(B313,2),"Senin","Selasa","Rabu","Kamis","Jumat","Sabtu","Minggu")</f>
        <v>Sabtu</v>
      </c>
      <c r="J313" s="2" t="n">
        <f aca="false">HOUR(E313)</f>
        <v>11</v>
      </c>
      <c r="K313" s="2" t="str">
        <f aca="false">IF(J313&lt;11,"Pagi",IF(J313&lt;17,"Siang","Malam"))</f>
        <v>Siang</v>
      </c>
      <c r="L313" s="2" t="n">
        <f aca="false">IF(A313&lt;&gt;A312,1,0)</f>
        <v>1</v>
      </c>
    </row>
    <row r="314" customFormat="false" ht="15" hidden="false" customHeight="false" outlineLevel="0" collapsed="false">
      <c r="A314" s="2" t="s">
        <v>448</v>
      </c>
      <c r="B314" s="13" t="n">
        <v>46270</v>
      </c>
      <c r="C314" s="2" t="s">
        <v>81</v>
      </c>
      <c r="D314" s="2" t="n">
        <v>1</v>
      </c>
      <c r="E314" s="15" t="n">
        <v>0.500694444444444</v>
      </c>
      <c r="F314" s="7" t="n">
        <v>15000</v>
      </c>
      <c r="G314" s="7" t="n">
        <f aca="false">D314*F314</f>
        <v>15000</v>
      </c>
      <c r="H314" s="2" t="str">
        <f aca="false">INDEX(Daftar_Menu!$B$2:$B$13,MATCH(C314,Daftar_Menu!$A$2:$A$13,0))</f>
        <v>Makanan</v>
      </c>
      <c r="I314" s="2" t="str">
        <f aca="false">CHOOSE(WEEKDAY(B314,2),"Senin","Selasa","Rabu","Kamis","Jumat","Sabtu","Minggu")</f>
        <v>Sabtu</v>
      </c>
      <c r="J314" s="2" t="n">
        <f aca="false">HOUR(E314)</f>
        <v>12</v>
      </c>
      <c r="K314" s="2" t="str">
        <f aca="false">IF(J314&lt;11,"Pagi",IF(J314&lt;17,"Siang","Malam"))</f>
        <v>Siang</v>
      </c>
      <c r="L314" s="2" t="n">
        <f aca="false">IF(A314&lt;&gt;A313,1,0)</f>
        <v>1</v>
      </c>
    </row>
    <row r="315" customFormat="false" ht="15" hidden="false" customHeight="false" outlineLevel="0" collapsed="false">
      <c r="A315" s="2" t="s">
        <v>450</v>
      </c>
      <c r="B315" s="13" t="n">
        <v>46270</v>
      </c>
      <c r="C315" s="2" t="s">
        <v>101</v>
      </c>
      <c r="D315" s="2" t="n">
        <v>2</v>
      </c>
      <c r="E315" s="15" t="n">
        <v>0.50625</v>
      </c>
      <c r="F315" s="7" t="n">
        <v>18000</v>
      </c>
      <c r="G315" s="7" t="n">
        <f aca="false">D315*F315</f>
        <v>36000</v>
      </c>
      <c r="H315" s="2" t="str">
        <f aca="false">INDEX(Daftar_Menu!$B$2:$B$13,MATCH(C315,Daftar_Menu!$A$2:$A$13,0))</f>
        <v>Makanan</v>
      </c>
      <c r="I315" s="2" t="str">
        <f aca="false">CHOOSE(WEEKDAY(B315,2),"Senin","Selasa","Rabu","Kamis","Jumat","Sabtu","Minggu")</f>
        <v>Sabtu</v>
      </c>
      <c r="J315" s="2" t="n">
        <f aca="false">HOUR(E315)</f>
        <v>12</v>
      </c>
      <c r="K315" s="2" t="str">
        <f aca="false">IF(J315&lt;11,"Pagi",IF(J315&lt;17,"Siang","Malam"))</f>
        <v>Siang</v>
      </c>
      <c r="L315" s="2" t="n">
        <f aca="false">IF(A315&lt;&gt;A314,1,0)</f>
        <v>1</v>
      </c>
    </row>
    <row r="316" customFormat="false" ht="15" hidden="false" customHeight="false" outlineLevel="0" collapsed="false">
      <c r="A316" s="2" t="s">
        <v>450</v>
      </c>
      <c r="B316" s="13" t="n">
        <v>46270</v>
      </c>
      <c r="C316" s="2" t="s">
        <v>81</v>
      </c>
      <c r="D316" s="2" t="n">
        <v>1</v>
      </c>
      <c r="E316" s="15" t="n">
        <v>0.50625</v>
      </c>
      <c r="F316" s="7" t="n">
        <v>15000</v>
      </c>
      <c r="G316" s="7" t="n">
        <f aca="false">D316*F316</f>
        <v>15000</v>
      </c>
      <c r="H316" s="2" t="str">
        <f aca="false">INDEX(Daftar_Menu!$B$2:$B$13,MATCH(C316,Daftar_Menu!$A$2:$A$13,0))</f>
        <v>Makanan</v>
      </c>
      <c r="I316" s="2" t="str">
        <f aca="false">CHOOSE(WEEKDAY(B316,2),"Senin","Selasa","Rabu","Kamis","Jumat","Sabtu","Minggu")</f>
        <v>Sabtu</v>
      </c>
      <c r="J316" s="2" t="n">
        <f aca="false">HOUR(E316)</f>
        <v>12</v>
      </c>
      <c r="K316" s="2" t="str">
        <f aca="false">IF(J316&lt;11,"Pagi",IF(J316&lt;17,"Siang","Malam"))</f>
        <v>Siang</v>
      </c>
      <c r="L316" s="2" t="n">
        <f aca="false">IF(A316&lt;&gt;A315,1,0)</f>
        <v>0</v>
      </c>
    </row>
    <row r="317" customFormat="false" ht="15" hidden="false" customHeight="false" outlineLevel="0" collapsed="false">
      <c r="A317" s="2" t="s">
        <v>450</v>
      </c>
      <c r="B317" s="13" t="n">
        <v>46270</v>
      </c>
      <c r="C317" s="2" t="s">
        <v>82</v>
      </c>
      <c r="D317" s="2" t="n">
        <v>2</v>
      </c>
      <c r="E317" s="15" t="n">
        <v>0.50625</v>
      </c>
      <c r="F317" s="7" t="n">
        <v>13000</v>
      </c>
      <c r="G317" s="7" t="n">
        <f aca="false">D317*F317</f>
        <v>26000</v>
      </c>
      <c r="H317" s="2" t="str">
        <f aca="false">INDEX(Daftar_Menu!$B$2:$B$13,MATCH(C317,Daftar_Menu!$A$2:$A$13,0))</f>
        <v>Makanan</v>
      </c>
      <c r="I317" s="2" t="str">
        <f aca="false">CHOOSE(WEEKDAY(B317,2),"Senin","Selasa","Rabu","Kamis","Jumat","Sabtu","Minggu")</f>
        <v>Sabtu</v>
      </c>
      <c r="J317" s="2" t="n">
        <f aca="false">HOUR(E317)</f>
        <v>12</v>
      </c>
      <c r="K317" s="2" t="str">
        <f aca="false">IF(J317&lt;11,"Pagi",IF(J317&lt;17,"Siang","Malam"))</f>
        <v>Siang</v>
      </c>
      <c r="L317" s="2" t="n">
        <f aca="false">IF(A317&lt;&gt;A316,1,0)</f>
        <v>0</v>
      </c>
    </row>
    <row r="318" customFormat="false" ht="15" hidden="false" customHeight="false" outlineLevel="0" collapsed="false">
      <c r="A318" s="2" t="s">
        <v>452</v>
      </c>
      <c r="B318" s="13" t="n">
        <v>46270</v>
      </c>
      <c r="C318" s="2" t="s">
        <v>81</v>
      </c>
      <c r="D318" s="2" t="n">
        <v>2</v>
      </c>
      <c r="E318" s="15" t="n">
        <v>0.506944444444444</v>
      </c>
      <c r="F318" s="7" t="n">
        <v>15000</v>
      </c>
      <c r="G318" s="7" t="n">
        <f aca="false">D318*F318</f>
        <v>30000</v>
      </c>
      <c r="H318" s="2" t="str">
        <f aca="false">INDEX(Daftar_Menu!$B$2:$B$13,MATCH(C318,Daftar_Menu!$A$2:$A$13,0))</f>
        <v>Makanan</v>
      </c>
      <c r="I318" s="2" t="str">
        <f aca="false">CHOOSE(WEEKDAY(B318,2),"Senin","Selasa","Rabu","Kamis","Jumat","Sabtu","Minggu")</f>
        <v>Sabtu</v>
      </c>
      <c r="J318" s="2" t="n">
        <f aca="false">HOUR(E318)</f>
        <v>12</v>
      </c>
      <c r="K318" s="2" t="str">
        <f aca="false">IF(J318&lt;11,"Pagi",IF(J318&lt;17,"Siang","Malam"))</f>
        <v>Siang</v>
      </c>
      <c r="L318" s="2" t="n">
        <f aca="false">IF(A318&lt;&gt;A317,1,0)</f>
        <v>1</v>
      </c>
    </row>
    <row r="319" customFormat="false" ht="15" hidden="false" customHeight="false" outlineLevel="0" collapsed="false">
      <c r="A319" s="2" t="s">
        <v>452</v>
      </c>
      <c r="B319" s="13" t="n">
        <v>46270</v>
      </c>
      <c r="C319" s="2" t="s">
        <v>84</v>
      </c>
      <c r="D319" s="2" t="n">
        <v>1</v>
      </c>
      <c r="E319" s="15" t="n">
        <v>0.506944444444444</v>
      </c>
      <c r="F319" s="7" t="n">
        <v>5000</v>
      </c>
      <c r="G319" s="7" t="n">
        <f aca="false">D319*F319</f>
        <v>5000</v>
      </c>
      <c r="H319" s="2" t="str">
        <f aca="false">INDEX(Daftar_Menu!$B$2:$B$13,MATCH(C319,Daftar_Menu!$A$2:$A$13,0))</f>
        <v>Minuman</v>
      </c>
      <c r="I319" s="2" t="str">
        <f aca="false">CHOOSE(WEEKDAY(B319,2),"Senin","Selasa","Rabu","Kamis","Jumat","Sabtu","Minggu")</f>
        <v>Sabtu</v>
      </c>
      <c r="J319" s="2" t="n">
        <f aca="false">HOUR(E319)</f>
        <v>12</v>
      </c>
      <c r="K319" s="2" t="str">
        <f aca="false">IF(J319&lt;11,"Pagi",IF(J319&lt;17,"Siang","Malam"))</f>
        <v>Siang</v>
      </c>
      <c r="L319" s="2" t="n">
        <f aca="false">IF(A319&lt;&gt;A318,1,0)</f>
        <v>0</v>
      </c>
    </row>
    <row r="320" customFormat="false" ht="15" hidden="false" customHeight="false" outlineLevel="0" collapsed="false">
      <c r="A320" s="2" t="s">
        <v>454</v>
      </c>
      <c r="B320" s="13" t="n">
        <v>46270</v>
      </c>
      <c r="C320" s="2" t="s">
        <v>101</v>
      </c>
      <c r="D320" s="2" t="n">
        <v>2</v>
      </c>
      <c r="E320" s="15" t="n">
        <v>0.508333333333333</v>
      </c>
      <c r="F320" s="7" t="n">
        <v>18000</v>
      </c>
      <c r="G320" s="7" t="n">
        <f aca="false">D320*F320</f>
        <v>36000</v>
      </c>
      <c r="H320" s="2" t="str">
        <f aca="false">INDEX(Daftar_Menu!$B$2:$B$13,MATCH(C320,Daftar_Menu!$A$2:$A$13,0))</f>
        <v>Makanan</v>
      </c>
      <c r="I320" s="2" t="str">
        <f aca="false">CHOOSE(WEEKDAY(B320,2),"Senin","Selasa","Rabu","Kamis","Jumat","Sabtu","Minggu")</f>
        <v>Sabtu</v>
      </c>
      <c r="J320" s="2" t="n">
        <f aca="false">HOUR(E320)</f>
        <v>12</v>
      </c>
      <c r="K320" s="2" t="str">
        <f aca="false">IF(J320&lt;11,"Pagi",IF(J320&lt;17,"Siang","Malam"))</f>
        <v>Siang</v>
      </c>
      <c r="L320" s="2" t="n">
        <f aca="false">IF(A320&lt;&gt;A319,1,0)</f>
        <v>1</v>
      </c>
    </row>
    <row r="321" customFormat="false" ht="15" hidden="false" customHeight="false" outlineLevel="0" collapsed="false">
      <c r="A321" s="2" t="s">
        <v>454</v>
      </c>
      <c r="B321" s="13" t="n">
        <v>46270</v>
      </c>
      <c r="C321" s="2" t="s">
        <v>108</v>
      </c>
      <c r="D321" s="2" t="n">
        <v>1</v>
      </c>
      <c r="E321" s="15" t="n">
        <v>0.508333333333333</v>
      </c>
      <c r="F321" s="7" t="n">
        <v>20000</v>
      </c>
      <c r="G321" s="7" t="n">
        <f aca="false">D321*F321</f>
        <v>20000</v>
      </c>
      <c r="H321" s="2" t="str">
        <f aca="false">INDEX(Daftar_Menu!$B$2:$B$13,MATCH(C321,Daftar_Menu!$A$2:$A$13,0))</f>
        <v>Makanan</v>
      </c>
      <c r="I321" s="2" t="str">
        <f aca="false">CHOOSE(WEEKDAY(B321,2),"Senin","Selasa","Rabu","Kamis","Jumat","Sabtu","Minggu")</f>
        <v>Sabtu</v>
      </c>
      <c r="J321" s="2" t="n">
        <f aca="false">HOUR(E321)</f>
        <v>12</v>
      </c>
      <c r="K321" s="2" t="str">
        <f aca="false">IF(J321&lt;11,"Pagi",IF(J321&lt;17,"Siang","Malam"))</f>
        <v>Siang</v>
      </c>
      <c r="L321" s="2" t="n">
        <f aca="false">IF(A321&lt;&gt;A320,1,0)</f>
        <v>0</v>
      </c>
    </row>
    <row r="322" customFormat="false" ht="15" hidden="false" customHeight="false" outlineLevel="0" collapsed="false">
      <c r="A322" s="2" t="s">
        <v>456</v>
      </c>
      <c r="B322" s="13" t="n">
        <v>46270</v>
      </c>
      <c r="C322" s="2" t="s">
        <v>126</v>
      </c>
      <c r="D322" s="2" t="n">
        <v>2</v>
      </c>
      <c r="E322" s="15" t="n">
        <v>0.5125</v>
      </c>
      <c r="F322" s="7" t="n">
        <v>3000</v>
      </c>
      <c r="G322" s="7" t="n">
        <f aca="false">D322*F322</f>
        <v>6000</v>
      </c>
      <c r="H322" s="2" t="str">
        <f aca="false">INDEX(Daftar_Menu!$B$2:$B$13,MATCH(C322,Daftar_Menu!$A$2:$A$13,0))</f>
        <v>Minuman</v>
      </c>
      <c r="I322" s="2" t="str">
        <f aca="false">CHOOSE(WEEKDAY(B322,2),"Senin","Selasa","Rabu","Kamis","Jumat","Sabtu","Minggu")</f>
        <v>Sabtu</v>
      </c>
      <c r="J322" s="2" t="n">
        <f aca="false">HOUR(E322)</f>
        <v>12</v>
      </c>
      <c r="K322" s="2" t="str">
        <f aca="false">IF(J322&lt;11,"Pagi",IF(J322&lt;17,"Siang","Malam"))</f>
        <v>Siang</v>
      </c>
      <c r="L322" s="2" t="n">
        <f aca="false">IF(A322&lt;&gt;A321,1,0)</f>
        <v>1</v>
      </c>
    </row>
    <row r="323" customFormat="false" ht="15" hidden="false" customHeight="false" outlineLevel="0" collapsed="false">
      <c r="A323" s="2" t="s">
        <v>456</v>
      </c>
      <c r="B323" s="13" t="n">
        <v>46270</v>
      </c>
      <c r="C323" s="2" t="s">
        <v>108</v>
      </c>
      <c r="D323" s="2" t="n">
        <v>3</v>
      </c>
      <c r="E323" s="15" t="n">
        <v>0.5125</v>
      </c>
      <c r="F323" s="7" t="n">
        <v>20000</v>
      </c>
      <c r="G323" s="7" t="n">
        <f aca="false">D323*F323</f>
        <v>60000</v>
      </c>
      <c r="H323" s="2" t="str">
        <f aca="false">INDEX(Daftar_Menu!$B$2:$B$13,MATCH(C323,Daftar_Menu!$A$2:$A$13,0))</f>
        <v>Makanan</v>
      </c>
      <c r="I323" s="2" t="str">
        <f aca="false">CHOOSE(WEEKDAY(B323,2),"Senin","Selasa","Rabu","Kamis","Jumat","Sabtu","Minggu")</f>
        <v>Sabtu</v>
      </c>
      <c r="J323" s="2" t="n">
        <f aca="false">HOUR(E323)</f>
        <v>12</v>
      </c>
      <c r="K323" s="2" t="str">
        <f aca="false">IF(J323&lt;11,"Pagi",IF(J323&lt;17,"Siang","Malam"))</f>
        <v>Siang</v>
      </c>
      <c r="L323" s="2" t="n">
        <f aca="false">IF(A323&lt;&gt;A322,1,0)</f>
        <v>0</v>
      </c>
    </row>
    <row r="324" customFormat="false" ht="15" hidden="false" customHeight="false" outlineLevel="0" collapsed="false">
      <c r="A324" s="2" t="s">
        <v>456</v>
      </c>
      <c r="B324" s="13" t="n">
        <v>46270</v>
      </c>
      <c r="C324" s="2" t="s">
        <v>132</v>
      </c>
      <c r="D324" s="2" t="n">
        <v>1</v>
      </c>
      <c r="E324" s="15" t="n">
        <v>0.5125</v>
      </c>
      <c r="F324" s="7" t="n">
        <v>15000</v>
      </c>
      <c r="G324" s="7" t="n">
        <f aca="false">D324*F324</f>
        <v>15000</v>
      </c>
      <c r="H324" s="2" t="str">
        <f aca="false">INDEX(Daftar_Menu!$B$2:$B$13,MATCH(C324,Daftar_Menu!$A$2:$A$13,0))</f>
        <v>Makanan</v>
      </c>
      <c r="I324" s="2" t="str">
        <f aca="false">CHOOSE(WEEKDAY(B324,2),"Senin","Selasa","Rabu","Kamis","Jumat","Sabtu","Minggu")</f>
        <v>Sabtu</v>
      </c>
      <c r="J324" s="2" t="n">
        <f aca="false">HOUR(E324)</f>
        <v>12</v>
      </c>
      <c r="K324" s="2" t="str">
        <f aca="false">IF(J324&lt;11,"Pagi",IF(J324&lt;17,"Siang","Malam"))</f>
        <v>Siang</v>
      </c>
      <c r="L324" s="2" t="n">
        <f aca="false">IF(A324&lt;&gt;A323,1,0)</f>
        <v>0</v>
      </c>
    </row>
    <row r="325" customFormat="false" ht="15" hidden="false" customHeight="false" outlineLevel="0" collapsed="false">
      <c r="A325" s="2" t="s">
        <v>458</v>
      </c>
      <c r="B325" s="13" t="n">
        <v>46270</v>
      </c>
      <c r="C325" s="2" t="s">
        <v>92</v>
      </c>
      <c r="D325" s="2" t="n">
        <v>1</v>
      </c>
      <c r="E325" s="15" t="n">
        <v>0.514583333333333</v>
      </c>
      <c r="F325" s="7" t="n">
        <v>4000</v>
      </c>
      <c r="G325" s="7" t="n">
        <f aca="false">D325*F325</f>
        <v>4000</v>
      </c>
      <c r="H325" s="2" t="str">
        <f aca="false">INDEX(Daftar_Menu!$B$2:$B$13,MATCH(C325,Daftar_Menu!$A$2:$A$13,0))</f>
        <v>Minuman</v>
      </c>
      <c r="I325" s="2" t="str">
        <f aca="false">CHOOSE(WEEKDAY(B325,2),"Senin","Selasa","Rabu","Kamis","Jumat","Sabtu","Minggu")</f>
        <v>Sabtu</v>
      </c>
      <c r="J325" s="2" t="n">
        <f aca="false">HOUR(E325)</f>
        <v>12</v>
      </c>
      <c r="K325" s="2" t="str">
        <f aca="false">IF(J325&lt;11,"Pagi",IF(J325&lt;17,"Siang","Malam"))</f>
        <v>Siang</v>
      </c>
      <c r="L325" s="2" t="n">
        <f aca="false">IF(A325&lt;&gt;A324,1,0)</f>
        <v>1</v>
      </c>
    </row>
    <row r="326" customFormat="false" ht="15" hidden="false" customHeight="false" outlineLevel="0" collapsed="false">
      <c r="A326" s="2" t="s">
        <v>460</v>
      </c>
      <c r="B326" s="13" t="n">
        <v>46270</v>
      </c>
      <c r="C326" s="2" t="s">
        <v>132</v>
      </c>
      <c r="D326" s="2" t="n">
        <v>1</v>
      </c>
      <c r="E326" s="15" t="n">
        <v>0.518055555555556</v>
      </c>
      <c r="F326" s="7" t="n">
        <v>15000</v>
      </c>
      <c r="G326" s="7" t="n">
        <f aca="false">D326*F326</f>
        <v>15000</v>
      </c>
      <c r="H326" s="2" t="str">
        <f aca="false">INDEX(Daftar_Menu!$B$2:$B$13,MATCH(C326,Daftar_Menu!$A$2:$A$13,0))</f>
        <v>Makanan</v>
      </c>
      <c r="I326" s="2" t="str">
        <f aca="false">CHOOSE(WEEKDAY(B326,2),"Senin","Selasa","Rabu","Kamis","Jumat","Sabtu","Minggu")</f>
        <v>Sabtu</v>
      </c>
      <c r="J326" s="2" t="n">
        <f aca="false">HOUR(E326)</f>
        <v>12</v>
      </c>
      <c r="K326" s="2" t="str">
        <f aca="false">IF(J326&lt;11,"Pagi",IF(J326&lt;17,"Siang","Malam"))</f>
        <v>Siang</v>
      </c>
      <c r="L326" s="2" t="n">
        <f aca="false">IF(A326&lt;&gt;A325,1,0)</f>
        <v>1</v>
      </c>
    </row>
    <row r="327" customFormat="false" ht="15" hidden="false" customHeight="false" outlineLevel="0" collapsed="false">
      <c r="A327" s="2" t="s">
        <v>462</v>
      </c>
      <c r="B327" s="13" t="n">
        <v>46270</v>
      </c>
      <c r="C327" s="2" t="s">
        <v>84</v>
      </c>
      <c r="D327" s="2" t="n">
        <v>1</v>
      </c>
      <c r="E327" s="15" t="n">
        <v>0.518055555555556</v>
      </c>
      <c r="F327" s="7" t="n">
        <v>5000</v>
      </c>
      <c r="G327" s="7" t="n">
        <f aca="false">D327*F327</f>
        <v>5000</v>
      </c>
      <c r="H327" s="2" t="str">
        <f aca="false">INDEX(Daftar_Menu!$B$2:$B$13,MATCH(C327,Daftar_Menu!$A$2:$A$13,0))</f>
        <v>Minuman</v>
      </c>
      <c r="I327" s="2" t="str">
        <f aca="false">CHOOSE(WEEKDAY(B327,2),"Senin","Selasa","Rabu","Kamis","Jumat","Sabtu","Minggu")</f>
        <v>Sabtu</v>
      </c>
      <c r="J327" s="2" t="n">
        <f aca="false">HOUR(E327)</f>
        <v>12</v>
      </c>
      <c r="K327" s="2" t="str">
        <f aca="false">IF(J327&lt;11,"Pagi",IF(J327&lt;17,"Siang","Malam"))</f>
        <v>Siang</v>
      </c>
      <c r="L327" s="2" t="n">
        <f aca="false">IF(A327&lt;&gt;A326,1,0)</f>
        <v>1</v>
      </c>
    </row>
    <row r="328" customFormat="false" ht="15" hidden="false" customHeight="false" outlineLevel="0" collapsed="false">
      <c r="A328" s="2" t="s">
        <v>463</v>
      </c>
      <c r="B328" s="13" t="n">
        <v>46270</v>
      </c>
      <c r="C328" s="2" t="s">
        <v>101</v>
      </c>
      <c r="D328" s="2" t="n">
        <v>1</v>
      </c>
      <c r="E328" s="15" t="n">
        <v>0.51875</v>
      </c>
      <c r="F328" s="7" t="n">
        <v>18000</v>
      </c>
      <c r="G328" s="7" t="n">
        <f aca="false">D328*F328</f>
        <v>18000</v>
      </c>
      <c r="H328" s="2" t="str">
        <f aca="false">INDEX(Daftar_Menu!$B$2:$B$13,MATCH(C328,Daftar_Menu!$A$2:$A$13,0))</f>
        <v>Makanan</v>
      </c>
      <c r="I328" s="2" t="str">
        <f aca="false">CHOOSE(WEEKDAY(B328,2),"Senin","Selasa","Rabu","Kamis","Jumat","Sabtu","Minggu")</f>
        <v>Sabtu</v>
      </c>
      <c r="J328" s="2" t="n">
        <f aca="false">HOUR(E328)</f>
        <v>12</v>
      </c>
      <c r="K328" s="2" t="str">
        <f aca="false">IF(J328&lt;11,"Pagi",IF(J328&lt;17,"Siang","Malam"))</f>
        <v>Siang</v>
      </c>
      <c r="L328" s="2" t="n">
        <f aca="false">IF(A328&lt;&gt;A327,1,0)</f>
        <v>1</v>
      </c>
    </row>
    <row r="329" customFormat="false" ht="15" hidden="false" customHeight="false" outlineLevel="0" collapsed="false">
      <c r="A329" s="2" t="s">
        <v>465</v>
      </c>
      <c r="B329" s="13" t="n">
        <v>46270</v>
      </c>
      <c r="C329" s="2" t="s">
        <v>81</v>
      </c>
      <c r="D329" s="2" t="n">
        <v>1</v>
      </c>
      <c r="E329" s="15" t="n">
        <v>0.522916666666667</v>
      </c>
      <c r="F329" s="7" t="n">
        <v>15000</v>
      </c>
      <c r="G329" s="7" t="n">
        <f aca="false">D329*F329</f>
        <v>15000</v>
      </c>
      <c r="H329" s="2" t="str">
        <f aca="false">INDEX(Daftar_Menu!$B$2:$B$13,MATCH(C329,Daftar_Menu!$A$2:$A$13,0))</f>
        <v>Makanan</v>
      </c>
      <c r="I329" s="2" t="str">
        <f aca="false">CHOOSE(WEEKDAY(B329,2),"Senin","Selasa","Rabu","Kamis","Jumat","Sabtu","Minggu")</f>
        <v>Sabtu</v>
      </c>
      <c r="J329" s="2" t="n">
        <f aca="false">HOUR(E329)</f>
        <v>12</v>
      </c>
      <c r="K329" s="2" t="str">
        <f aca="false">IF(J329&lt;11,"Pagi",IF(J329&lt;17,"Siang","Malam"))</f>
        <v>Siang</v>
      </c>
      <c r="L329" s="2" t="n">
        <f aca="false">IF(A329&lt;&gt;A328,1,0)</f>
        <v>1</v>
      </c>
    </row>
    <row r="330" customFormat="false" ht="15" hidden="false" customHeight="false" outlineLevel="0" collapsed="false">
      <c r="A330" s="2" t="s">
        <v>467</v>
      </c>
      <c r="B330" s="13" t="n">
        <v>46270</v>
      </c>
      <c r="C330" s="2" t="s">
        <v>108</v>
      </c>
      <c r="D330" s="2" t="n">
        <v>1</v>
      </c>
      <c r="E330" s="15" t="n">
        <v>0.534027777777778</v>
      </c>
      <c r="F330" s="7" t="n">
        <v>20000</v>
      </c>
      <c r="G330" s="7" t="n">
        <f aca="false">D330*F330</f>
        <v>20000</v>
      </c>
      <c r="H330" s="2" t="str">
        <f aca="false">INDEX(Daftar_Menu!$B$2:$B$13,MATCH(C330,Daftar_Menu!$A$2:$A$13,0))</f>
        <v>Makanan</v>
      </c>
      <c r="I330" s="2" t="str">
        <f aca="false">CHOOSE(WEEKDAY(B330,2),"Senin","Selasa","Rabu","Kamis","Jumat","Sabtu","Minggu")</f>
        <v>Sabtu</v>
      </c>
      <c r="J330" s="2" t="n">
        <f aca="false">HOUR(E330)</f>
        <v>12</v>
      </c>
      <c r="K330" s="2" t="str">
        <f aca="false">IF(J330&lt;11,"Pagi",IF(J330&lt;17,"Siang","Malam"))</f>
        <v>Siang</v>
      </c>
      <c r="L330" s="2" t="n">
        <f aca="false">IF(A330&lt;&gt;A329,1,0)</f>
        <v>1</v>
      </c>
    </row>
    <row r="331" customFormat="false" ht="15" hidden="false" customHeight="false" outlineLevel="0" collapsed="false">
      <c r="A331" s="2" t="s">
        <v>469</v>
      </c>
      <c r="B331" s="13" t="n">
        <v>46270</v>
      </c>
      <c r="C331" s="2" t="s">
        <v>89</v>
      </c>
      <c r="D331" s="2" t="n">
        <v>1</v>
      </c>
      <c r="E331" s="15" t="n">
        <v>0.539583333333333</v>
      </c>
      <c r="F331" s="7" t="n">
        <v>14000</v>
      </c>
      <c r="G331" s="7" t="n">
        <f aca="false">D331*F331</f>
        <v>14000</v>
      </c>
      <c r="H331" s="2" t="str">
        <f aca="false">INDEX(Daftar_Menu!$B$2:$B$13,MATCH(C331,Daftar_Menu!$A$2:$A$13,0))</f>
        <v>Makanan</v>
      </c>
      <c r="I331" s="2" t="str">
        <f aca="false">CHOOSE(WEEKDAY(B331,2),"Senin","Selasa","Rabu","Kamis","Jumat","Sabtu","Minggu")</f>
        <v>Sabtu</v>
      </c>
      <c r="J331" s="2" t="n">
        <f aca="false">HOUR(E331)</f>
        <v>12</v>
      </c>
      <c r="K331" s="2" t="str">
        <f aca="false">IF(J331&lt;11,"Pagi",IF(J331&lt;17,"Siang","Malam"))</f>
        <v>Siang</v>
      </c>
      <c r="L331" s="2" t="n">
        <f aca="false">IF(A331&lt;&gt;A330,1,0)</f>
        <v>1</v>
      </c>
    </row>
    <row r="332" customFormat="false" ht="15" hidden="false" customHeight="false" outlineLevel="0" collapsed="false">
      <c r="A332" s="2" t="s">
        <v>469</v>
      </c>
      <c r="B332" s="13" t="n">
        <v>46270</v>
      </c>
      <c r="C332" s="2" t="s">
        <v>81</v>
      </c>
      <c r="D332" s="2" t="n">
        <v>1</v>
      </c>
      <c r="E332" s="15" t="n">
        <v>0.539583333333333</v>
      </c>
      <c r="F332" s="7" t="n">
        <v>15000</v>
      </c>
      <c r="G332" s="7" t="n">
        <f aca="false">D332*F332</f>
        <v>15000</v>
      </c>
      <c r="H332" s="2" t="str">
        <f aca="false">INDEX(Daftar_Menu!$B$2:$B$13,MATCH(C332,Daftar_Menu!$A$2:$A$13,0))</f>
        <v>Makanan</v>
      </c>
      <c r="I332" s="2" t="str">
        <f aca="false">CHOOSE(WEEKDAY(B332,2),"Senin","Selasa","Rabu","Kamis","Jumat","Sabtu","Minggu")</f>
        <v>Sabtu</v>
      </c>
      <c r="J332" s="2" t="n">
        <f aca="false">HOUR(E332)</f>
        <v>12</v>
      </c>
      <c r="K332" s="2" t="str">
        <f aca="false">IF(J332&lt;11,"Pagi",IF(J332&lt;17,"Siang","Malam"))</f>
        <v>Siang</v>
      </c>
      <c r="L332" s="2" t="n">
        <f aca="false">IF(A332&lt;&gt;A331,1,0)</f>
        <v>0</v>
      </c>
    </row>
    <row r="333" customFormat="false" ht="15" hidden="false" customHeight="false" outlineLevel="0" collapsed="false">
      <c r="A333" s="2" t="s">
        <v>471</v>
      </c>
      <c r="B333" s="13" t="n">
        <v>46270</v>
      </c>
      <c r="C333" s="2" t="s">
        <v>132</v>
      </c>
      <c r="D333" s="2" t="n">
        <v>1</v>
      </c>
      <c r="E333" s="15" t="n">
        <v>0.542361111111111</v>
      </c>
      <c r="F333" s="7" t="n">
        <v>15000</v>
      </c>
      <c r="G333" s="7" t="n">
        <f aca="false">D333*F333</f>
        <v>15000</v>
      </c>
      <c r="H333" s="2" t="str">
        <f aca="false">INDEX(Daftar_Menu!$B$2:$B$13,MATCH(C333,Daftar_Menu!$A$2:$A$13,0))</f>
        <v>Makanan</v>
      </c>
      <c r="I333" s="2" t="str">
        <f aca="false">CHOOSE(WEEKDAY(B333,2),"Senin","Selasa","Rabu","Kamis","Jumat","Sabtu","Minggu")</f>
        <v>Sabtu</v>
      </c>
      <c r="J333" s="2" t="n">
        <f aca="false">HOUR(E333)</f>
        <v>13</v>
      </c>
      <c r="K333" s="2" t="str">
        <f aca="false">IF(J333&lt;11,"Pagi",IF(J333&lt;17,"Siang","Malam"))</f>
        <v>Siang</v>
      </c>
      <c r="L333" s="2" t="n">
        <f aca="false">IF(A333&lt;&gt;A332,1,0)</f>
        <v>1</v>
      </c>
    </row>
    <row r="334" customFormat="false" ht="15" hidden="false" customHeight="false" outlineLevel="0" collapsed="false">
      <c r="A334" s="2" t="s">
        <v>473</v>
      </c>
      <c r="B334" s="13" t="n">
        <v>46270</v>
      </c>
      <c r="C334" s="2" t="s">
        <v>84</v>
      </c>
      <c r="D334" s="2" t="n">
        <v>1</v>
      </c>
      <c r="E334" s="15" t="n">
        <v>0.555555555555556</v>
      </c>
      <c r="F334" s="7" t="n">
        <v>5000</v>
      </c>
      <c r="G334" s="7" t="n">
        <f aca="false">D334*F334</f>
        <v>5000</v>
      </c>
      <c r="H334" s="2" t="str">
        <f aca="false">INDEX(Daftar_Menu!$B$2:$B$13,MATCH(C334,Daftar_Menu!$A$2:$A$13,0))</f>
        <v>Minuman</v>
      </c>
      <c r="I334" s="2" t="str">
        <f aca="false">CHOOSE(WEEKDAY(B334,2),"Senin","Selasa","Rabu","Kamis","Jumat","Sabtu","Minggu")</f>
        <v>Sabtu</v>
      </c>
      <c r="J334" s="2" t="n">
        <f aca="false">HOUR(E334)</f>
        <v>13</v>
      </c>
      <c r="K334" s="2" t="str">
        <f aca="false">IF(J334&lt;11,"Pagi",IF(J334&lt;17,"Siang","Malam"))</f>
        <v>Siang</v>
      </c>
      <c r="L334" s="2" t="n">
        <f aca="false">IF(A334&lt;&gt;A333,1,0)</f>
        <v>1</v>
      </c>
    </row>
    <row r="335" customFormat="false" ht="15" hidden="false" customHeight="false" outlineLevel="0" collapsed="false">
      <c r="A335" s="2" t="s">
        <v>475</v>
      </c>
      <c r="B335" s="13" t="n">
        <v>46270</v>
      </c>
      <c r="C335" s="2" t="s">
        <v>186</v>
      </c>
      <c r="D335" s="2" t="n">
        <v>1</v>
      </c>
      <c r="E335" s="15" t="n">
        <v>0.558333333333333</v>
      </c>
      <c r="F335" s="7" t="n">
        <v>7000</v>
      </c>
      <c r="G335" s="7" t="n">
        <f aca="false">D335*F335</f>
        <v>7000</v>
      </c>
      <c r="H335" s="2" t="str">
        <f aca="false">INDEX(Daftar_Menu!$B$2:$B$13,MATCH(C335,Daftar_Menu!$A$2:$A$13,0))</f>
        <v>Minuman</v>
      </c>
      <c r="I335" s="2" t="str">
        <f aca="false">CHOOSE(WEEKDAY(B335,2),"Senin","Selasa","Rabu","Kamis","Jumat","Sabtu","Minggu")</f>
        <v>Sabtu</v>
      </c>
      <c r="J335" s="2" t="n">
        <f aca="false">HOUR(E335)</f>
        <v>13</v>
      </c>
      <c r="K335" s="2" t="str">
        <f aca="false">IF(J335&lt;11,"Pagi",IF(J335&lt;17,"Siang","Malam"))</f>
        <v>Siang</v>
      </c>
      <c r="L335" s="2" t="n">
        <f aca="false">IF(A335&lt;&gt;A334,1,0)</f>
        <v>1</v>
      </c>
    </row>
    <row r="336" customFormat="false" ht="15" hidden="false" customHeight="false" outlineLevel="0" collapsed="false">
      <c r="A336" s="2" t="s">
        <v>476</v>
      </c>
      <c r="B336" s="13" t="n">
        <v>46270</v>
      </c>
      <c r="C336" s="2" t="s">
        <v>84</v>
      </c>
      <c r="D336" s="2" t="n">
        <v>1</v>
      </c>
      <c r="E336" s="15" t="n">
        <v>0.561805555555556</v>
      </c>
      <c r="F336" s="7" t="n">
        <v>5000</v>
      </c>
      <c r="G336" s="7" t="n">
        <f aca="false">D336*F336</f>
        <v>5000</v>
      </c>
      <c r="H336" s="2" t="str">
        <f aca="false">INDEX(Daftar_Menu!$B$2:$B$13,MATCH(C336,Daftar_Menu!$A$2:$A$13,0))</f>
        <v>Minuman</v>
      </c>
      <c r="I336" s="2" t="str">
        <f aca="false">CHOOSE(WEEKDAY(B336,2),"Senin","Selasa","Rabu","Kamis","Jumat","Sabtu","Minggu")</f>
        <v>Sabtu</v>
      </c>
      <c r="J336" s="2" t="n">
        <f aca="false">HOUR(E336)</f>
        <v>13</v>
      </c>
      <c r="K336" s="2" t="str">
        <f aca="false">IF(J336&lt;11,"Pagi",IF(J336&lt;17,"Siang","Malam"))</f>
        <v>Siang</v>
      </c>
      <c r="L336" s="2" t="n">
        <f aca="false">IF(A336&lt;&gt;A335,1,0)</f>
        <v>1</v>
      </c>
    </row>
    <row r="337" customFormat="false" ht="15" hidden="false" customHeight="false" outlineLevel="0" collapsed="false">
      <c r="A337" s="2" t="s">
        <v>476</v>
      </c>
      <c r="B337" s="13" t="n">
        <v>46270</v>
      </c>
      <c r="C337" s="2" t="s">
        <v>132</v>
      </c>
      <c r="D337" s="2" t="n">
        <v>1</v>
      </c>
      <c r="E337" s="15" t="n">
        <v>0.561805555555556</v>
      </c>
      <c r="F337" s="7" t="n">
        <v>15000</v>
      </c>
      <c r="G337" s="7" t="n">
        <f aca="false">D337*F337</f>
        <v>15000</v>
      </c>
      <c r="H337" s="2" t="str">
        <f aca="false">INDEX(Daftar_Menu!$B$2:$B$13,MATCH(C337,Daftar_Menu!$A$2:$A$13,0))</f>
        <v>Makanan</v>
      </c>
      <c r="I337" s="2" t="str">
        <f aca="false">CHOOSE(WEEKDAY(B337,2),"Senin","Selasa","Rabu","Kamis","Jumat","Sabtu","Minggu")</f>
        <v>Sabtu</v>
      </c>
      <c r="J337" s="2" t="n">
        <f aca="false">HOUR(E337)</f>
        <v>13</v>
      </c>
      <c r="K337" s="2" t="str">
        <f aca="false">IF(J337&lt;11,"Pagi",IF(J337&lt;17,"Siang","Malam"))</f>
        <v>Siang</v>
      </c>
      <c r="L337" s="2" t="n">
        <f aca="false">IF(A337&lt;&gt;A336,1,0)</f>
        <v>0</v>
      </c>
    </row>
    <row r="338" customFormat="false" ht="15" hidden="false" customHeight="false" outlineLevel="0" collapsed="false">
      <c r="A338" s="2" t="s">
        <v>476</v>
      </c>
      <c r="B338" s="13" t="n">
        <v>46270</v>
      </c>
      <c r="C338" s="2" t="s">
        <v>186</v>
      </c>
      <c r="D338" s="2" t="n">
        <v>2</v>
      </c>
      <c r="E338" s="15" t="n">
        <v>0.561805555555556</v>
      </c>
      <c r="F338" s="7" t="n">
        <v>7000</v>
      </c>
      <c r="G338" s="7" t="n">
        <f aca="false">D338*F338</f>
        <v>14000</v>
      </c>
      <c r="H338" s="2" t="str">
        <f aca="false">INDEX(Daftar_Menu!$B$2:$B$13,MATCH(C338,Daftar_Menu!$A$2:$A$13,0))</f>
        <v>Minuman</v>
      </c>
      <c r="I338" s="2" t="str">
        <f aca="false">CHOOSE(WEEKDAY(B338,2),"Senin","Selasa","Rabu","Kamis","Jumat","Sabtu","Minggu")</f>
        <v>Sabtu</v>
      </c>
      <c r="J338" s="2" t="n">
        <f aca="false">HOUR(E338)</f>
        <v>13</v>
      </c>
      <c r="K338" s="2" t="str">
        <f aca="false">IF(J338&lt;11,"Pagi",IF(J338&lt;17,"Siang","Malam"))</f>
        <v>Siang</v>
      </c>
      <c r="L338" s="2" t="n">
        <f aca="false">IF(A338&lt;&gt;A337,1,0)</f>
        <v>0</v>
      </c>
    </row>
    <row r="339" customFormat="false" ht="15" hidden="false" customHeight="false" outlineLevel="0" collapsed="false">
      <c r="A339" s="2" t="s">
        <v>478</v>
      </c>
      <c r="B339" s="13" t="n">
        <v>46270</v>
      </c>
      <c r="C339" s="2" t="s">
        <v>92</v>
      </c>
      <c r="D339" s="2" t="n">
        <v>1</v>
      </c>
      <c r="E339" s="15" t="n">
        <v>0.583333333333333</v>
      </c>
      <c r="F339" s="7" t="n">
        <v>4000</v>
      </c>
      <c r="G339" s="7" t="n">
        <f aca="false">D339*F339</f>
        <v>4000</v>
      </c>
      <c r="H339" s="2" t="str">
        <f aca="false">INDEX(Daftar_Menu!$B$2:$B$13,MATCH(C339,Daftar_Menu!$A$2:$A$13,0))</f>
        <v>Minuman</v>
      </c>
      <c r="I339" s="2" t="str">
        <f aca="false">CHOOSE(WEEKDAY(B339,2),"Senin","Selasa","Rabu","Kamis","Jumat","Sabtu","Minggu")</f>
        <v>Sabtu</v>
      </c>
      <c r="J339" s="2" t="n">
        <f aca="false">HOUR(E339)</f>
        <v>14</v>
      </c>
      <c r="K339" s="2" t="str">
        <f aca="false">IF(J339&lt;11,"Pagi",IF(J339&lt;17,"Siang","Malam"))</f>
        <v>Siang</v>
      </c>
      <c r="L339" s="2" t="n">
        <f aca="false">IF(A339&lt;&gt;A338,1,0)</f>
        <v>1</v>
      </c>
    </row>
    <row r="340" customFormat="false" ht="15" hidden="false" customHeight="false" outlineLevel="0" collapsed="false">
      <c r="A340" s="2" t="s">
        <v>480</v>
      </c>
      <c r="B340" s="13" t="n">
        <v>46270</v>
      </c>
      <c r="C340" s="2" t="s">
        <v>84</v>
      </c>
      <c r="D340" s="2" t="n">
        <v>1</v>
      </c>
      <c r="E340" s="15" t="n">
        <v>0.593055555555556</v>
      </c>
      <c r="F340" s="7" t="n">
        <v>5000</v>
      </c>
      <c r="G340" s="7" t="n">
        <f aca="false">D340*F340</f>
        <v>5000</v>
      </c>
      <c r="H340" s="2" t="str">
        <f aca="false">INDEX(Daftar_Menu!$B$2:$B$13,MATCH(C340,Daftar_Menu!$A$2:$A$13,0))</f>
        <v>Minuman</v>
      </c>
      <c r="I340" s="2" t="str">
        <f aca="false">CHOOSE(WEEKDAY(B340,2),"Senin","Selasa","Rabu","Kamis","Jumat","Sabtu","Minggu")</f>
        <v>Sabtu</v>
      </c>
      <c r="J340" s="2" t="n">
        <f aca="false">HOUR(E340)</f>
        <v>14</v>
      </c>
      <c r="K340" s="2" t="str">
        <f aca="false">IF(J340&lt;11,"Pagi",IF(J340&lt;17,"Siang","Malam"))</f>
        <v>Siang</v>
      </c>
      <c r="L340" s="2" t="n">
        <f aca="false">IF(A340&lt;&gt;A339,1,0)</f>
        <v>1</v>
      </c>
    </row>
    <row r="341" customFormat="false" ht="15" hidden="false" customHeight="false" outlineLevel="0" collapsed="false">
      <c r="A341" s="2" t="s">
        <v>480</v>
      </c>
      <c r="B341" s="13" t="n">
        <v>46270</v>
      </c>
      <c r="C341" s="2" t="s">
        <v>108</v>
      </c>
      <c r="D341" s="2" t="n">
        <v>3</v>
      </c>
      <c r="E341" s="15" t="n">
        <v>0.593055555555556</v>
      </c>
      <c r="F341" s="7" t="n">
        <v>20000</v>
      </c>
      <c r="G341" s="7" t="n">
        <f aca="false">D341*F341</f>
        <v>60000</v>
      </c>
      <c r="H341" s="2" t="str">
        <f aca="false">INDEX(Daftar_Menu!$B$2:$B$13,MATCH(C341,Daftar_Menu!$A$2:$A$13,0))</f>
        <v>Makanan</v>
      </c>
      <c r="I341" s="2" t="str">
        <f aca="false">CHOOSE(WEEKDAY(B341,2),"Senin","Selasa","Rabu","Kamis","Jumat","Sabtu","Minggu")</f>
        <v>Sabtu</v>
      </c>
      <c r="J341" s="2" t="n">
        <f aca="false">HOUR(E341)</f>
        <v>14</v>
      </c>
      <c r="K341" s="2" t="str">
        <f aca="false">IF(J341&lt;11,"Pagi",IF(J341&lt;17,"Siang","Malam"))</f>
        <v>Siang</v>
      </c>
      <c r="L341" s="2" t="n">
        <f aca="false">IF(A341&lt;&gt;A340,1,0)</f>
        <v>0</v>
      </c>
    </row>
    <row r="342" customFormat="false" ht="15" hidden="false" customHeight="false" outlineLevel="0" collapsed="false">
      <c r="A342" s="2" t="s">
        <v>482</v>
      </c>
      <c r="B342" s="13" t="n">
        <v>46270</v>
      </c>
      <c r="C342" s="2" t="s">
        <v>186</v>
      </c>
      <c r="D342" s="2" t="n">
        <v>1</v>
      </c>
      <c r="E342" s="15" t="n">
        <v>0.636111111111111</v>
      </c>
      <c r="F342" s="7" t="n">
        <v>7000</v>
      </c>
      <c r="G342" s="7" t="n">
        <f aca="false">D342*F342</f>
        <v>7000</v>
      </c>
      <c r="H342" s="2" t="str">
        <f aca="false">INDEX(Daftar_Menu!$B$2:$B$13,MATCH(C342,Daftar_Menu!$A$2:$A$13,0))</f>
        <v>Minuman</v>
      </c>
      <c r="I342" s="2" t="str">
        <f aca="false">CHOOSE(WEEKDAY(B342,2),"Senin","Selasa","Rabu","Kamis","Jumat","Sabtu","Minggu")</f>
        <v>Sabtu</v>
      </c>
      <c r="J342" s="2" t="n">
        <f aca="false">HOUR(E342)</f>
        <v>15</v>
      </c>
      <c r="K342" s="2" t="str">
        <f aca="false">IF(J342&lt;11,"Pagi",IF(J342&lt;17,"Siang","Malam"))</f>
        <v>Siang</v>
      </c>
      <c r="L342" s="2" t="n">
        <f aca="false">IF(A342&lt;&gt;A341,1,0)</f>
        <v>1</v>
      </c>
    </row>
    <row r="343" customFormat="false" ht="15" hidden="false" customHeight="false" outlineLevel="0" collapsed="false">
      <c r="A343" s="2" t="s">
        <v>482</v>
      </c>
      <c r="B343" s="13" t="n">
        <v>46270</v>
      </c>
      <c r="C343" s="2" t="s">
        <v>112</v>
      </c>
      <c r="D343" s="2" t="n">
        <v>1</v>
      </c>
      <c r="E343" s="15" t="n">
        <v>0.636111111111111</v>
      </c>
      <c r="F343" s="7" t="n">
        <v>10000</v>
      </c>
      <c r="G343" s="7" t="n">
        <f aca="false">D343*F343</f>
        <v>10000</v>
      </c>
      <c r="H343" s="2" t="str">
        <f aca="false">INDEX(Daftar_Menu!$B$2:$B$13,MATCH(C343,Daftar_Menu!$A$2:$A$13,0))</f>
        <v>Minuman</v>
      </c>
      <c r="I343" s="2" t="str">
        <f aca="false">CHOOSE(WEEKDAY(B343,2),"Senin","Selasa","Rabu","Kamis","Jumat","Sabtu","Minggu")</f>
        <v>Sabtu</v>
      </c>
      <c r="J343" s="2" t="n">
        <f aca="false">HOUR(E343)</f>
        <v>15</v>
      </c>
      <c r="K343" s="2" t="str">
        <f aca="false">IF(J343&lt;11,"Pagi",IF(J343&lt;17,"Siang","Malam"))</f>
        <v>Siang</v>
      </c>
      <c r="L343" s="2" t="n">
        <f aca="false">IF(A343&lt;&gt;A342,1,0)</f>
        <v>0</v>
      </c>
    </row>
    <row r="344" customFormat="false" ht="15" hidden="false" customHeight="false" outlineLevel="0" collapsed="false">
      <c r="A344" s="2" t="s">
        <v>484</v>
      </c>
      <c r="B344" s="13" t="n">
        <v>46270</v>
      </c>
      <c r="C344" s="2" t="s">
        <v>81</v>
      </c>
      <c r="D344" s="2" t="n">
        <v>1</v>
      </c>
      <c r="E344" s="15" t="n">
        <v>0.651388888888889</v>
      </c>
      <c r="F344" s="7" t="n">
        <v>15000</v>
      </c>
      <c r="G344" s="7" t="n">
        <f aca="false">D344*F344</f>
        <v>15000</v>
      </c>
      <c r="H344" s="2" t="str">
        <f aca="false">INDEX(Daftar_Menu!$B$2:$B$13,MATCH(C344,Daftar_Menu!$A$2:$A$13,0))</f>
        <v>Makanan</v>
      </c>
      <c r="I344" s="2" t="str">
        <f aca="false">CHOOSE(WEEKDAY(B344,2),"Senin","Selasa","Rabu","Kamis","Jumat","Sabtu","Minggu")</f>
        <v>Sabtu</v>
      </c>
      <c r="J344" s="2" t="n">
        <f aca="false">HOUR(E344)</f>
        <v>15</v>
      </c>
      <c r="K344" s="2" t="str">
        <f aca="false">IF(J344&lt;11,"Pagi",IF(J344&lt;17,"Siang","Malam"))</f>
        <v>Siang</v>
      </c>
      <c r="L344" s="2" t="n">
        <f aca="false">IF(A344&lt;&gt;A343,1,0)</f>
        <v>1</v>
      </c>
    </row>
    <row r="345" customFormat="false" ht="15" hidden="false" customHeight="false" outlineLevel="0" collapsed="false">
      <c r="A345" s="2" t="s">
        <v>484</v>
      </c>
      <c r="B345" s="13" t="n">
        <v>46270</v>
      </c>
      <c r="C345" s="2" t="s">
        <v>89</v>
      </c>
      <c r="D345" s="2" t="n">
        <v>1</v>
      </c>
      <c r="E345" s="15" t="n">
        <v>0.651388888888889</v>
      </c>
      <c r="F345" s="7" t="n">
        <v>14000</v>
      </c>
      <c r="G345" s="7" t="n">
        <f aca="false">D345*F345</f>
        <v>14000</v>
      </c>
      <c r="H345" s="2" t="str">
        <f aca="false">INDEX(Daftar_Menu!$B$2:$B$13,MATCH(C345,Daftar_Menu!$A$2:$A$13,0))</f>
        <v>Makanan</v>
      </c>
      <c r="I345" s="2" t="str">
        <f aca="false">CHOOSE(WEEKDAY(B345,2),"Senin","Selasa","Rabu","Kamis","Jumat","Sabtu","Minggu")</f>
        <v>Sabtu</v>
      </c>
      <c r="J345" s="2" t="n">
        <f aca="false">HOUR(E345)</f>
        <v>15</v>
      </c>
      <c r="K345" s="2" t="str">
        <f aca="false">IF(J345&lt;11,"Pagi",IF(J345&lt;17,"Siang","Malam"))</f>
        <v>Siang</v>
      </c>
      <c r="L345" s="2" t="n">
        <f aca="false">IF(A345&lt;&gt;A344,1,0)</f>
        <v>0</v>
      </c>
    </row>
    <row r="346" customFormat="false" ht="15" hidden="false" customHeight="false" outlineLevel="0" collapsed="false">
      <c r="A346" s="2" t="s">
        <v>486</v>
      </c>
      <c r="B346" s="13" t="n">
        <v>46270</v>
      </c>
      <c r="C346" s="2" t="s">
        <v>82</v>
      </c>
      <c r="D346" s="2" t="n">
        <v>1</v>
      </c>
      <c r="E346" s="15" t="n">
        <v>0.678472222222222</v>
      </c>
      <c r="F346" s="7" t="n">
        <v>13000</v>
      </c>
      <c r="G346" s="7" t="n">
        <f aca="false">D346*F346</f>
        <v>13000</v>
      </c>
      <c r="H346" s="2" t="str">
        <f aca="false">INDEX(Daftar_Menu!$B$2:$B$13,MATCH(C346,Daftar_Menu!$A$2:$A$13,0))</f>
        <v>Makanan</v>
      </c>
      <c r="I346" s="2" t="str">
        <f aca="false">CHOOSE(WEEKDAY(B346,2),"Senin","Selasa","Rabu","Kamis","Jumat","Sabtu","Minggu")</f>
        <v>Sabtu</v>
      </c>
      <c r="J346" s="2" t="n">
        <f aca="false">HOUR(E346)</f>
        <v>16</v>
      </c>
      <c r="K346" s="2" t="str">
        <f aca="false">IF(J346&lt;11,"Pagi",IF(J346&lt;17,"Siang","Malam"))</f>
        <v>Siang</v>
      </c>
      <c r="L346" s="2" t="n">
        <f aca="false">IF(A346&lt;&gt;A345,1,0)</f>
        <v>1</v>
      </c>
    </row>
    <row r="347" customFormat="false" ht="15" hidden="false" customHeight="false" outlineLevel="0" collapsed="false">
      <c r="A347" s="2" t="s">
        <v>486</v>
      </c>
      <c r="B347" s="13" t="n">
        <v>46270</v>
      </c>
      <c r="C347" s="2" t="s">
        <v>132</v>
      </c>
      <c r="D347" s="2" t="n">
        <v>1</v>
      </c>
      <c r="E347" s="15" t="n">
        <v>0.678472222222222</v>
      </c>
      <c r="F347" s="7" t="n">
        <v>15000</v>
      </c>
      <c r="G347" s="7" t="n">
        <f aca="false">D347*F347</f>
        <v>15000</v>
      </c>
      <c r="H347" s="2" t="str">
        <f aca="false">INDEX(Daftar_Menu!$B$2:$B$13,MATCH(C347,Daftar_Menu!$A$2:$A$13,0))</f>
        <v>Makanan</v>
      </c>
      <c r="I347" s="2" t="str">
        <f aca="false">CHOOSE(WEEKDAY(B347,2),"Senin","Selasa","Rabu","Kamis","Jumat","Sabtu","Minggu")</f>
        <v>Sabtu</v>
      </c>
      <c r="J347" s="2" t="n">
        <f aca="false">HOUR(E347)</f>
        <v>16</v>
      </c>
      <c r="K347" s="2" t="str">
        <f aca="false">IF(J347&lt;11,"Pagi",IF(J347&lt;17,"Siang","Malam"))</f>
        <v>Siang</v>
      </c>
      <c r="L347" s="2" t="n">
        <f aca="false">IF(A347&lt;&gt;A346,1,0)</f>
        <v>0</v>
      </c>
    </row>
    <row r="348" customFormat="false" ht="15" hidden="false" customHeight="false" outlineLevel="0" collapsed="false">
      <c r="A348" s="2" t="s">
        <v>488</v>
      </c>
      <c r="B348" s="13" t="n">
        <v>46270</v>
      </c>
      <c r="C348" s="2" t="s">
        <v>79</v>
      </c>
      <c r="D348" s="2" t="n">
        <v>1</v>
      </c>
      <c r="E348" s="15" t="n">
        <v>0.681944444444445</v>
      </c>
      <c r="F348" s="7" t="n">
        <v>16000</v>
      </c>
      <c r="G348" s="7" t="n">
        <f aca="false">D348*F348</f>
        <v>16000</v>
      </c>
      <c r="H348" s="2" t="str">
        <f aca="false">INDEX(Daftar_Menu!$B$2:$B$13,MATCH(C348,Daftar_Menu!$A$2:$A$13,0))</f>
        <v>Makanan</v>
      </c>
      <c r="I348" s="2" t="str">
        <f aca="false">CHOOSE(WEEKDAY(B348,2),"Senin","Selasa","Rabu","Kamis","Jumat","Sabtu","Minggu")</f>
        <v>Sabtu</v>
      </c>
      <c r="J348" s="2" t="n">
        <f aca="false">HOUR(E348)</f>
        <v>16</v>
      </c>
      <c r="K348" s="2" t="str">
        <f aca="false">IF(J348&lt;11,"Pagi",IF(J348&lt;17,"Siang","Malam"))</f>
        <v>Siang</v>
      </c>
      <c r="L348" s="2" t="n">
        <f aca="false">IF(A348&lt;&gt;A347,1,0)</f>
        <v>1</v>
      </c>
    </row>
    <row r="349" customFormat="false" ht="15" hidden="false" customHeight="false" outlineLevel="0" collapsed="false">
      <c r="A349" s="2" t="s">
        <v>490</v>
      </c>
      <c r="B349" s="13" t="n">
        <v>46270</v>
      </c>
      <c r="C349" s="2" t="s">
        <v>108</v>
      </c>
      <c r="D349" s="2" t="n">
        <v>1</v>
      </c>
      <c r="E349" s="15" t="n">
        <v>0.703472222222222</v>
      </c>
      <c r="F349" s="7" t="n">
        <v>20000</v>
      </c>
      <c r="G349" s="7" t="n">
        <f aca="false">D349*F349</f>
        <v>20000</v>
      </c>
      <c r="H349" s="2" t="str">
        <f aca="false">INDEX(Daftar_Menu!$B$2:$B$13,MATCH(C349,Daftar_Menu!$A$2:$A$13,0))</f>
        <v>Makanan</v>
      </c>
      <c r="I349" s="2" t="str">
        <f aca="false">CHOOSE(WEEKDAY(B349,2),"Senin","Selasa","Rabu","Kamis","Jumat","Sabtu","Minggu")</f>
        <v>Sabtu</v>
      </c>
      <c r="J349" s="2" t="n">
        <f aca="false">HOUR(E349)</f>
        <v>16</v>
      </c>
      <c r="K349" s="2" t="str">
        <f aca="false">IF(J349&lt;11,"Pagi",IF(J349&lt;17,"Siang","Malam"))</f>
        <v>Siang</v>
      </c>
      <c r="L349" s="2" t="n">
        <f aca="false">IF(A349&lt;&gt;A348,1,0)</f>
        <v>1</v>
      </c>
    </row>
    <row r="350" customFormat="false" ht="15" hidden="false" customHeight="false" outlineLevel="0" collapsed="false">
      <c r="A350" s="2" t="s">
        <v>490</v>
      </c>
      <c r="B350" s="13" t="n">
        <v>46270</v>
      </c>
      <c r="C350" s="2" t="s">
        <v>101</v>
      </c>
      <c r="D350" s="2" t="n">
        <v>2</v>
      </c>
      <c r="E350" s="15" t="n">
        <v>0.703472222222222</v>
      </c>
      <c r="F350" s="7" t="n">
        <v>18000</v>
      </c>
      <c r="G350" s="7" t="n">
        <f aca="false">D350*F350</f>
        <v>36000</v>
      </c>
      <c r="H350" s="2" t="str">
        <f aca="false">INDEX(Daftar_Menu!$B$2:$B$13,MATCH(C350,Daftar_Menu!$A$2:$A$13,0))</f>
        <v>Makanan</v>
      </c>
      <c r="I350" s="2" t="str">
        <f aca="false">CHOOSE(WEEKDAY(B350,2),"Senin","Selasa","Rabu","Kamis","Jumat","Sabtu","Minggu")</f>
        <v>Sabtu</v>
      </c>
      <c r="J350" s="2" t="n">
        <f aca="false">HOUR(E350)</f>
        <v>16</v>
      </c>
      <c r="K350" s="2" t="str">
        <f aca="false">IF(J350&lt;11,"Pagi",IF(J350&lt;17,"Siang","Malam"))</f>
        <v>Siang</v>
      </c>
      <c r="L350" s="2" t="n">
        <f aca="false">IF(A350&lt;&gt;A349,1,0)</f>
        <v>0</v>
      </c>
    </row>
    <row r="351" customFormat="false" ht="15" hidden="false" customHeight="false" outlineLevel="0" collapsed="false">
      <c r="A351" s="2" t="s">
        <v>492</v>
      </c>
      <c r="B351" s="13" t="n">
        <v>46270</v>
      </c>
      <c r="C351" s="2" t="s">
        <v>81</v>
      </c>
      <c r="D351" s="2" t="n">
        <v>1</v>
      </c>
      <c r="E351" s="15" t="n">
        <v>0.705555555555556</v>
      </c>
      <c r="F351" s="7" t="n">
        <v>15000</v>
      </c>
      <c r="G351" s="7" t="n">
        <f aca="false">D351*F351</f>
        <v>15000</v>
      </c>
      <c r="H351" s="2" t="str">
        <f aca="false">INDEX(Daftar_Menu!$B$2:$B$13,MATCH(C351,Daftar_Menu!$A$2:$A$13,0))</f>
        <v>Makanan</v>
      </c>
      <c r="I351" s="2" t="str">
        <f aca="false">CHOOSE(WEEKDAY(B351,2),"Senin","Selasa","Rabu","Kamis","Jumat","Sabtu","Minggu")</f>
        <v>Sabtu</v>
      </c>
      <c r="J351" s="2" t="n">
        <f aca="false">HOUR(E351)</f>
        <v>16</v>
      </c>
      <c r="K351" s="2" t="str">
        <f aca="false">IF(J351&lt;11,"Pagi",IF(J351&lt;17,"Siang","Malam"))</f>
        <v>Siang</v>
      </c>
      <c r="L351" s="2" t="n">
        <f aca="false">IF(A351&lt;&gt;A350,1,0)</f>
        <v>1</v>
      </c>
    </row>
    <row r="352" customFormat="false" ht="15" hidden="false" customHeight="false" outlineLevel="0" collapsed="false">
      <c r="A352" s="2" t="s">
        <v>492</v>
      </c>
      <c r="B352" s="13" t="n">
        <v>46270</v>
      </c>
      <c r="C352" s="2" t="s">
        <v>79</v>
      </c>
      <c r="D352" s="2" t="n">
        <v>1</v>
      </c>
      <c r="E352" s="15" t="n">
        <v>0.705555555555556</v>
      </c>
      <c r="F352" s="7" t="n">
        <v>16000</v>
      </c>
      <c r="G352" s="7" t="n">
        <f aca="false">D352*F352</f>
        <v>16000</v>
      </c>
      <c r="H352" s="2" t="str">
        <f aca="false">INDEX(Daftar_Menu!$B$2:$B$13,MATCH(C352,Daftar_Menu!$A$2:$A$13,0))</f>
        <v>Makanan</v>
      </c>
      <c r="I352" s="2" t="str">
        <f aca="false">CHOOSE(WEEKDAY(B352,2),"Senin","Selasa","Rabu","Kamis","Jumat","Sabtu","Minggu")</f>
        <v>Sabtu</v>
      </c>
      <c r="J352" s="2" t="n">
        <f aca="false">HOUR(E352)</f>
        <v>16</v>
      </c>
      <c r="K352" s="2" t="str">
        <f aca="false">IF(J352&lt;11,"Pagi",IF(J352&lt;17,"Siang","Malam"))</f>
        <v>Siang</v>
      </c>
      <c r="L352" s="2" t="n">
        <f aca="false">IF(A352&lt;&gt;A351,1,0)</f>
        <v>0</v>
      </c>
    </row>
    <row r="353" customFormat="false" ht="15" hidden="false" customHeight="false" outlineLevel="0" collapsed="false">
      <c r="A353" s="2" t="s">
        <v>494</v>
      </c>
      <c r="B353" s="13" t="n">
        <v>46270</v>
      </c>
      <c r="C353" s="2" t="s">
        <v>89</v>
      </c>
      <c r="D353" s="2" t="n">
        <v>1</v>
      </c>
      <c r="E353" s="15" t="n">
        <v>0.714583333333333</v>
      </c>
      <c r="F353" s="7" t="n">
        <v>14000</v>
      </c>
      <c r="G353" s="7" t="n">
        <f aca="false">D353*F353</f>
        <v>14000</v>
      </c>
      <c r="H353" s="2" t="str">
        <f aca="false">INDEX(Daftar_Menu!$B$2:$B$13,MATCH(C353,Daftar_Menu!$A$2:$A$13,0))</f>
        <v>Makanan</v>
      </c>
      <c r="I353" s="2" t="str">
        <f aca="false">CHOOSE(WEEKDAY(B353,2),"Senin","Selasa","Rabu","Kamis","Jumat","Sabtu","Minggu")</f>
        <v>Sabtu</v>
      </c>
      <c r="J353" s="2" t="n">
        <f aca="false">HOUR(E353)</f>
        <v>17</v>
      </c>
      <c r="K353" s="2" t="str">
        <f aca="false">IF(J353&lt;11,"Pagi",IF(J353&lt;17,"Siang","Malam"))</f>
        <v>Malam</v>
      </c>
      <c r="L353" s="2" t="n">
        <f aca="false">IF(A353&lt;&gt;A352,1,0)</f>
        <v>1</v>
      </c>
    </row>
    <row r="354" customFormat="false" ht="15" hidden="false" customHeight="false" outlineLevel="0" collapsed="false">
      <c r="A354" s="2" t="s">
        <v>496</v>
      </c>
      <c r="B354" s="13" t="n">
        <v>46270</v>
      </c>
      <c r="C354" s="2" t="s">
        <v>132</v>
      </c>
      <c r="D354" s="2" t="n">
        <v>2</v>
      </c>
      <c r="E354" s="15" t="n">
        <v>0.732638888888889</v>
      </c>
      <c r="F354" s="7" t="n">
        <v>15000</v>
      </c>
      <c r="G354" s="7" t="n">
        <f aca="false">D354*F354</f>
        <v>30000</v>
      </c>
      <c r="H354" s="2" t="str">
        <f aca="false">INDEX(Daftar_Menu!$B$2:$B$13,MATCH(C354,Daftar_Menu!$A$2:$A$13,0))</f>
        <v>Makanan</v>
      </c>
      <c r="I354" s="2" t="str">
        <f aca="false">CHOOSE(WEEKDAY(B354,2),"Senin","Selasa","Rabu","Kamis","Jumat","Sabtu","Minggu")</f>
        <v>Sabtu</v>
      </c>
      <c r="J354" s="2" t="n">
        <f aca="false">HOUR(E354)</f>
        <v>17</v>
      </c>
      <c r="K354" s="2" t="str">
        <f aca="false">IF(J354&lt;11,"Pagi",IF(J354&lt;17,"Siang","Malam"))</f>
        <v>Malam</v>
      </c>
      <c r="L354" s="2" t="n">
        <f aca="false">IF(A354&lt;&gt;A353,1,0)</f>
        <v>1</v>
      </c>
    </row>
    <row r="355" customFormat="false" ht="15" hidden="false" customHeight="false" outlineLevel="0" collapsed="false">
      <c r="A355" s="2" t="s">
        <v>498</v>
      </c>
      <c r="B355" s="13" t="n">
        <v>46270</v>
      </c>
      <c r="C355" s="2" t="s">
        <v>112</v>
      </c>
      <c r="D355" s="2" t="n">
        <v>1</v>
      </c>
      <c r="E355" s="15" t="n">
        <v>0.736805555555556</v>
      </c>
      <c r="F355" s="7" t="n">
        <v>10000</v>
      </c>
      <c r="G355" s="7" t="n">
        <f aca="false">D355*F355</f>
        <v>10000</v>
      </c>
      <c r="H355" s="2" t="str">
        <f aca="false">INDEX(Daftar_Menu!$B$2:$B$13,MATCH(C355,Daftar_Menu!$A$2:$A$13,0))</f>
        <v>Minuman</v>
      </c>
      <c r="I355" s="2" t="str">
        <f aca="false">CHOOSE(WEEKDAY(B355,2),"Senin","Selasa","Rabu","Kamis","Jumat","Sabtu","Minggu")</f>
        <v>Sabtu</v>
      </c>
      <c r="J355" s="2" t="n">
        <f aca="false">HOUR(E355)</f>
        <v>17</v>
      </c>
      <c r="K355" s="2" t="str">
        <f aca="false">IF(J355&lt;11,"Pagi",IF(J355&lt;17,"Siang","Malam"))</f>
        <v>Malam</v>
      </c>
      <c r="L355" s="2" t="n">
        <f aca="false">IF(A355&lt;&gt;A354,1,0)</f>
        <v>1</v>
      </c>
    </row>
    <row r="356" customFormat="false" ht="15" hidden="false" customHeight="false" outlineLevel="0" collapsed="false">
      <c r="A356" s="2" t="s">
        <v>498</v>
      </c>
      <c r="B356" s="13" t="n">
        <v>46270</v>
      </c>
      <c r="C356" s="2" t="s">
        <v>101</v>
      </c>
      <c r="D356" s="2" t="n">
        <v>1</v>
      </c>
      <c r="E356" s="15" t="n">
        <v>0.736805555555556</v>
      </c>
      <c r="F356" s="7" t="n">
        <v>18000</v>
      </c>
      <c r="G356" s="7" t="n">
        <f aca="false">D356*F356</f>
        <v>18000</v>
      </c>
      <c r="H356" s="2" t="str">
        <f aca="false">INDEX(Daftar_Menu!$B$2:$B$13,MATCH(C356,Daftar_Menu!$A$2:$A$13,0))</f>
        <v>Makanan</v>
      </c>
      <c r="I356" s="2" t="str">
        <f aca="false">CHOOSE(WEEKDAY(B356,2),"Senin","Selasa","Rabu","Kamis","Jumat","Sabtu","Minggu")</f>
        <v>Sabtu</v>
      </c>
      <c r="J356" s="2" t="n">
        <f aca="false">HOUR(E356)</f>
        <v>17</v>
      </c>
      <c r="K356" s="2" t="str">
        <f aca="false">IF(J356&lt;11,"Pagi",IF(J356&lt;17,"Siang","Malam"))</f>
        <v>Malam</v>
      </c>
      <c r="L356" s="2" t="n">
        <f aca="false">IF(A356&lt;&gt;A355,1,0)</f>
        <v>0</v>
      </c>
    </row>
    <row r="357" customFormat="false" ht="15" hidden="false" customHeight="false" outlineLevel="0" collapsed="false">
      <c r="A357" s="2" t="s">
        <v>500</v>
      </c>
      <c r="B357" s="13" t="n">
        <v>46270</v>
      </c>
      <c r="C357" s="2" t="s">
        <v>101</v>
      </c>
      <c r="D357" s="2" t="n">
        <v>2</v>
      </c>
      <c r="E357" s="15" t="n">
        <v>0.742361111111111</v>
      </c>
      <c r="F357" s="7" t="n">
        <v>18000</v>
      </c>
      <c r="G357" s="7" t="n">
        <f aca="false">D357*F357</f>
        <v>36000</v>
      </c>
      <c r="H357" s="2" t="str">
        <f aca="false">INDEX(Daftar_Menu!$B$2:$B$13,MATCH(C357,Daftar_Menu!$A$2:$A$13,0))</f>
        <v>Makanan</v>
      </c>
      <c r="I357" s="2" t="str">
        <f aca="false">CHOOSE(WEEKDAY(B357,2),"Senin","Selasa","Rabu","Kamis","Jumat","Sabtu","Minggu")</f>
        <v>Sabtu</v>
      </c>
      <c r="J357" s="2" t="n">
        <f aca="false">HOUR(E357)</f>
        <v>17</v>
      </c>
      <c r="K357" s="2" t="str">
        <f aca="false">IF(J357&lt;11,"Pagi",IF(J357&lt;17,"Siang","Malam"))</f>
        <v>Malam</v>
      </c>
      <c r="L357" s="2" t="n">
        <f aca="false">IF(A357&lt;&gt;A356,1,0)</f>
        <v>1</v>
      </c>
    </row>
    <row r="358" customFormat="false" ht="15" hidden="false" customHeight="false" outlineLevel="0" collapsed="false">
      <c r="A358" s="2" t="s">
        <v>502</v>
      </c>
      <c r="B358" s="13" t="n">
        <v>46270</v>
      </c>
      <c r="C358" s="2" t="s">
        <v>81</v>
      </c>
      <c r="D358" s="2" t="n">
        <v>2</v>
      </c>
      <c r="E358" s="15" t="n">
        <v>0.744444444444445</v>
      </c>
      <c r="F358" s="7" t="n">
        <v>15000</v>
      </c>
      <c r="G358" s="7" t="n">
        <f aca="false">D358*F358</f>
        <v>30000</v>
      </c>
      <c r="H358" s="2" t="str">
        <f aca="false">INDEX(Daftar_Menu!$B$2:$B$13,MATCH(C358,Daftar_Menu!$A$2:$A$13,0))</f>
        <v>Makanan</v>
      </c>
      <c r="I358" s="2" t="str">
        <f aca="false">CHOOSE(WEEKDAY(B358,2),"Senin","Selasa","Rabu","Kamis","Jumat","Sabtu","Minggu")</f>
        <v>Sabtu</v>
      </c>
      <c r="J358" s="2" t="n">
        <f aca="false">HOUR(E358)</f>
        <v>17</v>
      </c>
      <c r="K358" s="2" t="str">
        <f aca="false">IF(J358&lt;11,"Pagi",IF(J358&lt;17,"Siang","Malam"))</f>
        <v>Malam</v>
      </c>
      <c r="L358" s="2" t="n">
        <f aca="false">IF(A358&lt;&gt;A357,1,0)</f>
        <v>1</v>
      </c>
    </row>
    <row r="359" customFormat="false" ht="15" hidden="false" customHeight="false" outlineLevel="0" collapsed="false">
      <c r="A359" s="2" t="s">
        <v>502</v>
      </c>
      <c r="B359" s="13" t="n">
        <v>46270</v>
      </c>
      <c r="C359" s="2" t="s">
        <v>112</v>
      </c>
      <c r="D359" s="2" t="n">
        <v>1</v>
      </c>
      <c r="E359" s="15" t="n">
        <v>0.744444444444445</v>
      </c>
      <c r="F359" s="7" t="n">
        <v>10000</v>
      </c>
      <c r="G359" s="7" t="n">
        <f aca="false">D359*F359</f>
        <v>10000</v>
      </c>
      <c r="H359" s="2" t="str">
        <f aca="false">INDEX(Daftar_Menu!$B$2:$B$13,MATCH(C359,Daftar_Menu!$A$2:$A$13,0))</f>
        <v>Minuman</v>
      </c>
      <c r="I359" s="2" t="str">
        <f aca="false">CHOOSE(WEEKDAY(B359,2),"Senin","Selasa","Rabu","Kamis","Jumat","Sabtu","Minggu")</f>
        <v>Sabtu</v>
      </c>
      <c r="J359" s="2" t="n">
        <f aca="false">HOUR(E359)</f>
        <v>17</v>
      </c>
      <c r="K359" s="2" t="str">
        <f aca="false">IF(J359&lt;11,"Pagi",IF(J359&lt;17,"Siang","Malam"))</f>
        <v>Malam</v>
      </c>
      <c r="L359" s="2" t="n">
        <f aca="false">IF(A359&lt;&gt;A358,1,0)</f>
        <v>0</v>
      </c>
    </row>
    <row r="360" customFormat="false" ht="15" hidden="false" customHeight="false" outlineLevel="0" collapsed="false">
      <c r="A360" s="2" t="s">
        <v>502</v>
      </c>
      <c r="B360" s="13" t="n">
        <v>46270</v>
      </c>
      <c r="C360" s="2" t="s">
        <v>108</v>
      </c>
      <c r="D360" s="2" t="n">
        <v>2</v>
      </c>
      <c r="E360" s="15" t="n">
        <v>0.744444444444445</v>
      </c>
      <c r="F360" s="7" t="n">
        <v>20000</v>
      </c>
      <c r="G360" s="7" t="n">
        <f aca="false">D360*F360</f>
        <v>40000</v>
      </c>
      <c r="H360" s="2" t="str">
        <f aca="false">INDEX(Daftar_Menu!$B$2:$B$13,MATCH(C360,Daftar_Menu!$A$2:$A$13,0))</f>
        <v>Makanan</v>
      </c>
      <c r="I360" s="2" t="str">
        <f aca="false">CHOOSE(WEEKDAY(B360,2),"Senin","Selasa","Rabu","Kamis","Jumat","Sabtu","Minggu")</f>
        <v>Sabtu</v>
      </c>
      <c r="J360" s="2" t="n">
        <f aca="false">HOUR(E360)</f>
        <v>17</v>
      </c>
      <c r="K360" s="2" t="str">
        <f aca="false">IF(J360&lt;11,"Pagi",IF(J360&lt;17,"Siang","Malam"))</f>
        <v>Malam</v>
      </c>
      <c r="L360" s="2" t="n">
        <f aca="false">IF(A360&lt;&gt;A359,1,0)</f>
        <v>0</v>
      </c>
    </row>
    <row r="361" customFormat="false" ht="15" hidden="false" customHeight="false" outlineLevel="0" collapsed="false">
      <c r="A361" s="2" t="s">
        <v>504</v>
      </c>
      <c r="B361" s="13" t="n">
        <v>46270</v>
      </c>
      <c r="C361" s="2" t="s">
        <v>89</v>
      </c>
      <c r="D361" s="2" t="n">
        <v>1</v>
      </c>
      <c r="E361" s="15" t="n">
        <v>0.746527777777778</v>
      </c>
      <c r="F361" s="7" t="n">
        <v>14000</v>
      </c>
      <c r="G361" s="7" t="n">
        <f aca="false">D361*F361</f>
        <v>14000</v>
      </c>
      <c r="H361" s="2" t="str">
        <f aca="false">INDEX(Daftar_Menu!$B$2:$B$13,MATCH(C361,Daftar_Menu!$A$2:$A$13,0))</f>
        <v>Makanan</v>
      </c>
      <c r="I361" s="2" t="str">
        <f aca="false">CHOOSE(WEEKDAY(B361,2),"Senin","Selasa","Rabu","Kamis","Jumat","Sabtu","Minggu")</f>
        <v>Sabtu</v>
      </c>
      <c r="J361" s="2" t="n">
        <f aca="false">HOUR(E361)</f>
        <v>17</v>
      </c>
      <c r="K361" s="2" t="str">
        <f aca="false">IF(J361&lt;11,"Pagi",IF(J361&lt;17,"Siang","Malam"))</f>
        <v>Malam</v>
      </c>
      <c r="L361" s="2" t="n">
        <f aca="false">IF(A361&lt;&gt;A360,1,0)</f>
        <v>1</v>
      </c>
    </row>
    <row r="362" customFormat="false" ht="15" hidden="false" customHeight="false" outlineLevel="0" collapsed="false">
      <c r="A362" s="2" t="s">
        <v>504</v>
      </c>
      <c r="B362" s="13" t="n">
        <v>46270</v>
      </c>
      <c r="C362" s="2" t="s">
        <v>92</v>
      </c>
      <c r="D362" s="2" t="n">
        <v>3</v>
      </c>
      <c r="E362" s="15" t="n">
        <v>0.746527777777778</v>
      </c>
      <c r="F362" s="7" t="n">
        <v>4000</v>
      </c>
      <c r="G362" s="7" t="n">
        <f aca="false">D362*F362</f>
        <v>12000</v>
      </c>
      <c r="H362" s="2" t="str">
        <f aca="false">INDEX(Daftar_Menu!$B$2:$B$13,MATCH(C362,Daftar_Menu!$A$2:$A$13,0))</f>
        <v>Minuman</v>
      </c>
      <c r="I362" s="2" t="str">
        <f aca="false">CHOOSE(WEEKDAY(B362,2),"Senin","Selasa","Rabu","Kamis","Jumat","Sabtu","Minggu")</f>
        <v>Sabtu</v>
      </c>
      <c r="J362" s="2" t="n">
        <f aca="false">HOUR(E362)</f>
        <v>17</v>
      </c>
      <c r="K362" s="2" t="str">
        <f aca="false">IF(J362&lt;11,"Pagi",IF(J362&lt;17,"Siang","Malam"))</f>
        <v>Malam</v>
      </c>
      <c r="L362" s="2" t="n">
        <f aca="false">IF(A362&lt;&gt;A361,1,0)</f>
        <v>0</v>
      </c>
    </row>
    <row r="363" customFormat="false" ht="15" hidden="false" customHeight="false" outlineLevel="0" collapsed="false">
      <c r="A363" s="2" t="s">
        <v>504</v>
      </c>
      <c r="B363" s="13" t="n">
        <v>46270</v>
      </c>
      <c r="C363" s="2" t="s">
        <v>84</v>
      </c>
      <c r="D363" s="2" t="n">
        <v>1</v>
      </c>
      <c r="E363" s="15" t="n">
        <v>0.746527777777778</v>
      </c>
      <c r="F363" s="7" t="n">
        <v>5000</v>
      </c>
      <c r="G363" s="7" t="n">
        <f aca="false">D363*F363</f>
        <v>5000</v>
      </c>
      <c r="H363" s="2" t="str">
        <f aca="false">INDEX(Daftar_Menu!$B$2:$B$13,MATCH(C363,Daftar_Menu!$A$2:$A$13,0))</f>
        <v>Minuman</v>
      </c>
      <c r="I363" s="2" t="str">
        <f aca="false">CHOOSE(WEEKDAY(B363,2),"Senin","Selasa","Rabu","Kamis","Jumat","Sabtu","Minggu")</f>
        <v>Sabtu</v>
      </c>
      <c r="J363" s="2" t="n">
        <f aca="false">HOUR(E363)</f>
        <v>17</v>
      </c>
      <c r="K363" s="2" t="str">
        <f aca="false">IF(J363&lt;11,"Pagi",IF(J363&lt;17,"Siang","Malam"))</f>
        <v>Malam</v>
      </c>
      <c r="L363" s="2" t="n">
        <f aca="false">IF(A363&lt;&gt;A362,1,0)</f>
        <v>0</v>
      </c>
    </row>
    <row r="364" customFormat="false" ht="15" hidden="false" customHeight="false" outlineLevel="0" collapsed="false">
      <c r="A364" s="2" t="s">
        <v>506</v>
      </c>
      <c r="B364" s="13" t="n">
        <v>46270</v>
      </c>
      <c r="C364" s="2" t="s">
        <v>112</v>
      </c>
      <c r="D364" s="2" t="n">
        <v>1</v>
      </c>
      <c r="E364" s="15" t="n">
        <v>0.749305555555556</v>
      </c>
      <c r="F364" s="7" t="n">
        <v>10000</v>
      </c>
      <c r="G364" s="7" t="n">
        <f aca="false">D364*F364</f>
        <v>10000</v>
      </c>
      <c r="H364" s="2" t="str">
        <f aca="false">INDEX(Daftar_Menu!$B$2:$B$13,MATCH(C364,Daftar_Menu!$A$2:$A$13,0))</f>
        <v>Minuman</v>
      </c>
      <c r="I364" s="2" t="str">
        <f aca="false">CHOOSE(WEEKDAY(B364,2),"Senin","Selasa","Rabu","Kamis","Jumat","Sabtu","Minggu")</f>
        <v>Sabtu</v>
      </c>
      <c r="J364" s="2" t="n">
        <f aca="false">HOUR(E364)</f>
        <v>17</v>
      </c>
      <c r="K364" s="2" t="str">
        <f aca="false">IF(J364&lt;11,"Pagi",IF(J364&lt;17,"Siang","Malam"))</f>
        <v>Malam</v>
      </c>
      <c r="L364" s="2" t="n">
        <f aca="false">IF(A364&lt;&gt;A363,1,0)</f>
        <v>1</v>
      </c>
    </row>
    <row r="365" customFormat="false" ht="15" hidden="false" customHeight="false" outlineLevel="0" collapsed="false">
      <c r="A365" s="2" t="s">
        <v>506</v>
      </c>
      <c r="B365" s="13" t="n">
        <v>46270</v>
      </c>
      <c r="C365" s="2" t="s">
        <v>84</v>
      </c>
      <c r="D365" s="2" t="n">
        <v>1</v>
      </c>
      <c r="E365" s="15" t="n">
        <v>0.749305555555556</v>
      </c>
      <c r="F365" s="7" t="n">
        <v>5000</v>
      </c>
      <c r="G365" s="7" t="n">
        <f aca="false">D365*F365</f>
        <v>5000</v>
      </c>
      <c r="H365" s="2" t="str">
        <f aca="false">INDEX(Daftar_Menu!$B$2:$B$13,MATCH(C365,Daftar_Menu!$A$2:$A$13,0))</f>
        <v>Minuman</v>
      </c>
      <c r="I365" s="2" t="str">
        <f aca="false">CHOOSE(WEEKDAY(B365,2),"Senin","Selasa","Rabu","Kamis","Jumat","Sabtu","Minggu")</f>
        <v>Sabtu</v>
      </c>
      <c r="J365" s="2" t="n">
        <f aca="false">HOUR(E365)</f>
        <v>17</v>
      </c>
      <c r="K365" s="2" t="str">
        <f aca="false">IF(J365&lt;11,"Pagi",IF(J365&lt;17,"Siang","Malam"))</f>
        <v>Malam</v>
      </c>
      <c r="L365" s="2" t="n">
        <f aca="false">IF(A365&lt;&gt;A364,1,0)</f>
        <v>0</v>
      </c>
    </row>
    <row r="366" customFormat="false" ht="15" hidden="false" customHeight="false" outlineLevel="0" collapsed="false">
      <c r="A366" s="2" t="s">
        <v>508</v>
      </c>
      <c r="B366" s="13" t="n">
        <v>46270</v>
      </c>
      <c r="C366" s="2" t="s">
        <v>132</v>
      </c>
      <c r="D366" s="2" t="n">
        <v>1</v>
      </c>
      <c r="E366" s="15" t="n">
        <v>0.754861111111111</v>
      </c>
      <c r="F366" s="7" t="n">
        <v>15000</v>
      </c>
      <c r="G366" s="7" t="n">
        <f aca="false">D366*F366</f>
        <v>15000</v>
      </c>
      <c r="H366" s="2" t="str">
        <f aca="false">INDEX(Daftar_Menu!$B$2:$B$13,MATCH(C366,Daftar_Menu!$A$2:$A$13,0))</f>
        <v>Makanan</v>
      </c>
      <c r="I366" s="2" t="str">
        <f aca="false">CHOOSE(WEEKDAY(B366,2),"Senin","Selasa","Rabu","Kamis","Jumat","Sabtu","Minggu")</f>
        <v>Sabtu</v>
      </c>
      <c r="J366" s="2" t="n">
        <f aca="false">HOUR(E366)</f>
        <v>18</v>
      </c>
      <c r="K366" s="2" t="str">
        <f aca="false">IF(J366&lt;11,"Pagi",IF(J366&lt;17,"Siang","Malam"))</f>
        <v>Malam</v>
      </c>
      <c r="L366" s="2" t="n">
        <f aca="false">IF(A366&lt;&gt;A365,1,0)</f>
        <v>1</v>
      </c>
    </row>
    <row r="367" customFormat="false" ht="15" hidden="false" customHeight="false" outlineLevel="0" collapsed="false">
      <c r="A367" s="2" t="s">
        <v>508</v>
      </c>
      <c r="B367" s="13" t="n">
        <v>46270</v>
      </c>
      <c r="C367" s="2" t="s">
        <v>108</v>
      </c>
      <c r="D367" s="2" t="n">
        <v>1</v>
      </c>
      <c r="E367" s="15" t="n">
        <v>0.754861111111111</v>
      </c>
      <c r="F367" s="7" t="n">
        <v>20000</v>
      </c>
      <c r="G367" s="7" t="n">
        <f aca="false">D367*F367</f>
        <v>20000</v>
      </c>
      <c r="H367" s="2" t="str">
        <f aca="false">INDEX(Daftar_Menu!$B$2:$B$13,MATCH(C367,Daftar_Menu!$A$2:$A$13,0))</f>
        <v>Makanan</v>
      </c>
      <c r="I367" s="2" t="str">
        <f aca="false">CHOOSE(WEEKDAY(B367,2),"Senin","Selasa","Rabu","Kamis","Jumat","Sabtu","Minggu")</f>
        <v>Sabtu</v>
      </c>
      <c r="J367" s="2" t="n">
        <f aca="false">HOUR(E367)</f>
        <v>18</v>
      </c>
      <c r="K367" s="2" t="str">
        <f aca="false">IF(J367&lt;11,"Pagi",IF(J367&lt;17,"Siang","Malam"))</f>
        <v>Malam</v>
      </c>
      <c r="L367" s="2" t="n">
        <f aca="false">IF(A367&lt;&gt;A366,1,0)</f>
        <v>0</v>
      </c>
    </row>
    <row r="368" customFormat="false" ht="15" hidden="false" customHeight="false" outlineLevel="0" collapsed="false">
      <c r="A368" s="2" t="s">
        <v>510</v>
      </c>
      <c r="B368" s="13" t="n">
        <v>46270</v>
      </c>
      <c r="C368" s="2" t="s">
        <v>81</v>
      </c>
      <c r="D368" s="2" t="n">
        <v>2</v>
      </c>
      <c r="E368" s="15" t="n">
        <v>0.754861111111111</v>
      </c>
      <c r="F368" s="7" t="n">
        <v>15000</v>
      </c>
      <c r="G368" s="7" t="n">
        <f aca="false">D368*F368</f>
        <v>30000</v>
      </c>
      <c r="H368" s="2" t="str">
        <f aca="false">INDEX(Daftar_Menu!$B$2:$B$13,MATCH(C368,Daftar_Menu!$A$2:$A$13,0))</f>
        <v>Makanan</v>
      </c>
      <c r="I368" s="2" t="str">
        <f aca="false">CHOOSE(WEEKDAY(B368,2),"Senin","Selasa","Rabu","Kamis","Jumat","Sabtu","Minggu")</f>
        <v>Sabtu</v>
      </c>
      <c r="J368" s="2" t="n">
        <f aca="false">HOUR(E368)</f>
        <v>18</v>
      </c>
      <c r="K368" s="2" t="str">
        <f aca="false">IF(J368&lt;11,"Pagi",IF(J368&lt;17,"Siang","Malam"))</f>
        <v>Malam</v>
      </c>
      <c r="L368" s="2" t="n">
        <f aca="false">IF(A368&lt;&gt;A367,1,0)</f>
        <v>1</v>
      </c>
    </row>
    <row r="369" customFormat="false" ht="15" hidden="false" customHeight="false" outlineLevel="0" collapsed="false">
      <c r="A369" s="2" t="s">
        <v>511</v>
      </c>
      <c r="B369" s="13" t="n">
        <v>46270</v>
      </c>
      <c r="C369" s="2" t="s">
        <v>132</v>
      </c>
      <c r="D369" s="2" t="n">
        <v>1</v>
      </c>
      <c r="E369" s="15" t="n">
        <v>0.763888888888889</v>
      </c>
      <c r="F369" s="7" t="n">
        <v>15000</v>
      </c>
      <c r="G369" s="7" t="n">
        <f aca="false">D369*F369</f>
        <v>15000</v>
      </c>
      <c r="H369" s="2" t="str">
        <f aca="false">INDEX(Daftar_Menu!$B$2:$B$13,MATCH(C369,Daftar_Menu!$A$2:$A$13,0))</f>
        <v>Makanan</v>
      </c>
      <c r="I369" s="2" t="str">
        <f aca="false">CHOOSE(WEEKDAY(B369,2),"Senin","Selasa","Rabu","Kamis","Jumat","Sabtu","Minggu")</f>
        <v>Sabtu</v>
      </c>
      <c r="J369" s="2" t="n">
        <f aca="false">HOUR(E369)</f>
        <v>18</v>
      </c>
      <c r="K369" s="2" t="str">
        <f aca="false">IF(J369&lt;11,"Pagi",IF(J369&lt;17,"Siang","Malam"))</f>
        <v>Malam</v>
      </c>
      <c r="L369" s="2" t="n">
        <f aca="false">IF(A369&lt;&gt;A368,1,0)</f>
        <v>1</v>
      </c>
    </row>
    <row r="370" customFormat="false" ht="15" hidden="false" customHeight="false" outlineLevel="0" collapsed="false">
      <c r="A370" s="2" t="s">
        <v>511</v>
      </c>
      <c r="B370" s="13" t="n">
        <v>46270</v>
      </c>
      <c r="C370" s="2" t="s">
        <v>81</v>
      </c>
      <c r="D370" s="2" t="n">
        <v>1</v>
      </c>
      <c r="E370" s="15" t="n">
        <v>0.763888888888889</v>
      </c>
      <c r="F370" s="7" t="n">
        <v>15000</v>
      </c>
      <c r="G370" s="7" t="n">
        <f aca="false">D370*F370</f>
        <v>15000</v>
      </c>
      <c r="H370" s="2" t="str">
        <f aca="false">INDEX(Daftar_Menu!$B$2:$B$13,MATCH(C370,Daftar_Menu!$A$2:$A$13,0))</f>
        <v>Makanan</v>
      </c>
      <c r="I370" s="2" t="str">
        <f aca="false">CHOOSE(WEEKDAY(B370,2),"Senin","Selasa","Rabu","Kamis","Jumat","Sabtu","Minggu")</f>
        <v>Sabtu</v>
      </c>
      <c r="J370" s="2" t="n">
        <f aca="false">HOUR(E370)</f>
        <v>18</v>
      </c>
      <c r="K370" s="2" t="str">
        <f aca="false">IF(J370&lt;11,"Pagi",IF(J370&lt;17,"Siang","Malam"))</f>
        <v>Malam</v>
      </c>
      <c r="L370" s="2" t="n">
        <f aca="false">IF(A370&lt;&gt;A369,1,0)</f>
        <v>0</v>
      </c>
    </row>
    <row r="371" customFormat="false" ht="15" hidden="false" customHeight="false" outlineLevel="0" collapsed="false">
      <c r="A371" s="2" t="s">
        <v>513</v>
      </c>
      <c r="B371" s="13" t="n">
        <v>46270</v>
      </c>
      <c r="C371" s="2" t="s">
        <v>92</v>
      </c>
      <c r="D371" s="2" t="n">
        <v>1</v>
      </c>
      <c r="E371" s="15" t="n">
        <v>0.765972222222222</v>
      </c>
      <c r="F371" s="7" t="n">
        <v>4000</v>
      </c>
      <c r="G371" s="7" t="n">
        <f aca="false">D371*F371</f>
        <v>4000</v>
      </c>
      <c r="H371" s="2" t="str">
        <f aca="false">INDEX(Daftar_Menu!$B$2:$B$13,MATCH(C371,Daftar_Menu!$A$2:$A$13,0))</f>
        <v>Minuman</v>
      </c>
      <c r="I371" s="2" t="str">
        <f aca="false">CHOOSE(WEEKDAY(B371,2),"Senin","Selasa","Rabu","Kamis","Jumat","Sabtu","Minggu")</f>
        <v>Sabtu</v>
      </c>
      <c r="J371" s="2" t="n">
        <f aca="false">HOUR(E371)</f>
        <v>18</v>
      </c>
      <c r="K371" s="2" t="str">
        <f aca="false">IF(J371&lt;11,"Pagi",IF(J371&lt;17,"Siang","Malam"))</f>
        <v>Malam</v>
      </c>
      <c r="L371" s="2" t="n">
        <f aca="false">IF(A371&lt;&gt;A370,1,0)</f>
        <v>1</v>
      </c>
    </row>
    <row r="372" customFormat="false" ht="15" hidden="false" customHeight="false" outlineLevel="0" collapsed="false">
      <c r="A372" s="2" t="s">
        <v>513</v>
      </c>
      <c r="B372" s="13" t="n">
        <v>46270</v>
      </c>
      <c r="C372" s="2" t="s">
        <v>186</v>
      </c>
      <c r="D372" s="2" t="n">
        <v>3</v>
      </c>
      <c r="E372" s="15" t="n">
        <v>0.765972222222222</v>
      </c>
      <c r="F372" s="7" t="n">
        <v>7000</v>
      </c>
      <c r="G372" s="7" t="n">
        <f aca="false">D372*F372</f>
        <v>21000</v>
      </c>
      <c r="H372" s="2" t="str">
        <f aca="false">INDEX(Daftar_Menu!$B$2:$B$13,MATCH(C372,Daftar_Menu!$A$2:$A$13,0))</f>
        <v>Minuman</v>
      </c>
      <c r="I372" s="2" t="str">
        <f aca="false">CHOOSE(WEEKDAY(B372,2),"Senin","Selasa","Rabu","Kamis","Jumat","Sabtu","Minggu")</f>
        <v>Sabtu</v>
      </c>
      <c r="J372" s="2" t="n">
        <f aca="false">HOUR(E372)</f>
        <v>18</v>
      </c>
      <c r="K372" s="2" t="str">
        <f aca="false">IF(J372&lt;11,"Pagi",IF(J372&lt;17,"Siang","Malam"))</f>
        <v>Malam</v>
      </c>
      <c r="L372" s="2" t="n">
        <f aca="false">IF(A372&lt;&gt;A371,1,0)</f>
        <v>0</v>
      </c>
    </row>
    <row r="373" customFormat="false" ht="15" hidden="false" customHeight="false" outlineLevel="0" collapsed="false">
      <c r="A373" s="2" t="s">
        <v>515</v>
      </c>
      <c r="B373" s="13" t="n">
        <v>46270</v>
      </c>
      <c r="C373" s="2" t="s">
        <v>132</v>
      </c>
      <c r="D373" s="2" t="n">
        <v>2</v>
      </c>
      <c r="E373" s="15" t="n">
        <v>0.775694444444445</v>
      </c>
      <c r="F373" s="7" t="n">
        <v>15000</v>
      </c>
      <c r="G373" s="7" t="n">
        <f aca="false">D373*F373</f>
        <v>30000</v>
      </c>
      <c r="H373" s="2" t="str">
        <f aca="false">INDEX(Daftar_Menu!$B$2:$B$13,MATCH(C373,Daftar_Menu!$A$2:$A$13,0))</f>
        <v>Makanan</v>
      </c>
      <c r="I373" s="2" t="str">
        <f aca="false">CHOOSE(WEEKDAY(B373,2),"Senin","Selasa","Rabu","Kamis","Jumat","Sabtu","Minggu")</f>
        <v>Sabtu</v>
      </c>
      <c r="J373" s="2" t="n">
        <f aca="false">HOUR(E373)</f>
        <v>18</v>
      </c>
      <c r="K373" s="2" t="str">
        <f aca="false">IF(J373&lt;11,"Pagi",IF(J373&lt;17,"Siang","Malam"))</f>
        <v>Malam</v>
      </c>
      <c r="L373" s="2" t="n">
        <f aca="false">IF(A373&lt;&gt;A372,1,0)</f>
        <v>1</v>
      </c>
    </row>
    <row r="374" customFormat="false" ht="15" hidden="false" customHeight="false" outlineLevel="0" collapsed="false">
      <c r="A374" s="2" t="s">
        <v>515</v>
      </c>
      <c r="B374" s="13" t="n">
        <v>46270</v>
      </c>
      <c r="C374" s="2" t="s">
        <v>84</v>
      </c>
      <c r="D374" s="2" t="n">
        <v>1</v>
      </c>
      <c r="E374" s="15" t="n">
        <v>0.775694444444445</v>
      </c>
      <c r="F374" s="7" t="n">
        <v>5000</v>
      </c>
      <c r="G374" s="7" t="n">
        <f aca="false">D374*F374</f>
        <v>5000</v>
      </c>
      <c r="H374" s="2" t="str">
        <f aca="false">INDEX(Daftar_Menu!$B$2:$B$13,MATCH(C374,Daftar_Menu!$A$2:$A$13,0))</f>
        <v>Minuman</v>
      </c>
      <c r="I374" s="2" t="str">
        <f aca="false">CHOOSE(WEEKDAY(B374,2),"Senin","Selasa","Rabu","Kamis","Jumat","Sabtu","Minggu")</f>
        <v>Sabtu</v>
      </c>
      <c r="J374" s="2" t="n">
        <f aca="false">HOUR(E374)</f>
        <v>18</v>
      </c>
      <c r="K374" s="2" t="str">
        <f aca="false">IF(J374&lt;11,"Pagi",IF(J374&lt;17,"Siang","Malam"))</f>
        <v>Malam</v>
      </c>
      <c r="L374" s="2" t="n">
        <f aca="false">IF(A374&lt;&gt;A373,1,0)</f>
        <v>0</v>
      </c>
    </row>
    <row r="375" customFormat="false" ht="15" hidden="false" customHeight="false" outlineLevel="0" collapsed="false">
      <c r="A375" s="2" t="s">
        <v>516</v>
      </c>
      <c r="B375" s="13" t="n">
        <v>46270</v>
      </c>
      <c r="C375" s="2" t="s">
        <v>79</v>
      </c>
      <c r="D375" s="2" t="n">
        <v>2</v>
      </c>
      <c r="E375" s="15" t="n">
        <v>0.784722222222222</v>
      </c>
      <c r="F375" s="7" t="n">
        <v>16000</v>
      </c>
      <c r="G375" s="7" t="n">
        <f aca="false">D375*F375</f>
        <v>32000</v>
      </c>
      <c r="H375" s="2" t="str">
        <f aca="false">INDEX(Daftar_Menu!$B$2:$B$13,MATCH(C375,Daftar_Menu!$A$2:$A$13,0))</f>
        <v>Makanan</v>
      </c>
      <c r="I375" s="2" t="str">
        <f aca="false">CHOOSE(WEEKDAY(B375,2),"Senin","Selasa","Rabu","Kamis","Jumat","Sabtu","Minggu")</f>
        <v>Sabtu</v>
      </c>
      <c r="J375" s="2" t="n">
        <f aca="false">HOUR(E375)</f>
        <v>18</v>
      </c>
      <c r="K375" s="2" t="str">
        <f aca="false">IF(J375&lt;11,"Pagi",IF(J375&lt;17,"Siang","Malam"))</f>
        <v>Malam</v>
      </c>
      <c r="L375" s="2" t="n">
        <f aca="false">IF(A375&lt;&gt;A374,1,0)</f>
        <v>1</v>
      </c>
    </row>
    <row r="376" customFormat="false" ht="15" hidden="false" customHeight="false" outlineLevel="0" collapsed="false">
      <c r="A376" s="2" t="s">
        <v>516</v>
      </c>
      <c r="B376" s="13" t="n">
        <v>46270</v>
      </c>
      <c r="C376" s="2" t="s">
        <v>101</v>
      </c>
      <c r="D376" s="2" t="n">
        <v>1</v>
      </c>
      <c r="E376" s="15" t="n">
        <v>0.784722222222222</v>
      </c>
      <c r="F376" s="7" t="n">
        <v>18000</v>
      </c>
      <c r="G376" s="7" t="n">
        <f aca="false">D376*F376</f>
        <v>18000</v>
      </c>
      <c r="H376" s="2" t="str">
        <f aca="false">INDEX(Daftar_Menu!$B$2:$B$13,MATCH(C376,Daftar_Menu!$A$2:$A$13,0))</f>
        <v>Makanan</v>
      </c>
      <c r="I376" s="2" t="str">
        <f aca="false">CHOOSE(WEEKDAY(B376,2),"Senin","Selasa","Rabu","Kamis","Jumat","Sabtu","Minggu")</f>
        <v>Sabtu</v>
      </c>
      <c r="J376" s="2" t="n">
        <f aca="false">HOUR(E376)</f>
        <v>18</v>
      </c>
      <c r="K376" s="2" t="str">
        <f aca="false">IF(J376&lt;11,"Pagi",IF(J376&lt;17,"Siang","Malam"))</f>
        <v>Malam</v>
      </c>
      <c r="L376" s="2" t="n">
        <f aca="false">IF(A376&lt;&gt;A375,1,0)</f>
        <v>0</v>
      </c>
    </row>
    <row r="377" customFormat="false" ht="15" hidden="false" customHeight="false" outlineLevel="0" collapsed="false">
      <c r="A377" s="2" t="s">
        <v>517</v>
      </c>
      <c r="B377" s="13" t="n">
        <v>46270</v>
      </c>
      <c r="C377" s="2" t="s">
        <v>81</v>
      </c>
      <c r="D377" s="2" t="n">
        <v>1</v>
      </c>
      <c r="E377" s="15" t="n">
        <v>0.789583333333333</v>
      </c>
      <c r="F377" s="7" t="n">
        <v>15000</v>
      </c>
      <c r="G377" s="7" t="n">
        <f aca="false">D377*F377</f>
        <v>15000</v>
      </c>
      <c r="H377" s="2" t="str">
        <f aca="false">INDEX(Daftar_Menu!$B$2:$B$13,MATCH(C377,Daftar_Menu!$A$2:$A$13,0))</f>
        <v>Makanan</v>
      </c>
      <c r="I377" s="2" t="str">
        <f aca="false">CHOOSE(WEEKDAY(B377,2),"Senin","Selasa","Rabu","Kamis","Jumat","Sabtu","Minggu")</f>
        <v>Sabtu</v>
      </c>
      <c r="J377" s="2" t="n">
        <f aca="false">HOUR(E377)</f>
        <v>18</v>
      </c>
      <c r="K377" s="2" t="str">
        <f aca="false">IF(J377&lt;11,"Pagi",IF(J377&lt;17,"Siang","Malam"))</f>
        <v>Malam</v>
      </c>
      <c r="L377" s="2" t="n">
        <f aca="false">IF(A377&lt;&gt;A376,1,0)</f>
        <v>1</v>
      </c>
    </row>
    <row r="378" customFormat="false" ht="15" hidden="false" customHeight="false" outlineLevel="0" collapsed="false">
      <c r="A378" s="2" t="s">
        <v>517</v>
      </c>
      <c r="B378" s="13" t="n">
        <v>46270</v>
      </c>
      <c r="C378" s="2" t="s">
        <v>132</v>
      </c>
      <c r="D378" s="2" t="n">
        <v>1</v>
      </c>
      <c r="E378" s="15" t="n">
        <v>0.789583333333333</v>
      </c>
      <c r="F378" s="7" t="n">
        <v>15000</v>
      </c>
      <c r="G378" s="7" t="n">
        <f aca="false">D378*F378</f>
        <v>15000</v>
      </c>
      <c r="H378" s="2" t="str">
        <f aca="false">INDEX(Daftar_Menu!$B$2:$B$13,MATCH(C378,Daftar_Menu!$A$2:$A$13,0))</f>
        <v>Makanan</v>
      </c>
      <c r="I378" s="2" t="str">
        <f aca="false">CHOOSE(WEEKDAY(B378,2),"Senin","Selasa","Rabu","Kamis","Jumat","Sabtu","Minggu")</f>
        <v>Sabtu</v>
      </c>
      <c r="J378" s="2" t="n">
        <f aca="false">HOUR(E378)</f>
        <v>18</v>
      </c>
      <c r="K378" s="2" t="str">
        <f aca="false">IF(J378&lt;11,"Pagi",IF(J378&lt;17,"Siang","Malam"))</f>
        <v>Malam</v>
      </c>
      <c r="L378" s="2" t="n">
        <f aca="false">IF(A378&lt;&gt;A377,1,0)</f>
        <v>0</v>
      </c>
    </row>
    <row r="379" customFormat="false" ht="15" hidden="false" customHeight="false" outlineLevel="0" collapsed="false">
      <c r="A379" s="2" t="s">
        <v>520</v>
      </c>
      <c r="B379" s="13" t="n">
        <v>46270</v>
      </c>
      <c r="C379" s="2" t="s">
        <v>126</v>
      </c>
      <c r="D379" s="2" t="n">
        <v>3</v>
      </c>
      <c r="E379" s="15" t="n">
        <v>0.809027777777778</v>
      </c>
      <c r="F379" s="7" t="n">
        <v>3000</v>
      </c>
      <c r="G379" s="7" t="n">
        <f aca="false">D379*F379</f>
        <v>9000</v>
      </c>
      <c r="H379" s="2" t="str">
        <f aca="false">INDEX(Daftar_Menu!$B$2:$B$13,MATCH(C379,Daftar_Menu!$A$2:$A$13,0))</f>
        <v>Minuman</v>
      </c>
      <c r="I379" s="2" t="str">
        <f aca="false">CHOOSE(WEEKDAY(B379,2),"Senin","Selasa","Rabu","Kamis","Jumat","Sabtu","Minggu")</f>
        <v>Sabtu</v>
      </c>
      <c r="J379" s="2" t="n">
        <f aca="false">HOUR(E379)</f>
        <v>19</v>
      </c>
      <c r="K379" s="2" t="str">
        <f aca="false">IF(J379&lt;11,"Pagi",IF(J379&lt;17,"Siang","Malam"))</f>
        <v>Malam</v>
      </c>
      <c r="L379" s="2" t="n">
        <f aca="false">IF(A379&lt;&gt;A378,1,0)</f>
        <v>1</v>
      </c>
    </row>
    <row r="380" customFormat="false" ht="15" hidden="false" customHeight="false" outlineLevel="0" collapsed="false">
      <c r="A380" s="2" t="s">
        <v>520</v>
      </c>
      <c r="B380" s="13" t="n">
        <v>46270</v>
      </c>
      <c r="C380" s="2" t="s">
        <v>82</v>
      </c>
      <c r="D380" s="2" t="n">
        <v>2</v>
      </c>
      <c r="E380" s="15" t="n">
        <v>0.809027777777778</v>
      </c>
      <c r="F380" s="7" t="n">
        <v>13000</v>
      </c>
      <c r="G380" s="7" t="n">
        <f aca="false">D380*F380</f>
        <v>26000</v>
      </c>
      <c r="H380" s="2" t="str">
        <f aca="false">INDEX(Daftar_Menu!$B$2:$B$13,MATCH(C380,Daftar_Menu!$A$2:$A$13,0))</f>
        <v>Makanan</v>
      </c>
      <c r="I380" s="2" t="str">
        <f aca="false">CHOOSE(WEEKDAY(B380,2),"Senin","Selasa","Rabu","Kamis","Jumat","Sabtu","Minggu")</f>
        <v>Sabtu</v>
      </c>
      <c r="J380" s="2" t="n">
        <f aca="false">HOUR(E380)</f>
        <v>19</v>
      </c>
      <c r="K380" s="2" t="str">
        <f aca="false">IF(J380&lt;11,"Pagi",IF(J380&lt;17,"Siang","Malam"))</f>
        <v>Malam</v>
      </c>
      <c r="L380" s="2" t="n">
        <f aca="false">IF(A380&lt;&gt;A379,1,0)</f>
        <v>0</v>
      </c>
    </row>
    <row r="381" customFormat="false" ht="15" hidden="false" customHeight="false" outlineLevel="0" collapsed="false">
      <c r="A381" s="2" t="s">
        <v>522</v>
      </c>
      <c r="B381" s="13" t="n">
        <v>46270</v>
      </c>
      <c r="C381" s="2" t="s">
        <v>84</v>
      </c>
      <c r="D381" s="2" t="n">
        <v>2</v>
      </c>
      <c r="E381" s="15" t="n">
        <v>0.821527777777778</v>
      </c>
      <c r="F381" s="7" t="n">
        <v>5000</v>
      </c>
      <c r="G381" s="7" t="n">
        <f aca="false">D381*F381</f>
        <v>10000</v>
      </c>
      <c r="H381" s="2" t="str">
        <f aca="false">INDEX(Daftar_Menu!$B$2:$B$13,MATCH(C381,Daftar_Menu!$A$2:$A$13,0))</f>
        <v>Minuman</v>
      </c>
      <c r="I381" s="2" t="str">
        <f aca="false">CHOOSE(WEEKDAY(B381,2),"Senin","Selasa","Rabu","Kamis","Jumat","Sabtu","Minggu")</f>
        <v>Sabtu</v>
      </c>
      <c r="J381" s="2" t="n">
        <f aca="false">HOUR(E381)</f>
        <v>19</v>
      </c>
      <c r="K381" s="2" t="str">
        <f aca="false">IF(J381&lt;11,"Pagi",IF(J381&lt;17,"Siang","Malam"))</f>
        <v>Malam</v>
      </c>
      <c r="L381" s="2" t="n">
        <f aca="false">IF(A381&lt;&gt;A380,1,0)</f>
        <v>1</v>
      </c>
    </row>
    <row r="382" customFormat="false" ht="15" hidden="false" customHeight="false" outlineLevel="0" collapsed="false">
      <c r="A382" s="2" t="s">
        <v>522</v>
      </c>
      <c r="B382" s="13" t="n">
        <v>46270</v>
      </c>
      <c r="C382" s="2" t="s">
        <v>89</v>
      </c>
      <c r="D382" s="2" t="n">
        <v>1</v>
      </c>
      <c r="E382" s="15" t="n">
        <v>0.821527777777778</v>
      </c>
      <c r="F382" s="7" t="n">
        <v>14000</v>
      </c>
      <c r="G382" s="7" t="n">
        <f aca="false">D382*F382</f>
        <v>14000</v>
      </c>
      <c r="H382" s="2" t="str">
        <f aca="false">INDEX(Daftar_Menu!$B$2:$B$13,MATCH(C382,Daftar_Menu!$A$2:$A$13,0))</f>
        <v>Makanan</v>
      </c>
      <c r="I382" s="2" t="str">
        <f aca="false">CHOOSE(WEEKDAY(B382,2),"Senin","Selasa","Rabu","Kamis","Jumat","Sabtu","Minggu")</f>
        <v>Sabtu</v>
      </c>
      <c r="J382" s="2" t="n">
        <f aca="false">HOUR(E382)</f>
        <v>19</v>
      </c>
      <c r="K382" s="2" t="str">
        <f aca="false">IF(J382&lt;11,"Pagi",IF(J382&lt;17,"Siang","Malam"))</f>
        <v>Malam</v>
      </c>
      <c r="L382" s="2" t="n">
        <f aca="false">IF(A382&lt;&gt;A381,1,0)</f>
        <v>0</v>
      </c>
    </row>
    <row r="383" customFormat="false" ht="15" hidden="false" customHeight="false" outlineLevel="0" collapsed="false">
      <c r="A383" s="2" t="s">
        <v>524</v>
      </c>
      <c r="B383" s="13" t="n">
        <v>46270</v>
      </c>
      <c r="C383" s="2" t="s">
        <v>81</v>
      </c>
      <c r="D383" s="2" t="n">
        <v>1</v>
      </c>
      <c r="E383" s="15" t="n">
        <v>0.843055555555556</v>
      </c>
      <c r="F383" s="7" t="n">
        <v>15000</v>
      </c>
      <c r="G383" s="7" t="n">
        <f aca="false">D383*F383</f>
        <v>15000</v>
      </c>
      <c r="H383" s="2" t="str">
        <f aca="false">INDEX(Daftar_Menu!$B$2:$B$13,MATCH(C383,Daftar_Menu!$A$2:$A$13,0))</f>
        <v>Makanan</v>
      </c>
      <c r="I383" s="2" t="str">
        <f aca="false">CHOOSE(WEEKDAY(B383,2),"Senin","Selasa","Rabu","Kamis","Jumat","Sabtu","Minggu")</f>
        <v>Sabtu</v>
      </c>
      <c r="J383" s="2" t="n">
        <f aca="false">HOUR(E383)</f>
        <v>20</v>
      </c>
      <c r="K383" s="2" t="str">
        <f aca="false">IF(J383&lt;11,"Pagi",IF(J383&lt;17,"Siang","Malam"))</f>
        <v>Malam</v>
      </c>
      <c r="L383" s="2" t="n">
        <f aca="false">IF(A383&lt;&gt;A382,1,0)</f>
        <v>1</v>
      </c>
    </row>
    <row r="384" customFormat="false" ht="15" hidden="false" customHeight="false" outlineLevel="0" collapsed="false">
      <c r="A384" s="2" t="s">
        <v>524</v>
      </c>
      <c r="B384" s="13" t="n">
        <v>46270</v>
      </c>
      <c r="C384" s="2" t="s">
        <v>112</v>
      </c>
      <c r="D384" s="2" t="n">
        <v>1</v>
      </c>
      <c r="E384" s="15" t="n">
        <v>0.843055555555556</v>
      </c>
      <c r="F384" s="7" t="n">
        <v>10000</v>
      </c>
      <c r="G384" s="7" t="n">
        <f aca="false">D384*F384</f>
        <v>10000</v>
      </c>
      <c r="H384" s="2" t="str">
        <f aca="false">INDEX(Daftar_Menu!$B$2:$B$13,MATCH(C384,Daftar_Menu!$A$2:$A$13,0))</f>
        <v>Minuman</v>
      </c>
      <c r="I384" s="2" t="str">
        <f aca="false">CHOOSE(WEEKDAY(B384,2),"Senin","Selasa","Rabu","Kamis","Jumat","Sabtu","Minggu")</f>
        <v>Sabtu</v>
      </c>
      <c r="J384" s="2" t="n">
        <f aca="false">HOUR(E384)</f>
        <v>20</v>
      </c>
      <c r="K384" s="2" t="str">
        <f aca="false">IF(J384&lt;11,"Pagi",IF(J384&lt;17,"Siang","Malam"))</f>
        <v>Malam</v>
      </c>
      <c r="L384" s="2" t="n">
        <f aca="false">IF(A384&lt;&gt;A383,1,0)</f>
        <v>0</v>
      </c>
    </row>
    <row r="385" customFormat="false" ht="15" hidden="false" customHeight="false" outlineLevel="0" collapsed="false">
      <c r="A385" s="2" t="s">
        <v>526</v>
      </c>
      <c r="B385" s="13" t="n">
        <v>46270</v>
      </c>
      <c r="C385" s="2" t="s">
        <v>81</v>
      </c>
      <c r="D385" s="2" t="n">
        <v>3</v>
      </c>
      <c r="E385" s="15" t="n">
        <v>0.848611111111111</v>
      </c>
      <c r="F385" s="7" t="n">
        <v>15000</v>
      </c>
      <c r="G385" s="7" t="n">
        <f aca="false">D385*F385</f>
        <v>45000</v>
      </c>
      <c r="H385" s="2" t="str">
        <f aca="false">INDEX(Daftar_Menu!$B$2:$B$13,MATCH(C385,Daftar_Menu!$A$2:$A$13,0))</f>
        <v>Makanan</v>
      </c>
      <c r="I385" s="2" t="str">
        <f aca="false">CHOOSE(WEEKDAY(B385,2),"Senin","Selasa","Rabu","Kamis","Jumat","Sabtu","Minggu")</f>
        <v>Sabtu</v>
      </c>
      <c r="J385" s="2" t="n">
        <f aca="false">HOUR(E385)</f>
        <v>20</v>
      </c>
      <c r="K385" s="2" t="str">
        <f aca="false">IF(J385&lt;11,"Pagi",IF(J385&lt;17,"Siang","Malam"))</f>
        <v>Malam</v>
      </c>
      <c r="L385" s="2" t="n">
        <f aca="false">IF(A385&lt;&gt;A384,1,0)</f>
        <v>1</v>
      </c>
    </row>
    <row r="386" customFormat="false" ht="15" hidden="false" customHeight="false" outlineLevel="0" collapsed="false">
      <c r="A386" s="2" t="s">
        <v>526</v>
      </c>
      <c r="B386" s="13" t="n">
        <v>46270</v>
      </c>
      <c r="C386" s="2" t="s">
        <v>84</v>
      </c>
      <c r="D386" s="2" t="n">
        <v>2</v>
      </c>
      <c r="E386" s="15" t="n">
        <v>0.848611111111111</v>
      </c>
      <c r="F386" s="7" t="n">
        <v>5000</v>
      </c>
      <c r="G386" s="7" t="n">
        <f aca="false">D386*F386</f>
        <v>10000</v>
      </c>
      <c r="H386" s="2" t="str">
        <f aca="false">INDEX(Daftar_Menu!$B$2:$B$13,MATCH(C386,Daftar_Menu!$A$2:$A$13,0))</f>
        <v>Minuman</v>
      </c>
      <c r="I386" s="2" t="str">
        <f aca="false">CHOOSE(WEEKDAY(B386,2),"Senin","Selasa","Rabu","Kamis","Jumat","Sabtu","Minggu")</f>
        <v>Sabtu</v>
      </c>
      <c r="J386" s="2" t="n">
        <f aca="false">HOUR(E386)</f>
        <v>20</v>
      </c>
      <c r="K386" s="2" t="str">
        <f aca="false">IF(J386&lt;11,"Pagi",IF(J386&lt;17,"Siang","Malam"))</f>
        <v>Malam</v>
      </c>
      <c r="L386" s="2" t="n">
        <f aca="false">IF(A386&lt;&gt;A385,1,0)</f>
        <v>0</v>
      </c>
    </row>
    <row r="387" customFormat="false" ht="15" hidden="false" customHeight="false" outlineLevel="0" collapsed="false">
      <c r="A387" s="2" t="s">
        <v>526</v>
      </c>
      <c r="B387" s="13" t="n">
        <v>46270</v>
      </c>
      <c r="C387" s="2" t="s">
        <v>79</v>
      </c>
      <c r="D387" s="2" t="n">
        <v>1</v>
      </c>
      <c r="E387" s="15" t="n">
        <v>0.848611111111111</v>
      </c>
      <c r="F387" s="7" t="n">
        <v>16000</v>
      </c>
      <c r="G387" s="7" t="n">
        <f aca="false">D387*F387</f>
        <v>16000</v>
      </c>
      <c r="H387" s="2" t="str">
        <f aca="false">INDEX(Daftar_Menu!$B$2:$B$13,MATCH(C387,Daftar_Menu!$A$2:$A$13,0))</f>
        <v>Makanan</v>
      </c>
      <c r="I387" s="2" t="str">
        <f aca="false">CHOOSE(WEEKDAY(B387,2),"Senin","Selasa","Rabu","Kamis","Jumat","Sabtu","Minggu")</f>
        <v>Sabtu</v>
      </c>
      <c r="J387" s="2" t="n">
        <f aca="false">HOUR(E387)</f>
        <v>20</v>
      </c>
      <c r="K387" s="2" t="str">
        <f aca="false">IF(J387&lt;11,"Pagi",IF(J387&lt;17,"Siang","Malam"))</f>
        <v>Malam</v>
      </c>
      <c r="L387" s="2" t="n">
        <f aca="false">IF(A387&lt;&gt;A386,1,0)</f>
        <v>0</v>
      </c>
    </row>
    <row r="388" customFormat="false" ht="15" hidden="false" customHeight="false" outlineLevel="0" collapsed="false">
      <c r="A388" s="2" t="s">
        <v>527</v>
      </c>
      <c r="B388" s="13" t="n">
        <v>46270</v>
      </c>
      <c r="C388" s="2" t="s">
        <v>79</v>
      </c>
      <c r="D388" s="2" t="n">
        <v>1</v>
      </c>
      <c r="E388" s="15" t="n">
        <v>0.85625</v>
      </c>
      <c r="F388" s="7" t="n">
        <v>16000</v>
      </c>
      <c r="G388" s="7" t="n">
        <f aca="false">D388*F388</f>
        <v>16000</v>
      </c>
      <c r="H388" s="2" t="str">
        <f aca="false">INDEX(Daftar_Menu!$B$2:$B$13,MATCH(C388,Daftar_Menu!$A$2:$A$13,0))</f>
        <v>Makanan</v>
      </c>
      <c r="I388" s="2" t="str">
        <f aca="false">CHOOSE(WEEKDAY(B388,2),"Senin","Selasa","Rabu","Kamis","Jumat","Sabtu","Minggu")</f>
        <v>Sabtu</v>
      </c>
      <c r="J388" s="2" t="n">
        <f aca="false">HOUR(E388)</f>
        <v>20</v>
      </c>
      <c r="K388" s="2" t="str">
        <f aca="false">IF(J388&lt;11,"Pagi",IF(J388&lt;17,"Siang","Malam"))</f>
        <v>Malam</v>
      </c>
      <c r="L388" s="2" t="n">
        <f aca="false">IF(A388&lt;&gt;A387,1,0)</f>
        <v>1</v>
      </c>
    </row>
    <row r="389" customFormat="false" ht="15" hidden="false" customHeight="false" outlineLevel="0" collapsed="false">
      <c r="A389" s="2" t="s">
        <v>528</v>
      </c>
      <c r="B389" s="13" t="n">
        <v>46270</v>
      </c>
      <c r="C389" s="2" t="s">
        <v>101</v>
      </c>
      <c r="D389" s="2" t="n">
        <v>1</v>
      </c>
      <c r="E389" s="15" t="n">
        <v>0.869444444444445</v>
      </c>
      <c r="F389" s="7" t="n">
        <v>18000</v>
      </c>
      <c r="G389" s="7" t="n">
        <f aca="false">D389*F389</f>
        <v>18000</v>
      </c>
      <c r="H389" s="2" t="str">
        <f aca="false">INDEX(Daftar_Menu!$B$2:$B$13,MATCH(C389,Daftar_Menu!$A$2:$A$13,0))</f>
        <v>Makanan</v>
      </c>
      <c r="I389" s="2" t="str">
        <f aca="false">CHOOSE(WEEKDAY(B389,2),"Senin","Selasa","Rabu","Kamis","Jumat","Sabtu","Minggu")</f>
        <v>Sabtu</v>
      </c>
      <c r="J389" s="2" t="n">
        <f aca="false">HOUR(E389)</f>
        <v>20</v>
      </c>
      <c r="K389" s="2" t="str">
        <f aca="false">IF(J389&lt;11,"Pagi",IF(J389&lt;17,"Siang","Malam"))</f>
        <v>Malam</v>
      </c>
      <c r="L389" s="2" t="n">
        <f aca="false">IF(A389&lt;&gt;A388,1,0)</f>
        <v>1</v>
      </c>
    </row>
    <row r="390" customFormat="false" ht="15" hidden="false" customHeight="false" outlineLevel="0" collapsed="false">
      <c r="A390" s="2" t="s">
        <v>529</v>
      </c>
      <c r="B390" s="13" t="n">
        <v>46271</v>
      </c>
      <c r="C390" s="2" t="s">
        <v>81</v>
      </c>
      <c r="D390" s="2" t="n">
        <v>1</v>
      </c>
      <c r="E390" s="15" t="n">
        <v>0.400694444444445</v>
      </c>
      <c r="F390" s="7" t="n">
        <v>15000</v>
      </c>
      <c r="G390" s="7" t="n">
        <f aca="false">D390*F390</f>
        <v>15000</v>
      </c>
      <c r="H390" s="2" t="str">
        <f aca="false">INDEX(Daftar_Menu!$B$2:$B$13,MATCH(C390,Daftar_Menu!$A$2:$A$13,0))</f>
        <v>Makanan</v>
      </c>
      <c r="I390" s="2" t="str">
        <f aca="false">CHOOSE(WEEKDAY(B390,2),"Senin","Selasa","Rabu","Kamis","Jumat","Sabtu","Minggu")</f>
        <v>Minggu</v>
      </c>
      <c r="J390" s="2" t="n">
        <f aca="false">HOUR(E390)</f>
        <v>9</v>
      </c>
      <c r="K390" s="2" t="str">
        <f aca="false">IF(J390&lt;11,"Pagi",IF(J390&lt;17,"Siang","Malam"))</f>
        <v>Pagi</v>
      </c>
      <c r="L390" s="2" t="n">
        <f aca="false">IF(A390&lt;&gt;A389,1,0)</f>
        <v>1</v>
      </c>
    </row>
    <row r="391" customFormat="false" ht="15" hidden="false" customHeight="false" outlineLevel="0" collapsed="false">
      <c r="A391" s="2" t="s">
        <v>529</v>
      </c>
      <c r="B391" s="13" t="n">
        <v>46271</v>
      </c>
      <c r="C391" s="2" t="s">
        <v>112</v>
      </c>
      <c r="D391" s="2" t="n">
        <v>1</v>
      </c>
      <c r="E391" s="15" t="n">
        <v>0.400694444444445</v>
      </c>
      <c r="F391" s="7" t="n">
        <v>10000</v>
      </c>
      <c r="G391" s="7" t="n">
        <f aca="false">D391*F391</f>
        <v>10000</v>
      </c>
      <c r="H391" s="2" t="str">
        <f aca="false">INDEX(Daftar_Menu!$B$2:$B$13,MATCH(C391,Daftar_Menu!$A$2:$A$13,0))</f>
        <v>Minuman</v>
      </c>
      <c r="I391" s="2" t="str">
        <f aca="false">CHOOSE(WEEKDAY(B391,2),"Senin","Selasa","Rabu","Kamis","Jumat","Sabtu","Minggu")</f>
        <v>Minggu</v>
      </c>
      <c r="J391" s="2" t="n">
        <f aca="false">HOUR(E391)</f>
        <v>9</v>
      </c>
      <c r="K391" s="2" t="str">
        <f aca="false">IF(J391&lt;11,"Pagi",IF(J391&lt;17,"Siang","Malam"))</f>
        <v>Pagi</v>
      </c>
      <c r="L391" s="2" t="n">
        <f aca="false">IF(A391&lt;&gt;A390,1,0)</f>
        <v>0</v>
      </c>
    </row>
    <row r="392" customFormat="false" ht="15" hidden="false" customHeight="false" outlineLevel="0" collapsed="false">
      <c r="A392" s="2" t="s">
        <v>532</v>
      </c>
      <c r="B392" s="13" t="n">
        <v>46271</v>
      </c>
      <c r="C392" s="2" t="s">
        <v>81</v>
      </c>
      <c r="D392" s="2" t="n">
        <v>1</v>
      </c>
      <c r="E392" s="15" t="n">
        <v>0.422916666666667</v>
      </c>
      <c r="F392" s="7" t="n">
        <v>15000</v>
      </c>
      <c r="G392" s="7" t="n">
        <f aca="false">D392*F392</f>
        <v>15000</v>
      </c>
      <c r="H392" s="2" t="str">
        <f aca="false">INDEX(Daftar_Menu!$B$2:$B$13,MATCH(C392,Daftar_Menu!$A$2:$A$13,0))</f>
        <v>Makanan</v>
      </c>
      <c r="I392" s="2" t="str">
        <f aca="false">CHOOSE(WEEKDAY(B392,2),"Senin","Selasa","Rabu","Kamis","Jumat","Sabtu","Minggu")</f>
        <v>Minggu</v>
      </c>
      <c r="J392" s="2" t="n">
        <f aca="false">HOUR(E392)</f>
        <v>10</v>
      </c>
      <c r="K392" s="2" t="str">
        <f aca="false">IF(J392&lt;11,"Pagi",IF(J392&lt;17,"Siang","Malam"))</f>
        <v>Pagi</v>
      </c>
      <c r="L392" s="2" t="n">
        <f aca="false">IF(A392&lt;&gt;A391,1,0)</f>
        <v>1</v>
      </c>
    </row>
    <row r="393" customFormat="false" ht="15" hidden="false" customHeight="false" outlineLevel="0" collapsed="false">
      <c r="A393" s="2" t="s">
        <v>532</v>
      </c>
      <c r="B393" s="13" t="n">
        <v>46271</v>
      </c>
      <c r="C393" s="2" t="s">
        <v>89</v>
      </c>
      <c r="D393" s="2" t="n">
        <v>1</v>
      </c>
      <c r="E393" s="15" t="n">
        <v>0.422916666666667</v>
      </c>
      <c r="F393" s="7" t="n">
        <v>14000</v>
      </c>
      <c r="G393" s="7" t="n">
        <f aca="false">D393*F393</f>
        <v>14000</v>
      </c>
      <c r="H393" s="2" t="str">
        <f aca="false">INDEX(Daftar_Menu!$B$2:$B$13,MATCH(C393,Daftar_Menu!$A$2:$A$13,0))</f>
        <v>Makanan</v>
      </c>
      <c r="I393" s="2" t="str">
        <f aca="false">CHOOSE(WEEKDAY(B393,2),"Senin","Selasa","Rabu","Kamis","Jumat","Sabtu","Minggu")</f>
        <v>Minggu</v>
      </c>
      <c r="J393" s="2" t="n">
        <f aca="false">HOUR(E393)</f>
        <v>10</v>
      </c>
      <c r="K393" s="2" t="str">
        <f aca="false">IF(J393&lt;11,"Pagi",IF(J393&lt;17,"Siang","Malam"))</f>
        <v>Pagi</v>
      </c>
      <c r="L393" s="2" t="n">
        <f aca="false">IF(A393&lt;&gt;A392,1,0)</f>
        <v>0</v>
      </c>
    </row>
    <row r="394" customFormat="false" ht="15" hidden="false" customHeight="false" outlineLevel="0" collapsed="false">
      <c r="A394" s="2" t="s">
        <v>532</v>
      </c>
      <c r="B394" s="13" t="n">
        <v>46271</v>
      </c>
      <c r="C394" s="2" t="s">
        <v>79</v>
      </c>
      <c r="D394" s="2" t="n">
        <v>2</v>
      </c>
      <c r="E394" s="15" t="n">
        <v>0.422916666666667</v>
      </c>
      <c r="F394" s="7" t="n">
        <v>16000</v>
      </c>
      <c r="G394" s="7" t="n">
        <f aca="false">D394*F394</f>
        <v>32000</v>
      </c>
      <c r="H394" s="2" t="str">
        <f aca="false">INDEX(Daftar_Menu!$B$2:$B$13,MATCH(C394,Daftar_Menu!$A$2:$A$13,0))</f>
        <v>Makanan</v>
      </c>
      <c r="I394" s="2" t="str">
        <f aca="false">CHOOSE(WEEKDAY(B394,2),"Senin","Selasa","Rabu","Kamis","Jumat","Sabtu","Minggu")</f>
        <v>Minggu</v>
      </c>
      <c r="J394" s="2" t="n">
        <f aca="false">HOUR(E394)</f>
        <v>10</v>
      </c>
      <c r="K394" s="2" t="str">
        <f aca="false">IF(J394&lt;11,"Pagi",IF(J394&lt;17,"Siang","Malam"))</f>
        <v>Pagi</v>
      </c>
      <c r="L394" s="2" t="n">
        <f aca="false">IF(A394&lt;&gt;A393,1,0)</f>
        <v>0</v>
      </c>
    </row>
    <row r="395" customFormat="false" ht="15" hidden="false" customHeight="false" outlineLevel="0" collapsed="false">
      <c r="A395" s="2" t="s">
        <v>534</v>
      </c>
      <c r="B395" s="13" t="n">
        <v>46271</v>
      </c>
      <c r="C395" s="2" t="s">
        <v>89</v>
      </c>
      <c r="D395" s="2" t="n">
        <v>3</v>
      </c>
      <c r="E395" s="15" t="n">
        <v>0.459027777777778</v>
      </c>
      <c r="F395" s="7" t="n">
        <v>14000</v>
      </c>
      <c r="G395" s="7" t="n">
        <f aca="false">D395*F395</f>
        <v>42000</v>
      </c>
      <c r="H395" s="2" t="str">
        <f aca="false">INDEX(Daftar_Menu!$B$2:$B$13,MATCH(C395,Daftar_Menu!$A$2:$A$13,0))</f>
        <v>Makanan</v>
      </c>
      <c r="I395" s="2" t="str">
        <f aca="false">CHOOSE(WEEKDAY(B395,2),"Senin","Selasa","Rabu","Kamis","Jumat","Sabtu","Minggu")</f>
        <v>Minggu</v>
      </c>
      <c r="J395" s="2" t="n">
        <f aca="false">HOUR(E395)</f>
        <v>11</v>
      </c>
      <c r="K395" s="2" t="str">
        <f aca="false">IF(J395&lt;11,"Pagi",IF(J395&lt;17,"Siang","Malam"))</f>
        <v>Siang</v>
      </c>
      <c r="L395" s="2" t="n">
        <f aca="false">IF(A395&lt;&gt;A394,1,0)</f>
        <v>1</v>
      </c>
    </row>
    <row r="396" customFormat="false" ht="15" hidden="false" customHeight="false" outlineLevel="0" collapsed="false">
      <c r="A396" s="2" t="s">
        <v>536</v>
      </c>
      <c r="B396" s="13" t="n">
        <v>46271</v>
      </c>
      <c r="C396" s="2" t="s">
        <v>89</v>
      </c>
      <c r="D396" s="2" t="n">
        <v>1</v>
      </c>
      <c r="E396" s="15" t="n">
        <v>0.470833333333333</v>
      </c>
      <c r="F396" s="7" t="n">
        <v>14000</v>
      </c>
      <c r="G396" s="7" t="n">
        <f aca="false">D396*F396</f>
        <v>14000</v>
      </c>
      <c r="H396" s="2" t="str">
        <f aca="false">INDEX(Daftar_Menu!$B$2:$B$13,MATCH(C396,Daftar_Menu!$A$2:$A$13,0))</f>
        <v>Makanan</v>
      </c>
      <c r="I396" s="2" t="str">
        <f aca="false">CHOOSE(WEEKDAY(B396,2),"Senin","Selasa","Rabu","Kamis","Jumat","Sabtu","Minggu")</f>
        <v>Minggu</v>
      </c>
      <c r="J396" s="2" t="n">
        <f aca="false">HOUR(E396)</f>
        <v>11</v>
      </c>
      <c r="K396" s="2" t="str">
        <f aca="false">IF(J396&lt;11,"Pagi",IF(J396&lt;17,"Siang","Malam"))</f>
        <v>Siang</v>
      </c>
      <c r="L396" s="2" t="n">
        <f aca="false">IF(A396&lt;&gt;A395,1,0)</f>
        <v>1</v>
      </c>
    </row>
    <row r="397" customFormat="false" ht="15" hidden="false" customHeight="false" outlineLevel="0" collapsed="false">
      <c r="A397" s="2" t="s">
        <v>538</v>
      </c>
      <c r="B397" s="13" t="n">
        <v>46271</v>
      </c>
      <c r="C397" s="2" t="s">
        <v>79</v>
      </c>
      <c r="D397" s="2" t="n">
        <v>1</v>
      </c>
      <c r="E397" s="15" t="n">
        <v>0.472222222222222</v>
      </c>
      <c r="F397" s="7" t="n">
        <v>16000</v>
      </c>
      <c r="G397" s="7" t="n">
        <f aca="false">D397*F397</f>
        <v>16000</v>
      </c>
      <c r="H397" s="2" t="str">
        <f aca="false">INDEX(Daftar_Menu!$B$2:$B$13,MATCH(C397,Daftar_Menu!$A$2:$A$13,0))</f>
        <v>Makanan</v>
      </c>
      <c r="I397" s="2" t="str">
        <f aca="false">CHOOSE(WEEKDAY(B397,2),"Senin","Selasa","Rabu","Kamis","Jumat","Sabtu","Minggu")</f>
        <v>Minggu</v>
      </c>
      <c r="J397" s="2" t="n">
        <f aca="false">HOUR(E397)</f>
        <v>11</v>
      </c>
      <c r="K397" s="2" t="str">
        <f aca="false">IF(J397&lt;11,"Pagi",IF(J397&lt;17,"Siang","Malam"))</f>
        <v>Siang</v>
      </c>
      <c r="L397" s="2" t="n">
        <f aca="false">IF(A397&lt;&gt;A396,1,0)</f>
        <v>1</v>
      </c>
    </row>
    <row r="398" customFormat="false" ht="15" hidden="false" customHeight="false" outlineLevel="0" collapsed="false">
      <c r="A398" s="2" t="s">
        <v>538</v>
      </c>
      <c r="B398" s="13" t="n">
        <v>46271</v>
      </c>
      <c r="C398" s="2" t="s">
        <v>92</v>
      </c>
      <c r="D398" s="2" t="n">
        <v>1</v>
      </c>
      <c r="E398" s="15" t="n">
        <v>0.472222222222222</v>
      </c>
      <c r="F398" s="7" t="n">
        <v>4000</v>
      </c>
      <c r="G398" s="7" t="n">
        <f aca="false">D398*F398</f>
        <v>4000</v>
      </c>
      <c r="H398" s="2" t="str">
        <f aca="false">INDEX(Daftar_Menu!$B$2:$B$13,MATCH(C398,Daftar_Menu!$A$2:$A$13,0))</f>
        <v>Minuman</v>
      </c>
      <c r="I398" s="2" t="str">
        <f aca="false">CHOOSE(WEEKDAY(B398,2),"Senin","Selasa","Rabu","Kamis","Jumat","Sabtu","Minggu")</f>
        <v>Minggu</v>
      </c>
      <c r="J398" s="2" t="n">
        <f aca="false">HOUR(E398)</f>
        <v>11</v>
      </c>
      <c r="K398" s="2" t="str">
        <f aca="false">IF(J398&lt;11,"Pagi",IF(J398&lt;17,"Siang","Malam"))</f>
        <v>Siang</v>
      </c>
      <c r="L398" s="2" t="n">
        <f aca="false">IF(A398&lt;&gt;A397,1,0)</f>
        <v>0</v>
      </c>
    </row>
    <row r="399" customFormat="false" ht="15" hidden="false" customHeight="false" outlineLevel="0" collapsed="false">
      <c r="A399" s="2" t="s">
        <v>539</v>
      </c>
      <c r="B399" s="13" t="n">
        <v>46271</v>
      </c>
      <c r="C399" s="2" t="s">
        <v>81</v>
      </c>
      <c r="D399" s="2" t="n">
        <v>1</v>
      </c>
      <c r="E399" s="15" t="n">
        <v>0.480555555555556</v>
      </c>
      <c r="F399" s="7" t="n">
        <v>15000</v>
      </c>
      <c r="G399" s="7" t="n">
        <f aca="false">D399*F399</f>
        <v>15000</v>
      </c>
      <c r="H399" s="2" t="str">
        <f aca="false">INDEX(Daftar_Menu!$B$2:$B$13,MATCH(C399,Daftar_Menu!$A$2:$A$13,0))</f>
        <v>Makanan</v>
      </c>
      <c r="I399" s="2" t="str">
        <f aca="false">CHOOSE(WEEKDAY(B399,2),"Senin","Selasa","Rabu","Kamis","Jumat","Sabtu","Minggu")</f>
        <v>Minggu</v>
      </c>
      <c r="J399" s="2" t="n">
        <f aca="false">HOUR(E399)</f>
        <v>11</v>
      </c>
      <c r="K399" s="2" t="str">
        <f aca="false">IF(J399&lt;11,"Pagi",IF(J399&lt;17,"Siang","Malam"))</f>
        <v>Siang</v>
      </c>
      <c r="L399" s="2" t="n">
        <f aca="false">IF(A399&lt;&gt;A398,1,0)</f>
        <v>1</v>
      </c>
    </row>
    <row r="400" customFormat="false" ht="15" hidden="false" customHeight="false" outlineLevel="0" collapsed="false">
      <c r="A400" s="2" t="s">
        <v>539</v>
      </c>
      <c r="B400" s="13" t="n">
        <v>46271</v>
      </c>
      <c r="C400" s="2" t="s">
        <v>132</v>
      </c>
      <c r="D400" s="2" t="n">
        <v>2</v>
      </c>
      <c r="E400" s="15" t="n">
        <v>0.480555555555556</v>
      </c>
      <c r="F400" s="7" t="n">
        <v>15000</v>
      </c>
      <c r="G400" s="7" t="n">
        <f aca="false">D400*F400</f>
        <v>30000</v>
      </c>
      <c r="H400" s="2" t="str">
        <f aca="false">INDEX(Daftar_Menu!$B$2:$B$13,MATCH(C400,Daftar_Menu!$A$2:$A$13,0))</f>
        <v>Makanan</v>
      </c>
      <c r="I400" s="2" t="str">
        <f aca="false">CHOOSE(WEEKDAY(B400,2),"Senin","Selasa","Rabu","Kamis","Jumat","Sabtu","Minggu")</f>
        <v>Minggu</v>
      </c>
      <c r="J400" s="2" t="n">
        <f aca="false">HOUR(E400)</f>
        <v>11</v>
      </c>
      <c r="K400" s="2" t="str">
        <f aca="false">IF(J400&lt;11,"Pagi",IF(J400&lt;17,"Siang","Malam"))</f>
        <v>Siang</v>
      </c>
      <c r="L400" s="2" t="n">
        <f aca="false">IF(A400&lt;&gt;A399,1,0)</f>
        <v>0</v>
      </c>
    </row>
    <row r="401" customFormat="false" ht="15" hidden="false" customHeight="false" outlineLevel="0" collapsed="false">
      <c r="A401" s="2" t="s">
        <v>541</v>
      </c>
      <c r="B401" s="13" t="n">
        <v>46271</v>
      </c>
      <c r="C401" s="2" t="s">
        <v>101</v>
      </c>
      <c r="D401" s="2" t="n">
        <v>1</v>
      </c>
      <c r="E401" s="15" t="n">
        <v>0.481944444444445</v>
      </c>
      <c r="F401" s="7" t="n">
        <v>18000</v>
      </c>
      <c r="G401" s="7" t="n">
        <f aca="false">D401*F401</f>
        <v>18000</v>
      </c>
      <c r="H401" s="2" t="str">
        <f aca="false">INDEX(Daftar_Menu!$B$2:$B$13,MATCH(C401,Daftar_Menu!$A$2:$A$13,0))</f>
        <v>Makanan</v>
      </c>
      <c r="I401" s="2" t="str">
        <f aca="false">CHOOSE(WEEKDAY(B401,2),"Senin","Selasa","Rabu","Kamis","Jumat","Sabtu","Minggu")</f>
        <v>Minggu</v>
      </c>
      <c r="J401" s="2" t="n">
        <f aca="false">HOUR(E401)</f>
        <v>11</v>
      </c>
      <c r="K401" s="2" t="str">
        <f aca="false">IF(J401&lt;11,"Pagi",IF(J401&lt;17,"Siang","Malam"))</f>
        <v>Siang</v>
      </c>
      <c r="L401" s="2" t="n">
        <f aca="false">IF(A401&lt;&gt;A400,1,0)</f>
        <v>1</v>
      </c>
    </row>
    <row r="402" customFormat="false" ht="15" hidden="false" customHeight="false" outlineLevel="0" collapsed="false">
      <c r="A402" s="2" t="s">
        <v>541</v>
      </c>
      <c r="B402" s="13" t="n">
        <v>46271</v>
      </c>
      <c r="C402" s="2" t="s">
        <v>92</v>
      </c>
      <c r="D402" s="2" t="n">
        <v>2</v>
      </c>
      <c r="E402" s="15" t="n">
        <v>0.481944444444445</v>
      </c>
      <c r="F402" s="7" t="n">
        <v>4000</v>
      </c>
      <c r="G402" s="7" t="n">
        <f aca="false">D402*F402</f>
        <v>8000</v>
      </c>
      <c r="H402" s="2" t="str">
        <f aca="false">INDEX(Daftar_Menu!$B$2:$B$13,MATCH(C402,Daftar_Menu!$A$2:$A$13,0))</f>
        <v>Minuman</v>
      </c>
      <c r="I402" s="2" t="str">
        <f aca="false">CHOOSE(WEEKDAY(B402,2),"Senin","Selasa","Rabu","Kamis","Jumat","Sabtu","Minggu")</f>
        <v>Minggu</v>
      </c>
      <c r="J402" s="2" t="n">
        <f aca="false">HOUR(E402)</f>
        <v>11</v>
      </c>
      <c r="K402" s="2" t="str">
        <f aca="false">IF(J402&lt;11,"Pagi",IF(J402&lt;17,"Siang","Malam"))</f>
        <v>Siang</v>
      </c>
      <c r="L402" s="2" t="n">
        <f aca="false">IF(A402&lt;&gt;A401,1,0)</f>
        <v>0</v>
      </c>
    </row>
    <row r="403" customFormat="false" ht="15" hidden="false" customHeight="false" outlineLevel="0" collapsed="false">
      <c r="A403" s="2" t="s">
        <v>543</v>
      </c>
      <c r="B403" s="13" t="n">
        <v>46271</v>
      </c>
      <c r="C403" s="2" t="s">
        <v>108</v>
      </c>
      <c r="D403" s="2" t="n">
        <v>1</v>
      </c>
      <c r="E403" s="15" t="n">
        <v>0.490972222222222</v>
      </c>
      <c r="F403" s="7" t="n">
        <v>20000</v>
      </c>
      <c r="G403" s="7" t="n">
        <f aca="false">D403*F403</f>
        <v>20000</v>
      </c>
      <c r="H403" s="2" t="str">
        <f aca="false">INDEX(Daftar_Menu!$B$2:$B$13,MATCH(C403,Daftar_Menu!$A$2:$A$13,0))</f>
        <v>Makanan</v>
      </c>
      <c r="I403" s="2" t="str">
        <f aca="false">CHOOSE(WEEKDAY(B403,2),"Senin","Selasa","Rabu","Kamis","Jumat","Sabtu","Minggu")</f>
        <v>Minggu</v>
      </c>
      <c r="J403" s="2" t="n">
        <f aca="false">HOUR(E403)</f>
        <v>11</v>
      </c>
      <c r="K403" s="2" t="str">
        <f aca="false">IF(J403&lt;11,"Pagi",IF(J403&lt;17,"Siang","Malam"))</f>
        <v>Siang</v>
      </c>
      <c r="L403" s="2" t="n">
        <f aca="false">IF(A403&lt;&gt;A402,1,0)</f>
        <v>1</v>
      </c>
    </row>
    <row r="404" customFormat="false" ht="15" hidden="false" customHeight="false" outlineLevel="0" collapsed="false">
      <c r="A404" s="2" t="s">
        <v>543</v>
      </c>
      <c r="B404" s="13" t="n">
        <v>46271</v>
      </c>
      <c r="C404" s="2" t="s">
        <v>132</v>
      </c>
      <c r="D404" s="2" t="n">
        <v>1</v>
      </c>
      <c r="E404" s="15" t="n">
        <v>0.490972222222222</v>
      </c>
      <c r="F404" s="7" t="n">
        <v>15000</v>
      </c>
      <c r="G404" s="7" t="n">
        <f aca="false">D404*F404</f>
        <v>15000</v>
      </c>
      <c r="H404" s="2" t="str">
        <f aca="false">INDEX(Daftar_Menu!$B$2:$B$13,MATCH(C404,Daftar_Menu!$A$2:$A$13,0))</f>
        <v>Makanan</v>
      </c>
      <c r="I404" s="2" t="str">
        <f aca="false">CHOOSE(WEEKDAY(B404,2),"Senin","Selasa","Rabu","Kamis","Jumat","Sabtu","Minggu")</f>
        <v>Minggu</v>
      </c>
      <c r="J404" s="2" t="n">
        <f aca="false">HOUR(E404)</f>
        <v>11</v>
      </c>
      <c r="K404" s="2" t="str">
        <f aca="false">IF(J404&lt;11,"Pagi",IF(J404&lt;17,"Siang","Malam"))</f>
        <v>Siang</v>
      </c>
      <c r="L404" s="2" t="n">
        <f aca="false">IF(A404&lt;&gt;A403,1,0)</f>
        <v>0</v>
      </c>
    </row>
    <row r="405" customFormat="false" ht="15" hidden="false" customHeight="false" outlineLevel="0" collapsed="false">
      <c r="A405" s="2" t="s">
        <v>544</v>
      </c>
      <c r="B405" s="13" t="n">
        <v>46271</v>
      </c>
      <c r="C405" s="2" t="s">
        <v>108</v>
      </c>
      <c r="D405" s="2" t="n">
        <v>1</v>
      </c>
      <c r="E405" s="15" t="n">
        <v>0.501388888888889</v>
      </c>
      <c r="F405" s="7" t="n">
        <v>20000</v>
      </c>
      <c r="G405" s="7" t="n">
        <f aca="false">D405*F405</f>
        <v>20000</v>
      </c>
      <c r="H405" s="2" t="str">
        <f aca="false">INDEX(Daftar_Menu!$B$2:$B$13,MATCH(C405,Daftar_Menu!$A$2:$A$13,0))</f>
        <v>Makanan</v>
      </c>
      <c r="I405" s="2" t="str">
        <f aca="false">CHOOSE(WEEKDAY(B405,2),"Senin","Selasa","Rabu","Kamis","Jumat","Sabtu","Minggu")</f>
        <v>Minggu</v>
      </c>
      <c r="J405" s="2" t="n">
        <f aca="false">HOUR(E405)</f>
        <v>12</v>
      </c>
      <c r="K405" s="2" t="str">
        <f aca="false">IF(J405&lt;11,"Pagi",IF(J405&lt;17,"Siang","Malam"))</f>
        <v>Siang</v>
      </c>
      <c r="L405" s="2" t="n">
        <f aca="false">IF(A405&lt;&gt;A404,1,0)</f>
        <v>1</v>
      </c>
    </row>
    <row r="406" customFormat="false" ht="15" hidden="false" customHeight="false" outlineLevel="0" collapsed="false">
      <c r="A406" s="2" t="s">
        <v>546</v>
      </c>
      <c r="B406" s="13" t="n">
        <v>46271</v>
      </c>
      <c r="C406" s="2" t="s">
        <v>81</v>
      </c>
      <c r="D406" s="2" t="n">
        <v>2</v>
      </c>
      <c r="E406" s="15" t="n">
        <v>0.502777777777778</v>
      </c>
      <c r="F406" s="7" t="n">
        <v>15000</v>
      </c>
      <c r="G406" s="7" t="n">
        <f aca="false">D406*F406</f>
        <v>30000</v>
      </c>
      <c r="H406" s="2" t="str">
        <f aca="false">INDEX(Daftar_Menu!$B$2:$B$13,MATCH(C406,Daftar_Menu!$A$2:$A$13,0))</f>
        <v>Makanan</v>
      </c>
      <c r="I406" s="2" t="str">
        <f aca="false">CHOOSE(WEEKDAY(B406,2),"Senin","Selasa","Rabu","Kamis","Jumat","Sabtu","Minggu")</f>
        <v>Minggu</v>
      </c>
      <c r="J406" s="2" t="n">
        <f aca="false">HOUR(E406)</f>
        <v>12</v>
      </c>
      <c r="K406" s="2" t="str">
        <f aca="false">IF(J406&lt;11,"Pagi",IF(J406&lt;17,"Siang","Malam"))</f>
        <v>Siang</v>
      </c>
      <c r="L406" s="2" t="n">
        <f aca="false">IF(A406&lt;&gt;A405,1,0)</f>
        <v>1</v>
      </c>
    </row>
    <row r="407" customFormat="false" ht="15" hidden="false" customHeight="false" outlineLevel="0" collapsed="false">
      <c r="A407" s="2" t="s">
        <v>548</v>
      </c>
      <c r="B407" s="13" t="n">
        <v>46271</v>
      </c>
      <c r="C407" s="2" t="s">
        <v>108</v>
      </c>
      <c r="D407" s="2" t="n">
        <v>1</v>
      </c>
      <c r="E407" s="15" t="n">
        <v>0.504861111111111</v>
      </c>
      <c r="F407" s="7" t="n">
        <v>20000</v>
      </c>
      <c r="G407" s="7" t="n">
        <f aca="false">D407*F407</f>
        <v>20000</v>
      </c>
      <c r="H407" s="2" t="str">
        <f aca="false">INDEX(Daftar_Menu!$B$2:$B$13,MATCH(C407,Daftar_Menu!$A$2:$A$13,0))</f>
        <v>Makanan</v>
      </c>
      <c r="I407" s="2" t="str">
        <f aca="false">CHOOSE(WEEKDAY(B407,2),"Senin","Selasa","Rabu","Kamis","Jumat","Sabtu","Minggu")</f>
        <v>Minggu</v>
      </c>
      <c r="J407" s="2" t="n">
        <f aca="false">HOUR(E407)</f>
        <v>12</v>
      </c>
      <c r="K407" s="2" t="str">
        <f aca="false">IF(J407&lt;11,"Pagi",IF(J407&lt;17,"Siang","Malam"))</f>
        <v>Siang</v>
      </c>
      <c r="L407" s="2" t="n">
        <f aca="false">IF(A407&lt;&gt;A406,1,0)</f>
        <v>1</v>
      </c>
    </row>
    <row r="408" customFormat="false" ht="15" hidden="false" customHeight="false" outlineLevel="0" collapsed="false">
      <c r="A408" s="2" t="s">
        <v>548</v>
      </c>
      <c r="B408" s="13" t="n">
        <v>46271</v>
      </c>
      <c r="C408" s="2" t="s">
        <v>112</v>
      </c>
      <c r="D408" s="2" t="n">
        <v>1</v>
      </c>
      <c r="E408" s="15" t="n">
        <v>0.504861111111111</v>
      </c>
      <c r="F408" s="7" t="n">
        <v>10000</v>
      </c>
      <c r="G408" s="7" t="n">
        <f aca="false">D408*F408</f>
        <v>10000</v>
      </c>
      <c r="H408" s="2" t="str">
        <f aca="false">INDEX(Daftar_Menu!$B$2:$B$13,MATCH(C408,Daftar_Menu!$A$2:$A$13,0))</f>
        <v>Minuman</v>
      </c>
      <c r="I408" s="2" t="str">
        <f aca="false">CHOOSE(WEEKDAY(B408,2),"Senin","Selasa","Rabu","Kamis","Jumat","Sabtu","Minggu")</f>
        <v>Minggu</v>
      </c>
      <c r="J408" s="2" t="n">
        <f aca="false">HOUR(E408)</f>
        <v>12</v>
      </c>
      <c r="K408" s="2" t="str">
        <f aca="false">IF(J408&lt;11,"Pagi",IF(J408&lt;17,"Siang","Malam"))</f>
        <v>Siang</v>
      </c>
      <c r="L408" s="2" t="n">
        <f aca="false">IF(A408&lt;&gt;A407,1,0)</f>
        <v>0</v>
      </c>
    </row>
    <row r="409" customFormat="false" ht="15" hidden="false" customHeight="false" outlineLevel="0" collapsed="false">
      <c r="A409" s="2" t="s">
        <v>548</v>
      </c>
      <c r="B409" s="13" t="n">
        <v>46271</v>
      </c>
      <c r="C409" s="2" t="s">
        <v>101</v>
      </c>
      <c r="D409" s="2" t="n">
        <v>2</v>
      </c>
      <c r="E409" s="15" t="n">
        <v>0.504861111111111</v>
      </c>
      <c r="F409" s="7" t="n">
        <v>18000</v>
      </c>
      <c r="G409" s="7" t="n">
        <f aca="false">D409*F409</f>
        <v>36000</v>
      </c>
      <c r="H409" s="2" t="str">
        <f aca="false">INDEX(Daftar_Menu!$B$2:$B$13,MATCH(C409,Daftar_Menu!$A$2:$A$13,0))</f>
        <v>Makanan</v>
      </c>
      <c r="I409" s="2" t="str">
        <f aca="false">CHOOSE(WEEKDAY(B409,2),"Senin","Selasa","Rabu","Kamis","Jumat","Sabtu","Minggu")</f>
        <v>Minggu</v>
      </c>
      <c r="J409" s="2" t="n">
        <f aca="false">HOUR(E409)</f>
        <v>12</v>
      </c>
      <c r="K409" s="2" t="str">
        <f aca="false">IF(J409&lt;11,"Pagi",IF(J409&lt;17,"Siang","Malam"))</f>
        <v>Siang</v>
      </c>
      <c r="L409" s="2" t="n">
        <f aca="false">IF(A409&lt;&gt;A408,1,0)</f>
        <v>0</v>
      </c>
    </row>
    <row r="410" customFormat="false" ht="15" hidden="false" customHeight="false" outlineLevel="0" collapsed="false">
      <c r="A410" s="2" t="s">
        <v>549</v>
      </c>
      <c r="B410" s="13" t="n">
        <v>46271</v>
      </c>
      <c r="C410" s="2" t="s">
        <v>112</v>
      </c>
      <c r="D410" s="2" t="n">
        <v>2</v>
      </c>
      <c r="E410" s="15" t="n">
        <v>0.5125</v>
      </c>
      <c r="F410" s="7" t="n">
        <v>10000</v>
      </c>
      <c r="G410" s="7" t="n">
        <f aca="false">D410*F410</f>
        <v>20000</v>
      </c>
      <c r="H410" s="2" t="str">
        <f aca="false">INDEX(Daftar_Menu!$B$2:$B$13,MATCH(C410,Daftar_Menu!$A$2:$A$13,0))</f>
        <v>Minuman</v>
      </c>
      <c r="I410" s="2" t="str">
        <f aca="false">CHOOSE(WEEKDAY(B410,2),"Senin","Selasa","Rabu","Kamis","Jumat","Sabtu","Minggu")</f>
        <v>Minggu</v>
      </c>
      <c r="J410" s="2" t="n">
        <f aca="false">HOUR(E410)</f>
        <v>12</v>
      </c>
      <c r="K410" s="2" t="str">
        <f aca="false">IF(J410&lt;11,"Pagi",IF(J410&lt;17,"Siang","Malam"))</f>
        <v>Siang</v>
      </c>
      <c r="L410" s="2" t="n">
        <f aca="false">IF(A410&lt;&gt;A409,1,0)</f>
        <v>1</v>
      </c>
    </row>
    <row r="411" customFormat="false" ht="15" hidden="false" customHeight="false" outlineLevel="0" collapsed="false">
      <c r="A411" s="2" t="s">
        <v>550</v>
      </c>
      <c r="B411" s="13" t="n">
        <v>46271</v>
      </c>
      <c r="C411" s="2" t="s">
        <v>84</v>
      </c>
      <c r="D411" s="2" t="n">
        <v>1</v>
      </c>
      <c r="E411" s="15" t="n">
        <v>0.523611111111111</v>
      </c>
      <c r="F411" s="7" t="n">
        <v>5000</v>
      </c>
      <c r="G411" s="7" t="n">
        <f aca="false">D411*F411</f>
        <v>5000</v>
      </c>
      <c r="H411" s="2" t="str">
        <f aca="false">INDEX(Daftar_Menu!$B$2:$B$13,MATCH(C411,Daftar_Menu!$A$2:$A$13,0))</f>
        <v>Minuman</v>
      </c>
      <c r="I411" s="2" t="str">
        <f aca="false">CHOOSE(WEEKDAY(B411,2),"Senin","Selasa","Rabu","Kamis","Jumat","Sabtu","Minggu")</f>
        <v>Minggu</v>
      </c>
      <c r="J411" s="2" t="n">
        <f aca="false">HOUR(E411)</f>
        <v>12</v>
      </c>
      <c r="K411" s="2" t="str">
        <f aca="false">IF(J411&lt;11,"Pagi",IF(J411&lt;17,"Siang","Malam"))</f>
        <v>Siang</v>
      </c>
      <c r="L411" s="2" t="n">
        <f aca="false">IF(A411&lt;&gt;A410,1,0)</f>
        <v>1</v>
      </c>
    </row>
    <row r="412" customFormat="false" ht="15" hidden="false" customHeight="false" outlineLevel="0" collapsed="false">
      <c r="A412" s="2" t="s">
        <v>550</v>
      </c>
      <c r="B412" s="13" t="n">
        <v>46271</v>
      </c>
      <c r="C412" s="2" t="s">
        <v>92</v>
      </c>
      <c r="D412" s="2" t="n">
        <v>1</v>
      </c>
      <c r="E412" s="15" t="n">
        <v>0.523611111111111</v>
      </c>
      <c r="F412" s="7" t="n">
        <v>4000</v>
      </c>
      <c r="G412" s="7" t="n">
        <f aca="false">D412*F412</f>
        <v>4000</v>
      </c>
      <c r="H412" s="2" t="str">
        <f aca="false">INDEX(Daftar_Menu!$B$2:$B$13,MATCH(C412,Daftar_Menu!$A$2:$A$13,0))</f>
        <v>Minuman</v>
      </c>
      <c r="I412" s="2" t="str">
        <f aca="false">CHOOSE(WEEKDAY(B412,2),"Senin","Selasa","Rabu","Kamis","Jumat","Sabtu","Minggu")</f>
        <v>Minggu</v>
      </c>
      <c r="J412" s="2" t="n">
        <f aca="false">HOUR(E412)</f>
        <v>12</v>
      </c>
      <c r="K412" s="2" t="str">
        <f aca="false">IF(J412&lt;11,"Pagi",IF(J412&lt;17,"Siang","Malam"))</f>
        <v>Siang</v>
      </c>
      <c r="L412" s="2" t="n">
        <f aca="false">IF(A412&lt;&gt;A411,1,0)</f>
        <v>0</v>
      </c>
    </row>
    <row r="413" customFormat="false" ht="15" hidden="false" customHeight="false" outlineLevel="0" collapsed="false">
      <c r="A413" s="2" t="s">
        <v>550</v>
      </c>
      <c r="B413" s="13" t="n">
        <v>46271</v>
      </c>
      <c r="C413" s="2" t="s">
        <v>82</v>
      </c>
      <c r="D413" s="2" t="n">
        <v>2</v>
      </c>
      <c r="E413" s="15" t="n">
        <v>0.523611111111111</v>
      </c>
      <c r="F413" s="7" t="n">
        <v>13000</v>
      </c>
      <c r="G413" s="7" t="n">
        <f aca="false">D413*F413</f>
        <v>26000</v>
      </c>
      <c r="H413" s="2" t="str">
        <f aca="false">INDEX(Daftar_Menu!$B$2:$B$13,MATCH(C413,Daftar_Menu!$A$2:$A$13,0))</f>
        <v>Makanan</v>
      </c>
      <c r="I413" s="2" t="str">
        <f aca="false">CHOOSE(WEEKDAY(B413,2),"Senin","Selasa","Rabu","Kamis","Jumat","Sabtu","Minggu")</f>
        <v>Minggu</v>
      </c>
      <c r="J413" s="2" t="n">
        <f aca="false">HOUR(E413)</f>
        <v>12</v>
      </c>
      <c r="K413" s="2" t="str">
        <f aca="false">IF(J413&lt;11,"Pagi",IF(J413&lt;17,"Siang","Malam"))</f>
        <v>Siang</v>
      </c>
      <c r="L413" s="2" t="n">
        <f aca="false">IF(A413&lt;&gt;A412,1,0)</f>
        <v>0</v>
      </c>
    </row>
    <row r="414" customFormat="false" ht="15" hidden="false" customHeight="false" outlineLevel="0" collapsed="false">
      <c r="A414" s="2" t="s">
        <v>551</v>
      </c>
      <c r="B414" s="13" t="n">
        <v>46271</v>
      </c>
      <c r="C414" s="2" t="s">
        <v>186</v>
      </c>
      <c r="D414" s="2" t="n">
        <v>1</v>
      </c>
      <c r="E414" s="15" t="n">
        <v>0.533333333333333</v>
      </c>
      <c r="F414" s="7" t="n">
        <v>7000</v>
      </c>
      <c r="G414" s="7" t="n">
        <f aca="false">D414*F414</f>
        <v>7000</v>
      </c>
      <c r="H414" s="2" t="str">
        <f aca="false">INDEX(Daftar_Menu!$B$2:$B$13,MATCH(C414,Daftar_Menu!$A$2:$A$13,0))</f>
        <v>Minuman</v>
      </c>
      <c r="I414" s="2" t="str">
        <f aca="false">CHOOSE(WEEKDAY(B414,2),"Senin","Selasa","Rabu","Kamis","Jumat","Sabtu","Minggu")</f>
        <v>Minggu</v>
      </c>
      <c r="J414" s="2" t="n">
        <f aca="false">HOUR(E414)</f>
        <v>12</v>
      </c>
      <c r="K414" s="2" t="str">
        <f aca="false">IF(J414&lt;11,"Pagi",IF(J414&lt;17,"Siang","Malam"))</f>
        <v>Siang</v>
      </c>
      <c r="L414" s="2" t="n">
        <f aca="false">IF(A414&lt;&gt;A413,1,0)</f>
        <v>1</v>
      </c>
    </row>
    <row r="415" customFormat="false" ht="15" hidden="false" customHeight="false" outlineLevel="0" collapsed="false">
      <c r="A415" s="2" t="s">
        <v>552</v>
      </c>
      <c r="B415" s="13" t="n">
        <v>46271</v>
      </c>
      <c r="C415" s="2" t="s">
        <v>101</v>
      </c>
      <c r="D415" s="2" t="n">
        <v>2</v>
      </c>
      <c r="E415" s="15" t="n">
        <v>0.550694444444445</v>
      </c>
      <c r="F415" s="7" t="n">
        <v>18000</v>
      </c>
      <c r="G415" s="7" t="n">
        <f aca="false">D415*F415</f>
        <v>36000</v>
      </c>
      <c r="H415" s="2" t="str">
        <f aca="false">INDEX(Daftar_Menu!$B$2:$B$13,MATCH(C415,Daftar_Menu!$A$2:$A$13,0))</f>
        <v>Makanan</v>
      </c>
      <c r="I415" s="2" t="str">
        <f aca="false">CHOOSE(WEEKDAY(B415,2),"Senin","Selasa","Rabu","Kamis","Jumat","Sabtu","Minggu")</f>
        <v>Minggu</v>
      </c>
      <c r="J415" s="2" t="n">
        <f aca="false">HOUR(E415)</f>
        <v>13</v>
      </c>
      <c r="K415" s="2" t="str">
        <f aca="false">IF(J415&lt;11,"Pagi",IF(J415&lt;17,"Siang","Malam"))</f>
        <v>Siang</v>
      </c>
      <c r="L415" s="2" t="n">
        <f aca="false">IF(A415&lt;&gt;A414,1,0)</f>
        <v>1</v>
      </c>
    </row>
    <row r="416" customFormat="false" ht="15" hidden="false" customHeight="false" outlineLevel="0" collapsed="false">
      <c r="A416" s="2" t="s">
        <v>554</v>
      </c>
      <c r="B416" s="13" t="n">
        <v>46271</v>
      </c>
      <c r="C416" s="2" t="s">
        <v>101</v>
      </c>
      <c r="D416" s="2" t="n">
        <v>1</v>
      </c>
      <c r="E416" s="15" t="n">
        <v>0.558333333333333</v>
      </c>
      <c r="F416" s="7" t="n">
        <v>18000</v>
      </c>
      <c r="G416" s="7" t="n">
        <f aca="false">D416*F416</f>
        <v>18000</v>
      </c>
      <c r="H416" s="2" t="str">
        <f aca="false">INDEX(Daftar_Menu!$B$2:$B$13,MATCH(C416,Daftar_Menu!$A$2:$A$13,0))</f>
        <v>Makanan</v>
      </c>
      <c r="I416" s="2" t="str">
        <f aca="false">CHOOSE(WEEKDAY(B416,2),"Senin","Selasa","Rabu","Kamis","Jumat","Sabtu","Minggu")</f>
        <v>Minggu</v>
      </c>
      <c r="J416" s="2" t="n">
        <f aca="false">HOUR(E416)</f>
        <v>13</v>
      </c>
      <c r="K416" s="2" t="str">
        <f aca="false">IF(J416&lt;11,"Pagi",IF(J416&lt;17,"Siang","Malam"))</f>
        <v>Siang</v>
      </c>
      <c r="L416" s="2" t="n">
        <f aca="false">IF(A416&lt;&gt;A415,1,0)</f>
        <v>1</v>
      </c>
    </row>
    <row r="417" customFormat="false" ht="15" hidden="false" customHeight="false" outlineLevel="0" collapsed="false">
      <c r="A417" s="2" t="s">
        <v>555</v>
      </c>
      <c r="B417" s="13" t="n">
        <v>46271</v>
      </c>
      <c r="C417" s="2" t="s">
        <v>81</v>
      </c>
      <c r="D417" s="2" t="n">
        <v>1</v>
      </c>
      <c r="E417" s="15" t="n">
        <v>0.56875</v>
      </c>
      <c r="F417" s="7" t="n">
        <v>15000</v>
      </c>
      <c r="G417" s="7" t="n">
        <f aca="false">D417*F417</f>
        <v>15000</v>
      </c>
      <c r="H417" s="2" t="str">
        <f aca="false">INDEX(Daftar_Menu!$B$2:$B$13,MATCH(C417,Daftar_Menu!$A$2:$A$13,0))</f>
        <v>Makanan</v>
      </c>
      <c r="I417" s="2" t="str">
        <f aca="false">CHOOSE(WEEKDAY(B417,2),"Senin","Selasa","Rabu","Kamis","Jumat","Sabtu","Minggu")</f>
        <v>Minggu</v>
      </c>
      <c r="J417" s="2" t="n">
        <f aca="false">HOUR(E417)</f>
        <v>13</v>
      </c>
      <c r="K417" s="2" t="str">
        <f aca="false">IF(J417&lt;11,"Pagi",IF(J417&lt;17,"Siang","Malam"))</f>
        <v>Siang</v>
      </c>
      <c r="L417" s="2" t="n">
        <f aca="false">IF(A417&lt;&gt;A416,1,0)</f>
        <v>1</v>
      </c>
    </row>
    <row r="418" customFormat="false" ht="15" hidden="false" customHeight="false" outlineLevel="0" collapsed="false">
      <c r="A418" s="2" t="s">
        <v>555</v>
      </c>
      <c r="B418" s="13" t="n">
        <v>46271</v>
      </c>
      <c r="C418" s="2" t="s">
        <v>126</v>
      </c>
      <c r="D418" s="2" t="n">
        <v>1</v>
      </c>
      <c r="E418" s="15" t="n">
        <v>0.56875</v>
      </c>
      <c r="F418" s="7" t="n">
        <v>3000</v>
      </c>
      <c r="G418" s="7" t="n">
        <f aca="false">D418*F418</f>
        <v>3000</v>
      </c>
      <c r="H418" s="2" t="str">
        <f aca="false">INDEX(Daftar_Menu!$B$2:$B$13,MATCH(C418,Daftar_Menu!$A$2:$A$13,0))</f>
        <v>Minuman</v>
      </c>
      <c r="I418" s="2" t="str">
        <f aca="false">CHOOSE(WEEKDAY(B418,2),"Senin","Selasa","Rabu","Kamis","Jumat","Sabtu","Minggu")</f>
        <v>Minggu</v>
      </c>
      <c r="J418" s="2" t="n">
        <f aca="false">HOUR(E418)</f>
        <v>13</v>
      </c>
      <c r="K418" s="2" t="str">
        <f aca="false">IF(J418&lt;11,"Pagi",IF(J418&lt;17,"Siang","Malam"))</f>
        <v>Siang</v>
      </c>
      <c r="L418" s="2" t="n">
        <f aca="false">IF(A418&lt;&gt;A417,1,0)</f>
        <v>0</v>
      </c>
    </row>
    <row r="419" customFormat="false" ht="15" hidden="false" customHeight="false" outlineLevel="0" collapsed="false">
      <c r="A419" s="2" t="s">
        <v>555</v>
      </c>
      <c r="B419" s="13" t="n">
        <v>46271</v>
      </c>
      <c r="C419" s="2" t="s">
        <v>84</v>
      </c>
      <c r="D419" s="2" t="n">
        <v>1</v>
      </c>
      <c r="E419" s="15" t="n">
        <v>0.56875</v>
      </c>
      <c r="F419" s="7" t="n">
        <v>5000</v>
      </c>
      <c r="G419" s="7" t="n">
        <f aca="false">D419*F419</f>
        <v>5000</v>
      </c>
      <c r="H419" s="2" t="str">
        <f aca="false">INDEX(Daftar_Menu!$B$2:$B$13,MATCH(C419,Daftar_Menu!$A$2:$A$13,0))</f>
        <v>Minuman</v>
      </c>
      <c r="I419" s="2" t="str">
        <f aca="false">CHOOSE(WEEKDAY(B419,2),"Senin","Selasa","Rabu","Kamis","Jumat","Sabtu","Minggu")</f>
        <v>Minggu</v>
      </c>
      <c r="J419" s="2" t="n">
        <f aca="false">HOUR(E419)</f>
        <v>13</v>
      </c>
      <c r="K419" s="2" t="str">
        <f aca="false">IF(J419&lt;11,"Pagi",IF(J419&lt;17,"Siang","Malam"))</f>
        <v>Siang</v>
      </c>
      <c r="L419" s="2" t="n">
        <f aca="false">IF(A419&lt;&gt;A418,1,0)</f>
        <v>0</v>
      </c>
    </row>
    <row r="420" customFormat="false" ht="15" hidden="false" customHeight="false" outlineLevel="0" collapsed="false">
      <c r="A420" s="2" t="s">
        <v>557</v>
      </c>
      <c r="B420" s="13" t="n">
        <v>46271</v>
      </c>
      <c r="C420" s="2" t="s">
        <v>84</v>
      </c>
      <c r="D420" s="2" t="n">
        <v>2</v>
      </c>
      <c r="E420" s="15" t="n">
        <v>0.577777777777778</v>
      </c>
      <c r="F420" s="7" t="n">
        <v>5000</v>
      </c>
      <c r="G420" s="7" t="n">
        <f aca="false">D420*F420</f>
        <v>10000</v>
      </c>
      <c r="H420" s="2" t="str">
        <f aca="false">INDEX(Daftar_Menu!$B$2:$B$13,MATCH(C420,Daftar_Menu!$A$2:$A$13,0))</f>
        <v>Minuman</v>
      </c>
      <c r="I420" s="2" t="str">
        <f aca="false">CHOOSE(WEEKDAY(B420,2),"Senin","Selasa","Rabu","Kamis","Jumat","Sabtu","Minggu")</f>
        <v>Minggu</v>
      </c>
      <c r="J420" s="2" t="n">
        <f aca="false">HOUR(E420)</f>
        <v>13</v>
      </c>
      <c r="K420" s="2" t="str">
        <f aca="false">IF(J420&lt;11,"Pagi",IF(J420&lt;17,"Siang","Malam"))</f>
        <v>Siang</v>
      </c>
      <c r="L420" s="2" t="n">
        <f aca="false">IF(A420&lt;&gt;A419,1,0)</f>
        <v>1</v>
      </c>
    </row>
    <row r="421" customFormat="false" ht="15" hidden="false" customHeight="false" outlineLevel="0" collapsed="false">
      <c r="A421" s="2" t="s">
        <v>558</v>
      </c>
      <c r="B421" s="13" t="n">
        <v>46271</v>
      </c>
      <c r="C421" s="2" t="s">
        <v>92</v>
      </c>
      <c r="D421" s="2" t="n">
        <v>1</v>
      </c>
      <c r="E421" s="15" t="n">
        <v>0.581944444444445</v>
      </c>
      <c r="F421" s="7" t="n">
        <v>4000</v>
      </c>
      <c r="G421" s="7" t="n">
        <f aca="false">D421*F421</f>
        <v>4000</v>
      </c>
      <c r="H421" s="2" t="str">
        <f aca="false">INDEX(Daftar_Menu!$B$2:$B$13,MATCH(C421,Daftar_Menu!$A$2:$A$13,0))</f>
        <v>Minuman</v>
      </c>
      <c r="I421" s="2" t="str">
        <f aca="false">CHOOSE(WEEKDAY(B421,2),"Senin","Selasa","Rabu","Kamis","Jumat","Sabtu","Minggu")</f>
        <v>Minggu</v>
      </c>
      <c r="J421" s="2" t="n">
        <f aca="false">HOUR(E421)</f>
        <v>13</v>
      </c>
      <c r="K421" s="2" t="str">
        <f aca="false">IF(J421&lt;11,"Pagi",IF(J421&lt;17,"Siang","Malam"))</f>
        <v>Siang</v>
      </c>
      <c r="L421" s="2" t="n">
        <f aca="false">IF(A421&lt;&gt;A420,1,0)</f>
        <v>1</v>
      </c>
    </row>
    <row r="422" customFormat="false" ht="15" hidden="false" customHeight="false" outlineLevel="0" collapsed="false">
      <c r="A422" s="2" t="s">
        <v>560</v>
      </c>
      <c r="B422" s="13" t="n">
        <v>46271</v>
      </c>
      <c r="C422" s="2" t="s">
        <v>89</v>
      </c>
      <c r="D422" s="2" t="n">
        <v>2</v>
      </c>
      <c r="E422" s="15" t="n">
        <v>0.607638888888889</v>
      </c>
      <c r="F422" s="7" t="n">
        <v>14000</v>
      </c>
      <c r="G422" s="7" t="n">
        <f aca="false">D422*F422</f>
        <v>28000</v>
      </c>
      <c r="H422" s="2" t="str">
        <f aca="false">INDEX(Daftar_Menu!$B$2:$B$13,MATCH(C422,Daftar_Menu!$A$2:$A$13,0))</f>
        <v>Makanan</v>
      </c>
      <c r="I422" s="2" t="str">
        <f aca="false">CHOOSE(WEEKDAY(B422,2),"Senin","Selasa","Rabu","Kamis","Jumat","Sabtu","Minggu")</f>
        <v>Minggu</v>
      </c>
      <c r="J422" s="2" t="n">
        <f aca="false">HOUR(E422)</f>
        <v>14</v>
      </c>
      <c r="K422" s="2" t="str">
        <f aca="false">IF(J422&lt;11,"Pagi",IF(J422&lt;17,"Siang","Malam"))</f>
        <v>Siang</v>
      </c>
      <c r="L422" s="2" t="n">
        <f aca="false">IF(A422&lt;&gt;A421,1,0)</f>
        <v>1</v>
      </c>
    </row>
    <row r="423" customFormat="false" ht="15" hidden="false" customHeight="false" outlineLevel="0" collapsed="false">
      <c r="A423" s="2" t="s">
        <v>560</v>
      </c>
      <c r="B423" s="13" t="n">
        <v>46271</v>
      </c>
      <c r="C423" s="2" t="s">
        <v>84</v>
      </c>
      <c r="D423" s="2" t="n">
        <v>1</v>
      </c>
      <c r="E423" s="15" t="n">
        <v>0.607638888888889</v>
      </c>
      <c r="F423" s="7" t="n">
        <v>5000</v>
      </c>
      <c r="G423" s="7" t="n">
        <f aca="false">D423*F423</f>
        <v>5000</v>
      </c>
      <c r="H423" s="2" t="str">
        <f aca="false">INDEX(Daftar_Menu!$B$2:$B$13,MATCH(C423,Daftar_Menu!$A$2:$A$13,0))</f>
        <v>Minuman</v>
      </c>
      <c r="I423" s="2" t="str">
        <f aca="false">CHOOSE(WEEKDAY(B423,2),"Senin","Selasa","Rabu","Kamis","Jumat","Sabtu","Minggu")</f>
        <v>Minggu</v>
      </c>
      <c r="J423" s="2" t="n">
        <f aca="false">HOUR(E423)</f>
        <v>14</v>
      </c>
      <c r="K423" s="2" t="str">
        <f aca="false">IF(J423&lt;11,"Pagi",IF(J423&lt;17,"Siang","Malam"))</f>
        <v>Siang</v>
      </c>
      <c r="L423" s="2" t="n">
        <f aca="false">IF(A423&lt;&gt;A422,1,0)</f>
        <v>0</v>
      </c>
    </row>
    <row r="424" customFormat="false" ht="15" hidden="false" customHeight="false" outlineLevel="0" collapsed="false">
      <c r="A424" s="2" t="s">
        <v>562</v>
      </c>
      <c r="B424" s="13" t="n">
        <v>46271</v>
      </c>
      <c r="C424" s="2" t="s">
        <v>89</v>
      </c>
      <c r="D424" s="2" t="n">
        <v>2</v>
      </c>
      <c r="E424" s="15" t="n">
        <v>0.609027777777778</v>
      </c>
      <c r="F424" s="7" t="n">
        <v>14000</v>
      </c>
      <c r="G424" s="7" t="n">
        <f aca="false">D424*F424</f>
        <v>28000</v>
      </c>
      <c r="H424" s="2" t="str">
        <f aca="false">INDEX(Daftar_Menu!$B$2:$B$13,MATCH(C424,Daftar_Menu!$A$2:$A$13,0))</f>
        <v>Makanan</v>
      </c>
      <c r="I424" s="2" t="str">
        <f aca="false">CHOOSE(WEEKDAY(B424,2),"Senin","Selasa","Rabu","Kamis","Jumat","Sabtu","Minggu")</f>
        <v>Minggu</v>
      </c>
      <c r="J424" s="2" t="n">
        <f aca="false">HOUR(E424)</f>
        <v>14</v>
      </c>
      <c r="K424" s="2" t="str">
        <f aca="false">IF(J424&lt;11,"Pagi",IF(J424&lt;17,"Siang","Malam"))</f>
        <v>Siang</v>
      </c>
      <c r="L424" s="2" t="n">
        <f aca="false">IF(A424&lt;&gt;A423,1,0)</f>
        <v>1</v>
      </c>
    </row>
    <row r="425" customFormat="false" ht="15" hidden="false" customHeight="false" outlineLevel="0" collapsed="false">
      <c r="A425" s="2" t="s">
        <v>562</v>
      </c>
      <c r="B425" s="13" t="n">
        <v>46271</v>
      </c>
      <c r="C425" s="2" t="s">
        <v>112</v>
      </c>
      <c r="D425" s="2" t="n">
        <v>1</v>
      </c>
      <c r="E425" s="15" t="n">
        <v>0.609027777777778</v>
      </c>
      <c r="F425" s="7" t="n">
        <v>10000</v>
      </c>
      <c r="G425" s="7" t="n">
        <f aca="false">D425*F425</f>
        <v>10000</v>
      </c>
      <c r="H425" s="2" t="str">
        <f aca="false">INDEX(Daftar_Menu!$B$2:$B$13,MATCH(C425,Daftar_Menu!$A$2:$A$13,0))</f>
        <v>Minuman</v>
      </c>
      <c r="I425" s="2" t="str">
        <f aca="false">CHOOSE(WEEKDAY(B425,2),"Senin","Selasa","Rabu","Kamis","Jumat","Sabtu","Minggu")</f>
        <v>Minggu</v>
      </c>
      <c r="J425" s="2" t="n">
        <f aca="false">HOUR(E425)</f>
        <v>14</v>
      </c>
      <c r="K425" s="2" t="str">
        <f aca="false">IF(J425&lt;11,"Pagi",IF(J425&lt;17,"Siang","Malam"))</f>
        <v>Siang</v>
      </c>
      <c r="L425" s="2" t="n">
        <f aca="false">IF(A425&lt;&gt;A424,1,0)</f>
        <v>0</v>
      </c>
    </row>
    <row r="426" customFormat="false" ht="15" hidden="false" customHeight="false" outlineLevel="0" collapsed="false">
      <c r="A426" s="2" t="s">
        <v>564</v>
      </c>
      <c r="B426" s="13" t="n">
        <v>46271</v>
      </c>
      <c r="C426" s="2" t="s">
        <v>126</v>
      </c>
      <c r="D426" s="2" t="n">
        <v>1</v>
      </c>
      <c r="E426" s="15" t="n">
        <v>0.621527777777778</v>
      </c>
      <c r="F426" s="7" t="n">
        <v>3000</v>
      </c>
      <c r="G426" s="7" t="n">
        <f aca="false">D426*F426</f>
        <v>3000</v>
      </c>
      <c r="H426" s="2" t="str">
        <f aca="false">INDEX(Daftar_Menu!$B$2:$B$13,MATCH(C426,Daftar_Menu!$A$2:$A$13,0))</f>
        <v>Minuman</v>
      </c>
      <c r="I426" s="2" t="str">
        <f aca="false">CHOOSE(WEEKDAY(B426,2),"Senin","Selasa","Rabu","Kamis","Jumat","Sabtu","Minggu")</f>
        <v>Minggu</v>
      </c>
      <c r="J426" s="2" t="n">
        <f aca="false">HOUR(E426)</f>
        <v>14</v>
      </c>
      <c r="K426" s="2" t="str">
        <f aca="false">IF(J426&lt;11,"Pagi",IF(J426&lt;17,"Siang","Malam"))</f>
        <v>Siang</v>
      </c>
      <c r="L426" s="2" t="n">
        <f aca="false">IF(A426&lt;&gt;A425,1,0)</f>
        <v>1</v>
      </c>
    </row>
    <row r="427" customFormat="false" ht="15" hidden="false" customHeight="false" outlineLevel="0" collapsed="false">
      <c r="A427" s="2" t="s">
        <v>566</v>
      </c>
      <c r="B427" s="13" t="n">
        <v>46271</v>
      </c>
      <c r="C427" s="2" t="s">
        <v>89</v>
      </c>
      <c r="D427" s="2" t="n">
        <v>1</v>
      </c>
      <c r="E427" s="15" t="n">
        <v>0.638194444444444</v>
      </c>
      <c r="F427" s="7" t="n">
        <v>14000</v>
      </c>
      <c r="G427" s="7" t="n">
        <f aca="false">D427*F427</f>
        <v>14000</v>
      </c>
      <c r="H427" s="2" t="str">
        <f aca="false">INDEX(Daftar_Menu!$B$2:$B$13,MATCH(C427,Daftar_Menu!$A$2:$A$13,0))</f>
        <v>Makanan</v>
      </c>
      <c r="I427" s="2" t="str">
        <f aca="false">CHOOSE(WEEKDAY(B427,2),"Senin","Selasa","Rabu","Kamis","Jumat","Sabtu","Minggu")</f>
        <v>Minggu</v>
      </c>
      <c r="J427" s="2" t="n">
        <f aca="false">HOUR(E427)</f>
        <v>15</v>
      </c>
      <c r="K427" s="2" t="str">
        <f aca="false">IF(J427&lt;11,"Pagi",IF(J427&lt;17,"Siang","Malam"))</f>
        <v>Siang</v>
      </c>
      <c r="L427" s="2" t="n">
        <f aca="false">IF(A427&lt;&gt;A426,1,0)</f>
        <v>1</v>
      </c>
    </row>
    <row r="428" customFormat="false" ht="15" hidden="false" customHeight="false" outlineLevel="0" collapsed="false">
      <c r="A428" s="2" t="s">
        <v>566</v>
      </c>
      <c r="B428" s="13" t="n">
        <v>46271</v>
      </c>
      <c r="C428" s="2" t="s">
        <v>132</v>
      </c>
      <c r="D428" s="2" t="n">
        <v>2</v>
      </c>
      <c r="E428" s="15" t="n">
        <v>0.638194444444444</v>
      </c>
      <c r="F428" s="7" t="n">
        <v>15000</v>
      </c>
      <c r="G428" s="7" t="n">
        <f aca="false">D428*F428</f>
        <v>30000</v>
      </c>
      <c r="H428" s="2" t="str">
        <f aca="false">INDEX(Daftar_Menu!$B$2:$B$13,MATCH(C428,Daftar_Menu!$A$2:$A$13,0))</f>
        <v>Makanan</v>
      </c>
      <c r="I428" s="2" t="str">
        <f aca="false">CHOOSE(WEEKDAY(B428,2),"Senin","Selasa","Rabu","Kamis","Jumat","Sabtu","Minggu")</f>
        <v>Minggu</v>
      </c>
      <c r="J428" s="2" t="n">
        <f aca="false">HOUR(E428)</f>
        <v>15</v>
      </c>
      <c r="K428" s="2" t="str">
        <f aca="false">IF(J428&lt;11,"Pagi",IF(J428&lt;17,"Siang","Malam"))</f>
        <v>Siang</v>
      </c>
      <c r="L428" s="2" t="n">
        <f aca="false">IF(A428&lt;&gt;A427,1,0)</f>
        <v>0</v>
      </c>
    </row>
    <row r="429" customFormat="false" ht="15" hidden="false" customHeight="false" outlineLevel="0" collapsed="false">
      <c r="A429" s="2" t="s">
        <v>568</v>
      </c>
      <c r="B429" s="13" t="n">
        <v>46271</v>
      </c>
      <c r="C429" s="2" t="s">
        <v>132</v>
      </c>
      <c r="D429" s="2" t="n">
        <v>1</v>
      </c>
      <c r="E429" s="15" t="n">
        <v>0.647916666666667</v>
      </c>
      <c r="F429" s="7" t="n">
        <v>15000</v>
      </c>
      <c r="G429" s="7" t="n">
        <f aca="false">D429*F429</f>
        <v>15000</v>
      </c>
      <c r="H429" s="2" t="str">
        <f aca="false">INDEX(Daftar_Menu!$B$2:$B$13,MATCH(C429,Daftar_Menu!$A$2:$A$13,0))</f>
        <v>Makanan</v>
      </c>
      <c r="I429" s="2" t="str">
        <f aca="false">CHOOSE(WEEKDAY(B429,2),"Senin","Selasa","Rabu","Kamis","Jumat","Sabtu","Minggu")</f>
        <v>Minggu</v>
      </c>
      <c r="J429" s="2" t="n">
        <f aca="false">HOUR(E429)</f>
        <v>15</v>
      </c>
      <c r="K429" s="2" t="str">
        <f aca="false">IF(J429&lt;11,"Pagi",IF(J429&lt;17,"Siang","Malam"))</f>
        <v>Siang</v>
      </c>
      <c r="L429" s="2" t="n">
        <f aca="false">IF(A429&lt;&gt;A428,1,0)</f>
        <v>1</v>
      </c>
    </row>
    <row r="430" customFormat="false" ht="15" hidden="false" customHeight="false" outlineLevel="0" collapsed="false">
      <c r="A430" s="2" t="s">
        <v>570</v>
      </c>
      <c r="B430" s="13" t="n">
        <v>46271</v>
      </c>
      <c r="C430" s="2" t="s">
        <v>81</v>
      </c>
      <c r="D430" s="2" t="n">
        <v>2</v>
      </c>
      <c r="E430" s="15" t="n">
        <v>0.651388888888889</v>
      </c>
      <c r="F430" s="7" t="n">
        <v>15000</v>
      </c>
      <c r="G430" s="7" t="n">
        <f aca="false">D430*F430</f>
        <v>30000</v>
      </c>
      <c r="H430" s="2" t="str">
        <f aca="false">INDEX(Daftar_Menu!$B$2:$B$13,MATCH(C430,Daftar_Menu!$A$2:$A$13,0))</f>
        <v>Makanan</v>
      </c>
      <c r="I430" s="2" t="str">
        <f aca="false">CHOOSE(WEEKDAY(B430,2),"Senin","Selasa","Rabu","Kamis","Jumat","Sabtu","Minggu")</f>
        <v>Minggu</v>
      </c>
      <c r="J430" s="2" t="n">
        <f aca="false">HOUR(E430)</f>
        <v>15</v>
      </c>
      <c r="K430" s="2" t="str">
        <f aca="false">IF(J430&lt;11,"Pagi",IF(J430&lt;17,"Siang","Malam"))</f>
        <v>Siang</v>
      </c>
      <c r="L430" s="2" t="n">
        <f aca="false">IF(A430&lt;&gt;A429,1,0)</f>
        <v>1</v>
      </c>
    </row>
    <row r="431" customFormat="false" ht="15" hidden="false" customHeight="false" outlineLevel="0" collapsed="false">
      <c r="A431" s="2" t="s">
        <v>570</v>
      </c>
      <c r="B431" s="13" t="n">
        <v>46271</v>
      </c>
      <c r="C431" s="2" t="s">
        <v>186</v>
      </c>
      <c r="D431" s="2" t="n">
        <v>1</v>
      </c>
      <c r="E431" s="15" t="n">
        <v>0.651388888888889</v>
      </c>
      <c r="F431" s="7" t="n">
        <v>7000</v>
      </c>
      <c r="G431" s="7" t="n">
        <f aca="false">D431*F431</f>
        <v>7000</v>
      </c>
      <c r="H431" s="2" t="str">
        <f aca="false">INDEX(Daftar_Menu!$B$2:$B$13,MATCH(C431,Daftar_Menu!$A$2:$A$13,0))</f>
        <v>Minuman</v>
      </c>
      <c r="I431" s="2" t="str">
        <f aca="false">CHOOSE(WEEKDAY(B431,2),"Senin","Selasa","Rabu","Kamis","Jumat","Sabtu","Minggu")</f>
        <v>Minggu</v>
      </c>
      <c r="J431" s="2" t="n">
        <f aca="false">HOUR(E431)</f>
        <v>15</v>
      </c>
      <c r="K431" s="2" t="str">
        <f aca="false">IF(J431&lt;11,"Pagi",IF(J431&lt;17,"Siang","Malam"))</f>
        <v>Siang</v>
      </c>
      <c r="L431" s="2" t="n">
        <f aca="false">IF(A431&lt;&gt;A430,1,0)</f>
        <v>0</v>
      </c>
    </row>
    <row r="432" customFormat="false" ht="15" hidden="false" customHeight="false" outlineLevel="0" collapsed="false">
      <c r="A432" s="2" t="s">
        <v>571</v>
      </c>
      <c r="B432" s="13" t="n">
        <v>46271</v>
      </c>
      <c r="C432" s="2" t="s">
        <v>81</v>
      </c>
      <c r="D432" s="2" t="n">
        <v>1</v>
      </c>
      <c r="E432" s="15" t="n">
        <v>0.661805555555556</v>
      </c>
      <c r="F432" s="7" t="n">
        <v>15000</v>
      </c>
      <c r="G432" s="7" t="n">
        <f aca="false">D432*F432</f>
        <v>15000</v>
      </c>
      <c r="H432" s="2" t="str">
        <f aca="false">INDEX(Daftar_Menu!$B$2:$B$13,MATCH(C432,Daftar_Menu!$A$2:$A$13,0))</f>
        <v>Makanan</v>
      </c>
      <c r="I432" s="2" t="str">
        <f aca="false">CHOOSE(WEEKDAY(B432,2),"Senin","Selasa","Rabu","Kamis","Jumat","Sabtu","Minggu")</f>
        <v>Minggu</v>
      </c>
      <c r="J432" s="2" t="n">
        <f aca="false">HOUR(E432)</f>
        <v>15</v>
      </c>
      <c r="K432" s="2" t="str">
        <f aca="false">IF(J432&lt;11,"Pagi",IF(J432&lt;17,"Siang","Malam"))</f>
        <v>Siang</v>
      </c>
      <c r="L432" s="2" t="n">
        <f aca="false">IF(A432&lt;&gt;A431,1,0)</f>
        <v>1</v>
      </c>
    </row>
    <row r="433" customFormat="false" ht="15" hidden="false" customHeight="false" outlineLevel="0" collapsed="false">
      <c r="A433" s="2" t="s">
        <v>573</v>
      </c>
      <c r="B433" s="13" t="n">
        <v>46271</v>
      </c>
      <c r="C433" s="2" t="s">
        <v>84</v>
      </c>
      <c r="D433" s="2" t="n">
        <v>1</v>
      </c>
      <c r="E433" s="15" t="n">
        <v>0.6625</v>
      </c>
      <c r="F433" s="7" t="n">
        <v>5000</v>
      </c>
      <c r="G433" s="7" t="n">
        <f aca="false">D433*F433</f>
        <v>5000</v>
      </c>
      <c r="H433" s="2" t="str">
        <f aca="false">INDEX(Daftar_Menu!$B$2:$B$13,MATCH(C433,Daftar_Menu!$A$2:$A$13,0))</f>
        <v>Minuman</v>
      </c>
      <c r="I433" s="2" t="str">
        <f aca="false">CHOOSE(WEEKDAY(B433,2),"Senin","Selasa","Rabu","Kamis","Jumat","Sabtu","Minggu")</f>
        <v>Minggu</v>
      </c>
      <c r="J433" s="2" t="n">
        <f aca="false">HOUR(E433)</f>
        <v>15</v>
      </c>
      <c r="K433" s="2" t="str">
        <f aca="false">IF(J433&lt;11,"Pagi",IF(J433&lt;17,"Siang","Malam"))</f>
        <v>Siang</v>
      </c>
      <c r="L433" s="2" t="n">
        <f aca="false">IF(A433&lt;&gt;A432,1,0)</f>
        <v>1</v>
      </c>
    </row>
    <row r="434" customFormat="false" ht="15" hidden="false" customHeight="false" outlineLevel="0" collapsed="false">
      <c r="A434" s="2" t="s">
        <v>573</v>
      </c>
      <c r="B434" s="13" t="n">
        <v>46271</v>
      </c>
      <c r="C434" s="2" t="s">
        <v>101</v>
      </c>
      <c r="D434" s="2" t="n">
        <v>1</v>
      </c>
      <c r="E434" s="15" t="n">
        <v>0.6625</v>
      </c>
      <c r="F434" s="7" t="n">
        <v>18000</v>
      </c>
      <c r="G434" s="7" t="n">
        <f aca="false">D434*F434</f>
        <v>18000</v>
      </c>
      <c r="H434" s="2" t="str">
        <f aca="false">INDEX(Daftar_Menu!$B$2:$B$13,MATCH(C434,Daftar_Menu!$A$2:$A$13,0))</f>
        <v>Makanan</v>
      </c>
      <c r="I434" s="2" t="str">
        <f aca="false">CHOOSE(WEEKDAY(B434,2),"Senin","Selasa","Rabu","Kamis","Jumat","Sabtu","Minggu")</f>
        <v>Minggu</v>
      </c>
      <c r="J434" s="2" t="n">
        <f aca="false">HOUR(E434)</f>
        <v>15</v>
      </c>
      <c r="K434" s="2" t="str">
        <f aca="false">IF(J434&lt;11,"Pagi",IF(J434&lt;17,"Siang","Malam"))</f>
        <v>Siang</v>
      </c>
      <c r="L434" s="2" t="n">
        <f aca="false">IF(A434&lt;&gt;A433,1,0)</f>
        <v>0</v>
      </c>
    </row>
    <row r="435" customFormat="false" ht="15" hidden="false" customHeight="false" outlineLevel="0" collapsed="false">
      <c r="A435" s="2" t="s">
        <v>574</v>
      </c>
      <c r="B435" s="13" t="n">
        <v>46271</v>
      </c>
      <c r="C435" s="2" t="s">
        <v>132</v>
      </c>
      <c r="D435" s="2" t="n">
        <v>1</v>
      </c>
      <c r="E435" s="15" t="n">
        <v>0.708333333333333</v>
      </c>
      <c r="F435" s="7" t="n">
        <v>15000</v>
      </c>
      <c r="G435" s="7" t="n">
        <f aca="false">D435*F435</f>
        <v>15000</v>
      </c>
      <c r="H435" s="2" t="str">
        <f aca="false">INDEX(Daftar_Menu!$B$2:$B$13,MATCH(C435,Daftar_Menu!$A$2:$A$13,0))</f>
        <v>Makanan</v>
      </c>
      <c r="I435" s="2" t="str">
        <f aca="false">CHOOSE(WEEKDAY(B435,2),"Senin","Selasa","Rabu","Kamis","Jumat","Sabtu","Minggu")</f>
        <v>Minggu</v>
      </c>
      <c r="J435" s="2" t="n">
        <f aca="false">HOUR(E435)</f>
        <v>17</v>
      </c>
      <c r="K435" s="2" t="str">
        <f aca="false">IF(J435&lt;11,"Pagi",IF(J435&lt;17,"Siang","Malam"))</f>
        <v>Malam</v>
      </c>
      <c r="L435" s="2" t="n">
        <f aca="false">IF(A435&lt;&gt;A434,1,0)</f>
        <v>1</v>
      </c>
    </row>
    <row r="436" customFormat="false" ht="15" hidden="false" customHeight="false" outlineLevel="0" collapsed="false">
      <c r="A436" s="2" t="s">
        <v>576</v>
      </c>
      <c r="B436" s="13" t="n">
        <v>46271</v>
      </c>
      <c r="C436" s="2" t="s">
        <v>132</v>
      </c>
      <c r="D436" s="2" t="n">
        <v>1</v>
      </c>
      <c r="E436" s="15" t="n">
        <v>0.713888888888889</v>
      </c>
      <c r="F436" s="7" t="n">
        <v>15000</v>
      </c>
      <c r="G436" s="7" t="n">
        <f aca="false">D436*F436</f>
        <v>15000</v>
      </c>
      <c r="H436" s="2" t="str">
        <f aca="false">INDEX(Daftar_Menu!$B$2:$B$13,MATCH(C436,Daftar_Menu!$A$2:$A$13,0))</f>
        <v>Makanan</v>
      </c>
      <c r="I436" s="2" t="str">
        <f aca="false">CHOOSE(WEEKDAY(B436,2),"Senin","Selasa","Rabu","Kamis","Jumat","Sabtu","Minggu")</f>
        <v>Minggu</v>
      </c>
      <c r="J436" s="2" t="n">
        <f aca="false">HOUR(E436)</f>
        <v>17</v>
      </c>
      <c r="K436" s="2" t="str">
        <f aca="false">IF(J436&lt;11,"Pagi",IF(J436&lt;17,"Siang","Malam"))</f>
        <v>Malam</v>
      </c>
      <c r="L436" s="2" t="n">
        <f aca="false">IF(A436&lt;&gt;A435,1,0)</f>
        <v>1</v>
      </c>
    </row>
    <row r="437" customFormat="false" ht="15" hidden="false" customHeight="false" outlineLevel="0" collapsed="false">
      <c r="A437" s="2" t="s">
        <v>578</v>
      </c>
      <c r="B437" s="13" t="n">
        <v>46271</v>
      </c>
      <c r="C437" s="2" t="s">
        <v>81</v>
      </c>
      <c r="D437" s="2" t="n">
        <v>1</v>
      </c>
      <c r="E437" s="15" t="n">
        <v>0.715277777777778</v>
      </c>
      <c r="F437" s="7" t="n">
        <v>15000</v>
      </c>
      <c r="G437" s="7" t="n">
        <f aca="false">D437*F437</f>
        <v>15000</v>
      </c>
      <c r="H437" s="2" t="str">
        <f aca="false">INDEX(Daftar_Menu!$B$2:$B$13,MATCH(C437,Daftar_Menu!$A$2:$A$13,0))</f>
        <v>Makanan</v>
      </c>
      <c r="I437" s="2" t="str">
        <f aca="false">CHOOSE(WEEKDAY(B437,2),"Senin","Selasa","Rabu","Kamis","Jumat","Sabtu","Minggu")</f>
        <v>Minggu</v>
      </c>
      <c r="J437" s="2" t="n">
        <f aca="false">HOUR(E437)</f>
        <v>17</v>
      </c>
      <c r="K437" s="2" t="str">
        <f aca="false">IF(J437&lt;11,"Pagi",IF(J437&lt;17,"Siang","Malam"))</f>
        <v>Malam</v>
      </c>
      <c r="L437" s="2" t="n">
        <f aca="false">IF(A437&lt;&gt;A436,1,0)</f>
        <v>1</v>
      </c>
    </row>
    <row r="438" customFormat="false" ht="15" hidden="false" customHeight="false" outlineLevel="0" collapsed="false">
      <c r="A438" s="2" t="s">
        <v>578</v>
      </c>
      <c r="B438" s="13" t="n">
        <v>46271</v>
      </c>
      <c r="C438" s="2" t="s">
        <v>186</v>
      </c>
      <c r="D438" s="2" t="n">
        <v>1</v>
      </c>
      <c r="E438" s="15" t="n">
        <v>0.715277777777778</v>
      </c>
      <c r="F438" s="7" t="n">
        <v>7000</v>
      </c>
      <c r="G438" s="7" t="n">
        <f aca="false">D438*F438</f>
        <v>7000</v>
      </c>
      <c r="H438" s="2" t="str">
        <f aca="false">INDEX(Daftar_Menu!$B$2:$B$13,MATCH(C438,Daftar_Menu!$A$2:$A$13,0))</f>
        <v>Minuman</v>
      </c>
      <c r="I438" s="2" t="str">
        <f aca="false">CHOOSE(WEEKDAY(B438,2),"Senin","Selasa","Rabu","Kamis","Jumat","Sabtu","Minggu")</f>
        <v>Minggu</v>
      </c>
      <c r="J438" s="2" t="n">
        <f aca="false">HOUR(E438)</f>
        <v>17</v>
      </c>
      <c r="K438" s="2" t="str">
        <f aca="false">IF(J438&lt;11,"Pagi",IF(J438&lt;17,"Siang","Malam"))</f>
        <v>Malam</v>
      </c>
      <c r="L438" s="2" t="n">
        <f aca="false">IF(A438&lt;&gt;A437,1,0)</f>
        <v>0</v>
      </c>
    </row>
    <row r="439" customFormat="false" ht="15" hidden="false" customHeight="false" outlineLevel="0" collapsed="false">
      <c r="A439" s="2" t="s">
        <v>580</v>
      </c>
      <c r="B439" s="13" t="n">
        <v>46271</v>
      </c>
      <c r="C439" s="2" t="s">
        <v>126</v>
      </c>
      <c r="D439" s="2" t="n">
        <v>2</v>
      </c>
      <c r="E439" s="15" t="n">
        <v>0.716666666666667</v>
      </c>
      <c r="F439" s="7" t="n">
        <v>3000</v>
      </c>
      <c r="G439" s="7" t="n">
        <f aca="false">D439*F439</f>
        <v>6000</v>
      </c>
      <c r="H439" s="2" t="str">
        <f aca="false">INDEX(Daftar_Menu!$B$2:$B$13,MATCH(C439,Daftar_Menu!$A$2:$A$13,0))</f>
        <v>Minuman</v>
      </c>
      <c r="I439" s="2" t="str">
        <f aca="false">CHOOSE(WEEKDAY(B439,2),"Senin","Selasa","Rabu","Kamis","Jumat","Sabtu","Minggu")</f>
        <v>Minggu</v>
      </c>
      <c r="J439" s="2" t="n">
        <f aca="false">HOUR(E439)</f>
        <v>17</v>
      </c>
      <c r="K439" s="2" t="str">
        <f aca="false">IF(J439&lt;11,"Pagi",IF(J439&lt;17,"Siang","Malam"))</f>
        <v>Malam</v>
      </c>
      <c r="L439" s="2" t="n">
        <f aca="false">IF(A439&lt;&gt;A438,1,0)</f>
        <v>1</v>
      </c>
    </row>
    <row r="440" customFormat="false" ht="15" hidden="false" customHeight="false" outlineLevel="0" collapsed="false">
      <c r="A440" s="2" t="s">
        <v>580</v>
      </c>
      <c r="B440" s="13" t="n">
        <v>46271</v>
      </c>
      <c r="C440" s="2" t="s">
        <v>101</v>
      </c>
      <c r="D440" s="2" t="n">
        <v>1</v>
      </c>
      <c r="E440" s="15" t="n">
        <v>0.716666666666667</v>
      </c>
      <c r="F440" s="7" t="n">
        <v>18000</v>
      </c>
      <c r="G440" s="7" t="n">
        <f aca="false">D440*F440</f>
        <v>18000</v>
      </c>
      <c r="H440" s="2" t="str">
        <f aca="false">INDEX(Daftar_Menu!$B$2:$B$13,MATCH(C440,Daftar_Menu!$A$2:$A$13,0))</f>
        <v>Makanan</v>
      </c>
      <c r="I440" s="2" t="str">
        <f aca="false">CHOOSE(WEEKDAY(B440,2),"Senin","Selasa","Rabu","Kamis","Jumat","Sabtu","Minggu")</f>
        <v>Minggu</v>
      </c>
      <c r="J440" s="2" t="n">
        <f aca="false">HOUR(E440)</f>
        <v>17</v>
      </c>
      <c r="K440" s="2" t="str">
        <f aca="false">IF(J440&lt;11,"Pagi",IF(J440&lt;17,"Siang","Malam"))</f>
        <v>Malam</v>
      </c>
      <c r="L440" s="2" t="n">
        <f aca="false">IF(A440&lt;&gt;A439,1,0)</f>
        <v>0</v>
      </c>
    </row>
    <row r="441" customFormat="false" ht="15" hidden="false" customHeight="false" outlineLevel="0" collapsed="false">
      <c r="A441" s="2" t="s">
        <v>580</v>
      </c>
      <c r="B441" s="13" t="n">
        <v>46271</v>
      </c>
      <c r="C441" s="2" t="s">
        <v>84</v>
      </c>
      <c r="D441" s="2" t="n">
        <v>1</v>
      </c>
      <c r="E441" s="15" t="n">
        <v>0.716666666666667</v>
      </c>
      <c r="F441" s="7" t="n">
        <v>5000</v>
      </c>
      <c r="G441" s="7" t="n">
        <f aca="false">D441*F441</f>
        <v>5000</v>
      </c>
      <c r="H441" s="2" t="str">
        <f aca="false">INDEX(Daftar_Menu!$B$2:$B$13,MATCH(C441,Daftar_Menu!$A$2:$A$13,0))</f>
        <v>Minuman</v>
      </c>
      <c r="I441" s="2" t="str">
        <f aca="false">CHOOSE(WEEKDAY(B441,2),"Senin","Selasa","Rabu","Kamis","Jumat","Sabtu","Minggu")</f>
        <v>Minggu</v>
      </c>
      <c r="J441" s="2" t="n">
        <f aca="false">HOUR(E441)</f>
        <v>17</v>
      </c>
      <c r="K441" s="2" t="str">
        <f aca="false">IF(J441&lt;11,"Pagi",IF(J441&lt;17,"Siang","Malam"))</f>
        <v>Malam</v>
      </c>
      <c r="L441" s="2" t="n">
        <f aca="false">IF(A441&lt;&gt;A440,1,0)</f>
        <v>0</v>
      </c>
    </row>
    <row r="442" customFormat="false" ht="15" hidden="false" customHeight="false" outlineLevel="0" collapsed="false">
      <c r="A442" s="2" t="s">
        <v>581</v>
      </c>
      <c r="B442" s="13" t="n">
        <v>46271</v>
      </c>
      <c r="C442" s="2" t="s">
        <v>108</v>
      </c>
      <c r="D442" s="2" t="n">
        <v>1</v>
      </c>
      <c r="E442" s="15" t="n">
        <v>0.729166666666667</v>
      </c>
      <c r="F442" s="7" t="n">
        <v>20000</v>
      </c>
      <c r="G442" s="7" t="n">
        <f aca="false">D442*F442</f>
        <v>20000</v>
      </c>
      <c r="H442" s="2" t="str">
        <f aca="false">INDEX(Daftar_Menu!$B$2:$B$13,MATCH(C442,Daftar_Menu!$A$2:$A$13,0))</f>
        <v>Makanan</v>
      </c>
      <c r="I442" s="2" t="str">
        <f aca="false">CHOOSE(WEEKDAY(B442,2),"Senin","Selasa","Rabu","Kamis","Jumat","Sabtu","Minggu")</f>
        <v>Minggu</v>
      </c>
      <c r="J442" s="2" t="n">
        <f aca="false">HOUR(E442)</f>
        <v>17</v>
      </c>
      <c r="K442" s="2" t="str">
        <f aca="false">IF(J442&lt;11,"Pagi",IF(J442&lt;17,"Siang","Malam"))</f>
        <v>Malam</v>
      </c>
      <c r="L442" s="2" t="n">
        <f aca="false">IF(A442&lt;&gt;A441,1,0)</f>
        <v>1</v>
      </c>
    </row>
    <row r="443" customFormat="false" ht="15" hidden="false" customHeight="false" outlineLevel="0" collapsed="false">
      <c r="A443" s="2" t="s">
        <v>581</v>
      </c>
      <c r="B443" s="13" t="n">
        <v>46271</v>
      </c>
      <c r="C443" s="2" t="s">
        <v>79</v>
      </c>
      <c r="D443" s="2" t="n">
        <v>1</v>
      </c>
      <c r="E443" s="15" t="n">
        <v>0.729166666666667</v>
      </c>
      <c r="F443" s="7" t="n">
        <v>16000</v>
      </c>
      <c r="G443" s="7" t="n">
        <f aca="false">D443*F443</f>
        <v>16000</v>
      </c>
      <c r="H443" s="2" t="str">
        <f aca="false">INDEX(Daftar_Menu!$B$2:$B$13,MATCH(C443,Daftar_Menu!$A$2:$A$13,0))</f>
        <v>Makanan</v>
      </c>
      <c r="I443" s="2" t="str">
        <f aca="false">CHOOSE(WEEKDAY(B443,2),"Senin","Selasa","Rabu","Kamis","Jumat","Sabtu","Minggu")</f>
        <v>Minggu</v>
      </c>
      <c r="J443" s="2" t="n">
        <f aca="false">HOUR(E443)</f>
        <v>17</v>
      </c>
      <c r="K443" s="2" t="str">
        <f aca="false">IF(J443&lt;11,"Pagi",IF(J443&lt;17,"Siang","Malam"))</f>
        <v>Malam</v>
      </c>
      <c r="L443" s="2" t="n">
        <f aca="false">IF(A443&lt;&gt;A442,1,0)</f>
        <v>0</v>
      </c>
    </row>
    <row r="444" customFormat="false" ht="15" hidden="false" customHeight="false" outlineLevel="0" collapsed="false">
      <c r="A444" s="2" t="s">
        <v>582</v>
      </c>
      <c r="B444" s="13" t="n">
        <v>46271</v>
      </c>
      <c r="C444" s="2" t="s">
        <v>186</v>
      </c>
      <c r="D444" s="2" t="n">
        <v>2</v>
      </c>
      <c r="E444" s="15" t="n">
        <v>0.739583333333333</v>
      </c>
      <c r="F444" s="7" t="n">
        <v>7000</v>
      </c>
      <c r="G444" s="7" t="n">
        <f aca="false">D444*F444</f>
        <v>14000</v>
      </c>
      <c r="H444" s="2" t="str">
        <f aca="false">INDEX(Daftar_Menu!$B$2:$B$13,MATCH(C444,Daftar_Menu!$A$2:$A$13,0))</f>
        <v>Minuman</v>
      </c>
      <c r="I444" s="2" t="str">
        <f aca="false">CHOOSE(WEEKDAY(B444,2),"Senin","Selasa","Rabu","Kamis","Jumat","Sabtu","Minggu")</f>
        <v>Minggu</v>
      </c>
      <c r="J444" s="2" t="n">
        <f aca="false">HOUR(E444)</f>
        <v>17</v>
      </c>
      <c r="K444" s="2" t="str">
        <f aca="false">IF(J444&lt;11,"Pagi",IF(J444&lt;17,"Siang","Malam"))</f>
        <v>Malam</v>
      </c>
      <c r="L444" s="2" t="n">
        <f aca="false">IF(A444&lt;&gt;A443,1,0)</f>
        <v>1</v>
      </c>
    </row>
    <row r="445" customFormat="false" ht="15" hidden="false" customHeight="false" outlineLevel="0" collapsed="false">
      <c r="A445" s="2" t="s">
        <v>582</v>
      </c>
      <c r="B445" s="13" t="n">
        <v>46271</v>
      </c>
      <c r="C445" s="2" t="s">
        <v>81</v>
      </c>
      <c r="D445" s="2" t="n">
        <v>1</v>
      </c>
      <c r="E445" s="15" t="n">
        <v>0.739583333333333</v>
      </c>
      <c r="F445" s="7" t="n">
        <v>15000</v>
      </c>
      <c r="G445" s="7" t="n">
        <f aca="false">D445*F445</f>
        <v>15000</v>
      </c>
      <c r="H445" s="2" t="str">
        <f aca="false">INDEX(Daftar_Menu!$B$2:$B$13,MATCH(C445,Daftar_Menu!$A$2:$A$13,0))</f>
        <v>Makanan</v>
      </c>
      <c r="I445" s="2" t="str">
        <f aca="false">CHOOSE(WEEKDAY(B445,2),"Senin","Selasa","Rabu","Kamis","Jumat","Sabtu","Minggu")</f>
        <v>Minggu</v>
      </c>
      <c r="J445" s="2" t="n">
        <f aca="false">HOUR(E445)</f>
        <v>17</v>
      </c>
      <c r="K445" s="2" t="str">
        <f aca="false">IF(J445&lt;11,"Pagi",IF(J445&lt;17,"Siang","Malam"))</f>
        <v>Malam</v>
      </c>
      <c r="L445" s="2" t="n">
        <f aca="false">IF(A445&lt;&gt;A444,1,0)</f>
        <v>0</v>
      </c>
    </row>
    <row r="446" customFormat="false" ht="15" hidden="false" customHeight="false" outlineLevel="0" collapsed="false">
      <c r="A446" s="2" t="s">
        <v>583</v>
      </c>
      <c r="B446" s="13" t="n">
        <v>46271</v>
      </c>
      <c r="C446" s="2" t="s">
        <v>101</v>
      </c>
      <c r="D446" s="2" t="n">
        <v>3</v>
      </c>
      <c r="E446" s="15" t="n">
        <v>0.745833333333333</v>
      </c>
      <c r="F446" s="7" t="n">
        <v>18000</v>
      </c>
      <c r="G446" s="7" t="n">
        <f aca="false">D446*F446</f>
        <v>54000</v>
      </c>
      <c r="H446" s="2" t="str">
        <f aca="false">INDEX(Daftar_Menu!$B$2:$B$13,MATCH(C446,Daftar_Menu!$A$2:$A$13,0))</f>
        <v>Makanan</v>
      </c>
      <c r="I446" s="2" t="str">
        <f aca="false">CHOOSE(WEEKDAY(B446,2),"Senin","Selasa","Rabu","Kamis","Jumat","Sabtu","Minggu")</f>
        <v>Minggu</v>
      </c>
      <c r="J446" s="2" t="n">
        <f aca="false">HOUR(E446)</f>
        <v>17</v>
      </c>
      <c r="K446" s="2" t="str">
        <f aca="false">IF(J446&lt;11,"Pagi",IF(J446&lt;17,"Siang","Malam"))</f>
        <v>Malam</v>
      </c>
      <c r="L446" s="2" t="n">
        <f aca="false">IF(A446&lt;&gt;A445,1,0)</f>
        <v>1</v>
      </c>
    </row>
    <row r="447" customFormat="false" ht="15" hidden="false" customHeight="false" outlineLevel="0" collapsed="false">
      <c r="A447" s="2" t="s">
        <v>583</v>
      </c>
      <c r="B447" s="13" t="n">
        <v>46271</v>
      </c>
      <c r="C447" s="2" t="s">
        <v>81</v>
      </c>
      <c r="D447" s="2" t="n">
        <v>1</v>
      </c>
      <c r="E447" s="15" t="n">
        <v>0.745833333333333</v>
      </c>
      <c r="F447" s="7" t="n">
        <v>15000</v>
      </c>
      <c r="G447" s="7" t="n">
        <f aca="false">D447*F447</f>
        <v>15000</v>
      </c>
      <c r="H447" s="2" t="str">
        <f aca="false">INDEX(Daftar_Menu!$B$2:$B$13,MATCH(C447,Daftar_Menu!$A$2:$A$13,0))</f>
        <v>Makanan</v>
      </c>
      <c r="I447" s="2" t="str">
        <f aca="false">CHOOSE(WEEKDAY(B447,2),"Senin","Selasa","Rabu","Kamis","Jumat","Sabtu","Minggu")</f>
        <v>Minggu</v>
      </c>
      <c r="J447" s="2" t="n">
        <f aca="false">HOUR(E447)</f>
        <v>17</v>
      </c>
      <c r="K447" s="2" t="str">
        <f aca="false">IF(J447&lt;11,"Pagi",IF(J447&lt;17,"Siang","Malam"))</f>
        <v>Malam</v>
      </c>
      <c r="L447" s="2" t="n">
        <f aca="false">IF(A447&lt;&gt;A446,1,0)</f>
        <v>0</v>
      </c>
    </row>
    <row r="448" customFormat="false" ht="15" hidden="false" customHeight="false" outlineLevel="0" collapsed="false">
      <c r="A448" s="2" t="s">
        <v>585</v>
      </c>
      <c r="B448" s="13" t="n">
        <v>46271</v>
      </c>
      <c r="C448" s="2" t="s">
        <v>108</v>
      </c>
      <c r="D448" s="2" t="n">
        <v>2</v>
      </c>
      <c r="E448" s="15" t="n">
        <v>0.750694444444444</v>
      </c>
      <c r="F448" s="7" t="n">
        <v>20000</v>
      </c>
      <c r="G448" s="7" t="n">
        <f aca="false">D448*F448</f>
        <v>40000</v>
      </c>
      <c r="H448" s="2" t="str">
        <f aca="false">INDEX(Daftar_Menu!$B$2:$B$13,MATCH(C448,Daftar_Menu!$A$2:$A$13,0))</f>
        <v>Makanan</v>
      </c>
      <c r="I448" s="2" t="str">
        <f aca="false">CHOOSE(WEEKDAY(B448,2),"Senin","Selasa","Rabu","Kamis","Jumat","Sabtu","Minggu")</f>
        <v>Minggu</v>
      </c>
      <c r="J448" s="2" t="n">
        <f aca="false">HOUR(E448)</f>
        <v>18</v>
      </c>
      <c r="K448" s="2" t="str">
        <f aca="false">IF(J448&lt;11,"Pagi",IF(J448&lt;17,"Siang","Malam"))</f>
        <v>Malam</v>
      </c>
      <c r="L448" s="2" t="n">
        <f aca="false">IF(A448&lt;&gt;A447,1,0)</f>
        <v>1</v>
      </c>
    </row>
    <row r="449" customFormat="false" ht="15" hidden="false" customHeight="false" outlineLevel="0" collapsed="false">
      <c r="A449" s="2" t="s">
        <v>585</v>
      </c>
      <c r="B449" s="13" t="n">
        <v>46271</v>
      </c>
      <c r="C449" s="2" t="s">
        <v>81</v>
      </c>
      <c r="D449" s="2" t="n">
        <v>1</v>
      </c>
      <c r="E449" s="15" t="n">
        <v>0.750694444444444</v>
      </c>
      <c r="F449" s="7" t="n">
        <v>15000</v>
      </c>
      <c r="G449" s="7" t="n">
        <f aca="false">D449*F449</f>
        <v>15000</v>
      </c>
      <c r="H449" s="2" t="str">
        <f aca="false">INDEX(Daftar_Menu!$B$2:$B$13,MATCH(C449,Daftar_Menu!$A$2:$A$13,0))</f>
        <v>Makanan</v>
      </c>
      <c r="I449" s="2" t="str">
        <f aca="false">CHOOSE(WEEKDAY(B449,2),"Senin","Selasa","Rabu","Kamis","Jumat","Sabtu","Minggu")</f>
        <v>Minggu</v>
      </c>
      <c r="J449" s="2" t="n">
        <f aca="false">HOUR(E449)</f>
        <v>18</v>
      </c>
      <c r="K449" s="2" t="str">
        <f aca="false">IF(J449&lt;11,"Pagi",IF(J449&lt;17,"Siang","Malam"))</f>
        <v>Malam</v>
      </c>
      <c r="L449" s="2" t="n">
        <f aca="false">IF(A449&lt;&gt;A448,1,0)</f>
        <v>0</v>
      </c>
    </row>
    <row r="450" customFormat="false" ht="15" hidden="false" customHeight="false" outlineLevel="0" collapsed="false">
      <c r="A450" s="2" t="s">
        <v>585</v>
      </c>
      <c r="B450" s="13" t="n">
        <v>46271</v>
      </c>
      <c r="C450" s="2" t="s">
        <v>82</v>
      </c>
      <c r="D450" s="2" t="n">
        <v>1</v>
      </c>
      <c r="E450" s="15" t="n">
        <v>0.750694444444444</v>
      </c>
      <c r="F450" s="7" t="n">
        <v>13000</v>
      </c>
      <c r="G450" s="7" t="n">
        <f aca="false">D450*F450</f>
        <v>13000</v>
      </c>
      <c r="H450" s="2" t="str">
        <f aca="false">INDEX(Daftar_Menu!$B$2:$B$13,MATCH(C450,Daftar_Menu!$A$2:$A$13,0))</f>
        <v>Makanan</v>
      </c>
      <c r="I450" s="2" t="str">
        <f aca="false">CHOOSE(WEEKDAY(B450,2),"Senin","Selasa","Rabu","Kamis","Jumat","Sabtu","Minggu")</f>
        <v>Minggu</v>
      </c>
      <c r="J450" s="2" t="n">
        <f aca="false">HOUR(E450)</f>
        <v>18</v>
      </c>
      <c r="K450" s="2" t="str">
        <f aca="false">IF(J450&lt;11,"Pagi",IF(J450&lt;17,"Siang","Malam"))</f>
        <v>Malam</v>
      </c>
      <c r="L450" s="2" t="n">
        <f aca="false">IF(A450&lt;&gt;A449,1,0)</f>
        <v>0</v>
      </c>
    </row>
    <row r="451" customFormat="false" ht="15" hidden="false" customHeight="false" outlineLevel="0" collapsed="false">
      <c r="A451" s="2" t="s">
        <v>587</v>
      </c>
      <c r="B451" s="13" t="n">
        <v>46271</v>
      </c>
      <c r="C451" s="2" t="s">
        <v>84</v>
      </c>
      <c r="D451" s="2" t="n">
        <v>2</v>
      </c>
      <c r="E451" s="15" t="n">
        <v>0.753472222222222</v>
      </c>
      <c r="F451" s="7" t="n">
        <v>5000</v>
      </c>
      <c r="G451" s="7" t="n">
        <f aca="false">D451*F451</f>
        <v>10000</v>
      </c>
      <c r="H451" s="2" t="str">
        <f aca="false">INDEX(Daftar_Menu!$B$2:$B$13,MATCH(C451,Daftar_Menu!$A$2:$A$13,0))</f>
        <v>Minuman</v>
      </c>
      <c r="I451" s="2" t="str">
        <f aca="false">CHOOSE(WEEKDAY(B451,2),"Senin","Selasa","Rabu","Kamis","Jumat","Sabtu","Minggu")</f>
        <v>Minggu</v>
      </c>
      <c r="J451" s="2" t="n">
        <f aca="false">HOUR(E451)</f>
        <v>18</v>
      </c>
      <c r="K451" s="2" t="str">
        <f aca="false">IF(J451&lt;11,"Pagi",IF(J451&lt;17,"Siang","Malam"))</f>
        <v>Malam</v>
      </c>
      <c r="L451" s="2" t="n">
        <f aca="false">IF(A451&lt;&gt;A450,1,0)</f>
        <v>1</v>
      </c>
    </row>
    <row r="452" customFormat="false" ht="15" hidden="false" customHeight="false" outlineLevel="0" collapsed="false">
      <c r="A452" s="2" t="s">
        <v>587</v>
      </c>
      <c r="B452" s="13" t="n">
        <v>46271</v>
      </c>
      <c r="C452" s="2" t="s">
        <v>92</v>
      </c>
      <c r="D452" s="2" t="n">
        <v>1</v>
      </c>
      <c r="E452" s="15" t="n">
        <v>0.753472222222222</v>
      </c>
      <c r="F452" s="7" t="n">
        <v>4000</v>
      </c>
      <c r="G452" s="7" t="n">
        <f aca="false">D452*F452</f>
        <v>4000</v>
      </c>
      <c r="H452" s="2" t="str">
        <f aca="false">INDEX(Daftar_Menu!$B$2:$B$13,MATCH(C452,Daftar_Menu!$A$2:$A$13,0))</f>
        <v>Minuman</v>
      </c>
      <c r="I452" s="2" t="str">
        <f aca="false">CHOOSE(WEEKDAY(B452,2),"Senin","Selasa","Rabu","Kamis","Jumat","Sabtu","Minggu")</f>
        <v>Minggu</v>
      </c>
      <c r="J452" s="2" t="n">
        <f aca="false">HOUR(E452)</f>
        <v>18</v>
      </c>
      <c r="K452" s="2" t="str">
        <f aca="false">IF(J452&lt;11,"Pagi",IF(J452&lt;17,"Siang","Malam"))</f>
        <v>Malam</v>
      </c>
      <c r="L452" s="2" t="n">
        <f aca="false">IF(A452&lt;&gt;A451,1,0)</f>
        <v>0</v>
      </c>
    </row>
    <row r="453" customFormat="false" ht="15" hidden="false" customHeight="false" outlineLevel="0" collapsed="false">
      <c r="A453" s="2" t="s">
        <v>589</v>
      </c>
      <c r="B453" s="13" t="n">
        <v>46271</v>
      </c>
      <c r="C453" s="2" t="s">
        <v>84</v>
      </c>
      <c r="D453" s="2" t="n">
        <v>1</v>
      </c>
      <c r="E453" s="15" t="n">
        <v>0.754166666666667</v>
      </c>
      <c r="F453" s="7" t="n">
        <v>5000</v>
      </c>
      <c r="G453" s="7" t="n">
        <f aca="false">D453*F453</f>
        <v>5000</v>
      </c>
      <c r="H453" s="2" t="str">
        <f aca="false">INDEX(Daftar_Menu!$B$2:$B$13,MATCH(C453,Daftar_Menu!$A$2:$A$13,0))</f>
        <v>Minuman</v>
      </c>
      <c r="I453" s="2" t="str">
        <f aca="false">CHOOSE(WEEKDAY(B453,2),"Senin","Selasa","Rabu","Kamis","Jumat","Sabtu","Minggu")</f>
        <v>Minggu</v>
      </c>
      <c r="J453" s="2" t="n">
        <f aca="false">HOUR(E453)</f>
        <v>18</v>
      </c>
      <c r="K453" s="2" t="str">
        <f aca="false">IF(J453&lt;11,"Pagi",IF(J453&lt;17,"Siang","Malam"))</f>
        <v>Malam</v>
      </c>
      <c r="L453" s="2" t="n">
        <f aca="false">IF(A453&lt;&gt;A452,1,0)</f>
        <v>1</v>
      </c>
    </row>
    <row r="454" customFormat="false" ht="15" hidden="false" customHeight="false" outlineLevel="0" collapsed="false">
      <c r="A454" s="2" t="s">
        <v>591</v>
      </c>
      <c r="B454" s="13" t="n">
        <v>46271</v>
      </c>
      <c r="C454" s="2" t="s">
        <v>79</v>
      </c>
      <c r="D454" s="2" t="n">
        <v>2</v>
      </c>
      <c r="E454" s="15" t="n">
        <v>0.755555555555556</v>
      </c>
      <c r="F454" s="7" t="n">
        <v>16000</v>
      </c>
      <c r="G454" s="7" t="n">
        <f aca="false">D454*F454</f>
        <v>32000</v>
      </c>
      <c r="H454" s="2" t="str">
        <f aca="false">INDEX(Daftar_Menu!$B$2:$B$13,MATCH(C454,Daftar_Menu!$A$2:$A$13,0))</f>
        <v>Makanan</v>
      </c>
      <c r="I454" s="2" t="str">
        <f aca="false">CHOOSE(WEEKDAY(B454,2),"Senin","Selasa","Rabu","Kamis","Jumat","Sabtu","Minggu")</f>
        <v>Minggu</v>
      </c>
      <c r="J454" s="2" t="n">
        <f aca="false">HOUR(E454)</f>
        <v>18</v>
      </c>
      <c r="K454" s="2" t="str">
        <f aca="false">IF(J454&lt;11,"Pagi",IF(J454&lt;17,"Siang","Malam"))</f>
        <v>Malam</v>
      </c>
      <c r="L454" s="2" t="n">
        <f aca="false">IF(A454&lt;&gt;A453,1,0)</f>
        <v>1</v>
      </c>
    </row>
    <row r="455" customFormat="false" ht="15" hidden="false" customHeight="false" outlineLevel="0" collapsed="false">
      <c r="A455" s="2" t="s">
        <v>591</v>
      </c>
      <c r="B455" s="13" t="n">
        <v>46271</v>
      </c>
      <c r="C455" s="2" t="s">
        <v>89</v>
      </c>
      <c r="D455" s="2" t="n">
        <v>1</v>
      </c>
      <c r="E455" s="15" t="n">
        <v>0.755555555555556</v>
      </c>
      <c r="F455" s="7" t="n">
        <v>14000</v>
      </c>
      <c r="G455" s="7" t="n">
        <f aca="false">D455*F455</f>
        <v>14000</v>
      </c>
      <c r="H455" s="2" t="str">
        <f aca="false">INDEX(Daftar_Menu!$B$2:$B$13,MATCH(C455,Daftar_Menu!$A$2:$A$13,0))</f>
        <v>Makanan</v>
      </c>
      <c r="I455" s="2" t="str">
        <f aca="false">CHOOSE(WEEKDAY(B455,2),"Senin","Selasa","Rabu","Kamis","Jumat","Sabtu","Minggu")</f>
        <v>Minggu</v>
      </c>
      <c r="J455" s="2" t="n">
        <f aca="false">HOUR(E455)</f>
        <v>18</v>
      </c>
      <c r="K455" s="2" t="str">
        <f aca="false">IF(J455&lt;11,"Pagi",IF(J455&lt;17,"Siang","Malam"))</f>
        <v>Malam</v>
      </c>
      <c r="L455" s="2" t="n">
        <f aca="false">IF(A455&lt;&gt;A454,1,0)</f>
        <v>0</v>
      </c>
    </row>
    <row r="456" customFormat="false" ht="15" hidden="false" customHeight="false" outlineLevel="0" collapsed="false">
      <c r="A456" s="2" t="s">
        <v>593</v>
      </c>
      <c r="B456" s="13" t="n">
        <v>46271</v>
      </c>
      <c r="C456" s="2" t="s">
        <v>126</v>
      </c>
      <c r="D456" s="2" t="n">
        <v>1</v>
      </c>
      <c r="E456" s="15" t="n">
        <v>0.764583333333333</v>
      </c>
      <c r="F456" s="7" t="n">
        <v>3000</v>
      </c>
      <c r="G456" s="7" t="n">
        <f aca="false">D456*F456</f>
        <v>3000</v>
      </c>
      <c r="H456" s="2" t="str">
        <f aca="false">INDEX(Daftar_Menu!$B$2:$B$13,MATCH(C456,Daftar_Menu!$A$2:$A$13,0))</f>
        <v>Minuman</v>
      </c>
      <c r="I456" s="2" t="str">
        <f aca="false">CHOOSE(WEEKDAY(B456,2),"Senin","Selasa","Rabu","Kamis","Jumat","Sabtu","Minggu")</f>
        <v>Minggu</v>
      </c>
      <c r="J456" s="2" t="n">
        <f aca="false">HOUR(E456)</f>
        <v>18</v>
      </c>
      <c r="K456" s="2" t="str">
        <f aca="false">IF(J456&lt;11,"Pagi",IF(J456&lt;17,"Siang","Malam"))</f>
        <v>Malam</v>
      </c>
      <c r="L456" s="2" t="n">
        <f aca="false">IF(A456&lt;&gt;A455,1,0)</f>
        <v>1</v>
      </c>
    </row>
    <row r="457" customFormat="false" ht="15" hidden="false" customHeight="false" outlineLevel="0" collapsed="false">
      <c r="A457" s="2" t="s">
        <v>595</v>
      </c>
      <c r="B457" s="13" t="n">
        <v>46271</v>
      </c>
      <c r="C457" s="2" t="s">
        <v>101</v>
      </c>
      <c r="D457" s="2" t="n">
        <v>1</v>
      </c>
      <c r="E457" s="15" t="n">
        <v>0.779166666666667</v>
      </c>
      <c r="F457" s="7" t="n">
        <v>18000</v>
      </c>
      <c r="G457" s="7" t="n">
        <f aca="false">D457*F457</f>
        <v>18000</v>
      </c>
      <c r="H457" s="2" t="str">
        <f aca="false">INDEX(Daftar_Menu!$B$2:$B$13,MATCH(C457,Daftar_Menu!$A$2:$A$13,0))</f>
        <v>Makanan</v>
      </c>
      <c r="I457" s="2" t="str">
        <f aca="false">CHOOSE(WEEKDAY(B457,2),"Senin","Selasa","Rabu","Kamis","Jumat","Sabtu","Minggu")</f>
        <v>Minggu</v>
      </c>
      <c r="J457" s="2" t="n">
        <f aca="false">HOUR(E457)</f>
        <v>18</v>
      </c>
      <c r="K457" s="2" t="str">
        <f aca="false">IF(J457&lt;11,"Pagi",IF(J457&lt;17,"Siang","Malam"))</f>
        <v>Malam</v>
      </c>
      <c r="L457" s="2" t="n">
        <f aca="false">IF(A457&lt;&gt;A456,1,0)</f>
        <v>1</v>
      </c>
    </row>
    <row r="458" customFormat="false" ht="15" hidden="false" customHeight="false" outlineLevel="0" collapsed="false">
      <c r="A458" s="2" t="s">
        <v>595</v>
      </c>
      <c r="B458" s="13" t="n">
        <v>46271</v>
      </c>
      <c r="C458" s="2" t="s">
        <v>108</v>
      </c>
      <c r="D458" s="2" t="n">
        <v>1</v>
      </c>
      <c r="E458" s="15" t="n">
        <v>0.779166666666667</v>
      </c>
      <c r="F458" s="7" t="n">
        <v>20000</v>
      </c>
      <c r="G458" s="7" t="n">
        <f aca="false">D458*F458</f>
        <v>20000</v>
      </c>
      <c r="H458" s="2" t="str">
        <f aca="false">INDEX(Daftar_Menu!$B$2:$B$13,MATCH(C458,Daftar_Menu!$A$2:$A$13,0))</f>
        <v>Makanan</v>
      </c>
      <c r="I458" s="2" t="str">
        <f aca="false">CHOOSE(WEEKDAY(B458,2),"Senin","Selasa","Rabu","Kamis","Jumat","Sabtu","Minggu")</f>
        <v>Minggu</v>
      </c>
      <c r="J458" s="2" t="n">
        <f aca="false">HOUR(E458)</f>
        <v>18</v>
      </c>
      <c r="K458" s="2" t="str">
        <f aca="false">IF(J458&lt;11,"Pagi",IF(J458&lt;17,"Siang","Malam"))</f>
        <v>Malam</v>
      </c>
      <c r="L458" s="2" t="n">
        <f aca="false">IF(A458&lt;&gt;A457,1,0)</f>
        <v>0</v>
      </c>
    </row>
    <row r="459" customFormat="false" ht="15" hidden="false" customHeight="false" outlineLevel="0" collapsed="false">
      <c r="A459" s="2" t="s">
        <v>597</v>
      </c>
      <c r="B459" s="13" t="n">
        <v>46271</v>
      </c>
      <c r="C459" s="2" t="s">
        <v>132</v>
      </c>
      <c r="D459" s="2" t="n">
        <v>1</v>
      </c>
      <c r="E459" s="15" t="n">
        <v>0.784027777777778</v>
      </c>
      <c r="F459" s="7" t="n">
        <v>15000</v>
      </c>
      <c r="G459" s="7" t="n">
        <f aca="false">D459*F459</f>
        <v>15000</v>
      </c>
      <c r="H459" s="2" t="str">
        <f aca="false">INDEX(Daftar_Menu!$B$2:$B$13,MATCH(C459,Daftar_Menu!$A$2:$A$13,0))</f>
        <v>Makanan</v>
      </c>
      <c r="I459" s="2" t="str">
        <f aca="false">CHOOSE(WEEKDAY(B459,2),"Senin","Selasa","Rabu","Kamis","Jumat","Sabtu","Minggu")</f>
        <v>Minggu</v>
      </c>
      <c r="J459" s="2" t="n">
        <f aca="false">HOUR(E459)</f>
        <v>18</v>
      </c>
      <c r="K459" s="2" t="str">
        <f aca="false">IF(J459&lt;11,"Pagi",IF(J459&lt;17,"Siang","Malam"))</f>
        <v>Malam</v>
      </c>
      <c r="L459" s="2" t="n">
        <f aca="false">IF(A459&lt;&gt;A458,1,0)</f>
        <v>1</v>
      </c>
    </row>
    <row r="460" customFormat="false" ht="15" hidden="false" customHeight="false" outlineLevel="0" collapsed="false">
      <c r="A460" s="2" t="s">
        <v>597</v>
      </c>
      <c r="B460" s="13" t="n">
        <v>46271</v>
      </c>
      <c r="C460" s="2" t="s">
        <v>108</v>
      </c>
      <c r="D460" s="2" t="n">
        <v>1</v>
      </c>
      <c r="E460" s="15" t="n">
        <v>0.784027777777778</v>
      </c>
      <c r="F460" s="7" t="n">
        <v>20000</v>
      </c>
      <c r="G460" s="7" t="n">
        <f aca="false">D460*F460</f>
        <v>20000</v>
      </c>
      <c r="H460" s="2" t="str">
        <f aca="false">INDEX(Daftar_Menu!$B$2:$B$13,MATCH(C460,Daftar_Menu!$A$2:$A$13,0))</f>
        <v>Makanan</v>
      </c>
      <c r="I460" s="2" t="str">
        <f aca="false">CHOOSE(WEEKDAY(B460,2),"Senin","Selasa","Rabu","Kamis","Jumat","Sabtu","Minggu")</f>
        <v>Minggu</v>
      </c>
      <c r="J460" s="2" t="n">
        <f aca="false">HOUR(E460)</f>
        <v>18</v>
      </c>
      <c r="K460" s="2" t="str">
        <f aca="false">IF(J460&lt;11,"Pagi",IF(J460&lt;17,"Siang","Malam"))</f>
        <v>Malam</v>
      </c>
      <c r="L460" s="2" t="n">
        <f aca="false">IF(A460&lt;&gt;A459,1,0)</f>
        <v>0</v>
      </c>
    </row>
    <row r="461" customFormat="false" ht="15" hidden="false" customHeight="false" outlineLevel="0" collapsed="false">
      <c r="A461" s="2" t="s">
        <v>599</v>
      </c>
      <c r="B461" s="13" t="n">
        <v>46271</v>
      </c>
      <c r="C461" s="2" t="s">
        <v>132</v>
      </c>
      <c r="D461" s="2" t="n">
        <v>1</v>
      </c>
      <c r="E461" s="15" t="n">
        <v>0.788888888888889</v>
      </c>
      <c r="F461" s="7" t="n">
        <v>15000</v>
      </c>
      <c r="G461" s="7" t="n">
        <f aca="false">D461*F461</f>
        <v>15000</v>
      </c>
      <c r="H461" s="2" t="str">
        <f aca="false">INDEX(Daftar_Menu!$B$2:$B$13,MATCH(C461,Daftar_Menu!$A$2:$A$13,0))</f>
        <v>Makanan</v>
      </c>
      <c r="I461" s="2" t="str">
        <f aca="false">CHOOSE(WEEKDAY(B461,2),"Senin","Selasa","Rabu","Kamis","Jumat","Sabtu","Minggu")</f>
        <v>Minggu</v>
      </c>
      <c r="J461" s="2" t="n">
        <f aca="false">HOUR(E461)</f>
        <v>18</v>
      </c>
      <c r="K461" s="2" t="str">
        <f aca="false">IF(J461&lt;11,"Pagi",IF(J461&lt;17,"Siang","Malam"))</f>
        <v>Malam</v>
      </c>
      <c r="L461" s="2" t="n">
        <f aca="false">IF(A461&lt;&gt;A460,1,0)</f>
        <v>1</v>
      </c>
    </row>
    <row r="462" customFormat="false" ht="15" hidden="false" customHeight="false" outlineLevel="0" collapsed="false">
      <c r="A462" s="2" t="s">
        <v>600</v>
      </c>
      <c r="B462" s="13" t="n">
        <v>46271</v>
      </c>
      <c r="C462" s="2" t="s">
        <v>89</v>
      </c>
      <c r="D462" s="2" t="n">
        <v>2</v>
      </c>
      <c r="E462" s="15" t="n">
        <v>0.789583333333333</v>
      </c>
      <c r="F462" s="7" t="n">
        <v>14000</v>
      </c>
      <c r="G462" s="7" t="n">
        <f aca="false">D462*F462</f>
        <v>28000</v>
      </c>
      <c r="H462" s="2" t="str">
        <f aca="false">INDEX(Daftar_Menu!$B$2:$B$13,MATCH(C462,Daftar_Menu!$A$2:$A$13,0))</f>
        <v>Makanan</v>
      </c>
      <c r="I462" s="2" t="str">
        <f aca="false">CHOOSE(WEEKDAY(B462,2),"Senin","Selasa","Rabu","Kamis","Jumat","Sabtu","Minggu")</f>
        <v>Minggu</v>
      </c>
      <c r="J462" s="2" t="n">
        <f aca="false">HOUR(E462)</f>
        <v>18</v>
      </c>
      <c r="K462" s="2" t="str">
        <f aca="false">IF(J462&lt;11,"Pagi",IF(J462&lt;17,"Siang","Malam"))</f>
        <v>Malam</v>
      </c>
      <c r="L462" s="2" t="n">
        <f aca="false">IF(A462&lt;&gt;A461,1,0)</f>
        <v>1</v>
      </c>
    </row>
    <row r="463" customFormat="false" ht="15" hidden="false" customHeight="false" outlineLevel="0" collapsed="false">
      <c r="A463" s="2" t="s">
        <v>601</v>
      </c>
      <c r="B463" s="13" t="n">
        <v>46271</v>
      </c>
      <c r="C463" s="2" t="s">
        <v>101</v>
      </c>
      <c r="D463" s="2" t="n">
        <v>1</v>
      </c>
      <c r="E463" s="15" t="n">
        <v>0.794444444444444</v>
      </c>
      <c r="F463" s="7" t="n">
        <v>18000</v>
      </c>
      <c r="G463" s="7" t="n">
        <f aca="false">D463*F463</f>
        <v>18000</v>
      </c>
      <c r="H463" s="2" t="str">
        <f aca="false">INDEX(Daftar_Menu!$B$2:$B$13,MATCH(C463,Daftar_Menu!$A$2:$A$13,0))</f>
        <v>Makanan</v>
      </c>
      <c r="I463" s="2" t="str">
        <f aca="false">CHOOSE(WEEKDAY(B463,2),"Senin","Selasa","Rabu","Kamis","Jumat","Sabtu","Minggu")</f>
        <v>Minggu</v>
      </c>
      <c r="J463" s="2" t="n">
        <f aca="false">HOUR(E463)</f>
        <v>19</v>
      </c>
      <c r="K463" s="2" t="str">
        <f aca="false">IF(J463&lt;11,"Pagi",IF(J463&lt;17,"Siang","Malam"))</f>
        <v>Malam</v>
      </c>
      <c r="L463" s="2" t="n">
        <f aca="false">IF(A463&lt;&gt;A462,1,0)</f>
        <v>1</v>
      </c>
    </row>
    <row r="464" customFormat="false" ht="15" hidden="false" customHeight="false" outlineLevel="0" collapsed="false">
      <c r="A464" s="2" t="s">
        <v>603</v>
      </c>
      <c r="B464" s="13" t="n">
        <v>46271</v>
      </c>
      <c r="C464" s="2" t="s">
        <v>132</v>
      </c>
      <c r="D464" s="2" t="n">
        <v>2</v>
      </c>
      <c r="E464" s="15" t="n">
        <v>0.794444444444444</v>
      </c>
      <c r="F464" s="7" t="n">
        <v>15000</v>
      </c>
      <c r="G464" s="7" t="n">
        <f aca="false">D464*F464</f>
        <v>30000</v>
      </c>
      <c r="H464" s="2" t="str">
        <f aca="false">INDEX(Daftar_Menu!$B$2:$B$13,MATCH(C464,Daftar_Menu!$A$2:$A$13,0))</f>
        <v>Makanan</v>
      </c>
      <c r="I464" s="2" t="str">
        <f aca="false">CHOOSE(WEEKDAY(B464,2),"Senin","Selasa","Rabu","Kamis","Jumat","Sabtu","Minggu")</f>
        <v>Minggu</v>
      </c>
      <c r="J464" s="2" t="n">
        <f aca="false">HOUR(E464)</f>
        <v>19</v>
      </c>
      <c r="K464" s="2" t="str">
        <f aca="false">IF(J464&lt;11,"Pagi",IF(J464&lt;17,"Siang","Malam"))</f>
        <v>Malam</v>
      </c>
      <c r="L464" s="2" t="n">
        <f aca="false">IF(A464&lt;&gt;A463,1,0)</f>
        <v>1</v>
      </c>
    </row>
    <row r="465" customFormat="false" ht="15" hidden="false" customHeight="false" outlineLevel="0" collapsed="false">
      <c r="A465" s="2" t="s">
        <v>603</v>
      </c>
      <c r="B465" s="13" t="n">
        <v>46271</v>
      </c>
      <c r="C465" s="2" t="s">
        <v>101</v>
      </c>
      <c r="D465" s="2" t="n">
        <v>1</v>
      </c>
      <c r="E465" s="15" t="n">
        <v>0.794444444444444</v>
      </c>
      <c r="F465" s="7" t="n">
        <v>18000</v>
      </c>
      <c r="G465" s="7" t="n">
        <f aca="false">D465*F465</f>
        <v>18000</v>
      </c>
      <c r="H465" s="2" t="str">
        <f aca="false">INDEX(Daftar_Menu!$B$2:$B$13,MATCH(C465,Daftar_Menu!$A$2:$A$13,0))</f>
        <v>Makanan</v>
      </c>
      <c r="I465" s="2" t="str">
        <f aca="false">CHOOSE(WEEKDAY(B465,2),"Senin","Selasa","Rabu","Kamis","Jumat","Sabtu","Minggu")</f>
        <v>Minggu</v>
      </c>
      <c r="J465" s="2" t="n">
        <f aca="false">HOUR(E465)</f>
        <v>19</v>
      </c>
      <c r="K465" s="2" t="str">
        <f aca="false">IF(J465&lt;11,"Pagi",IF(J465&lt;17,"Siang","Malam"))</f>
        <v>Malam</v>
      </c>
      <c r="L465" s="2" t="n">
        <f aca="false">IF(A465&lt;&gt;A464,1,0)</f>
        <v>0</v>
      </c>
    </row>
    <row r="466" customFormat="false" ht="15" hidden="false" customHeight="false" outlineLevel="0" collapsed="false">
      <c r="A466" s="2" t="s">
        <v>603</v>
      </c>
      <c r="B466" s="13" t="n">
        <v>46271</v>
      </c>
      <c r="C466" s="2" t="s">
        <v>81</v>
      </c>
      <c r="D466" s="2" t="n">
        <v>2</v>
      </c>
      <c r="E466" s="15" t="n">
        <v>0.794444444444444</v>
      </c>
      <c r="F466" s="7" t="n">
        <v>15000</v>
      </c>
      <c r="G466" s="7" t="n">
        <f aca="false">D466*F466</f>
        <v>30000</v>
      </c>
      <c r="H466" s="2" t="str">
        <f aca="false">INDEX(Daftar_Menu!$B$2:$B$13,MATCH(C466,Daftar_Menu!$A$2:$A$13,0))</f>
        <v>Makanan</v>
      </c>
      <c r="I466" s="2" t="str">
        <f aca="false">CHOOSE(WEEKDAY(B466,2),"Senin","Selasa","Rabu","Kamis","Jumat","Sabtu","Minggu")</f>
        <v>Minggu</v>
      </c>
      <c r="J466" s="2" t="n">
        <f aca="false">HOUR(E466)</f>
        <v>19</v>
      </c>
      <c r="K466" s="2" t="str">
        <f aca="false">IF(J466&lt;11,"Pagi",IF(J466&lt;17,"Siang","Malam"))</f>
        <v>Malam</v>
      </c>
      <c r="L466" s="2" t="n">
        <f aca="false">IF(A466&lt;&gt;A465,1,0)</f>
        <v>0</v>
      </c>
    </row>
    <row r="467" customFormat="false" ht="15" hidden="false" customHeight="false" outlineLevel="0" collapsed="false">
      <c r="A467" s="2" t="s">
        <v>604</v>
      </c>
      <c r="B467" s="13" t="n">
        <v>46271</v>
      </c>
      <c r="C467" s="2" t="s">
        <v>89</v>
      </c>
      <c r="D467" s="2" t="n">
        <v>1</v>
      </c>
      <c r="E467" s="15" t="n">
        <v>0.813888888888889</v>
      </c>
      <c r="F467" s="7" t="n">
        <v>14000</v>
      </c>
      <c r="G467" s="7" t="n">
        <f aca="false">D467*F467</f>
        <v>14000</v>
      </c>
      <c r="H467" s="2" t="str">
        <f aca="false">INDEX(Daftar_Menu!$B$2:$B$13,MATCH(C467,Daftar_Menu!$A$2:$A$13,0))</f>
        <v>Makanan</v>
      </c>
      <c r="I467" s="2" t="str">
        <f aca="false">CHOOSE(WEEKDAY(B467,2),"Senin","Selasa","Rabu","Kamis","Jumat","Sabtu","Minggu")</f>
        <v>Minggu</v>
      </c>
      <c r="J467" s="2" t="n">
        <f aca="false">HOUR(E467)</f>
        <v>19</v>
      </c>
      <c r="K467" s="2" t="str">
        <f aca="false">IF(J467&lt;11,"Pagi",IF(J467&lt;17,"Siang","Malam"))</f>
        <v>Malam</v>
      </c>
      <c r="L467" s="2" t="n">
        <f aca="false">IF(A467&lt;&gt;A466,1,0)</f>
        <v>1</v>
      </c>
    </row>
    <row r="468" customFormat="false" ht="15" hidden="false" customHeight="false" outlineLevel="0" collapsed="false">
      <c r="A468" s="2" t="s">
        <v>604</v>
      </c>
      <c r="B468" s="13" t="n">
        <v>46271</v>
      </c>
      <c r="C468" s="2" t="s">
        <v>84</v>
      </c>
      <c r="D468" s="2" t="n">
        <v>2</v>
      </c>
      <c r="E468" s="15" t="n">
        <v>0.813888888888889</v>
      </c>
      <c r="F468" s="7" t="n">
        <v>5000</v>
      </c>
      <c r="G468" s="7" t="n">
        <f aca="false">D468*F468</f>
        <v>10000</v>
      </c>
      <c r="H468" s="2" t="str">
        <f aca="false">INDEX(Daftar_Menu!$B$2:$B$13,MATCH(C468,Daftar_Menu!$A$2:$A$13,0))</f>
        <v>Minuman</v>
      </c>
      <c r="I468" s="2" t="str">
        <f aca="false">CHOOSE(WEEKDAY(B468,2),"Senin","Selasa","Rabu","Kamis","Jumat","Sabtu","Minggu")</f>
        <v>Minggu</v>
      </c>
      <c r="J468" s="2" t="n">
        <f aca="false">HOUR(E468)</f>
        <v>19</v>
      </c>
      <c r="K468" s="2" t="str">
        <f aca="false">IF(J468&lt;11,"Pagi",IF(J468&lt;17,"Siang","Malam"))</f>
        <v>Malam</v>
      </c>
      <c r="L468" s="2" t="n">
        <f aca="false">IF(A468&lt;&gt;A467,1,0)</f>
        <v>0</v>
      </c>
    </row>
    <row r="469" customFormat="false" ht="15" hidden="false" customHeight="false" outlineLevel="0" collapsed="false">
      <c r="A469" s="2" t="s">
        <v>604</v>
      </c>
      <c r="B469" s="13" t="n">
        <v>46271</v>
      </c>
      <c r="C469" s="2" t="s">
        <v>81</v>
      </c>
      <c r="D469" s="2" t="n">
        <v>1</v>
      </c>
      <c r="E469" s="15" t="n">
        <v>0.813888888888889</v>
      </c>
      <c r="F469" s="7" t="n">
        <v>15000</v>
      </c>
      <c r="G469" s="7" t="n">
        <f aca="false">D469*F469</f>
        <v>15000</v>
      </c>
      <c r="H469" s="2" t="str">
        <f aca="false">INDEX(Daftar_Menu!$B$2:$B$13,MATCH(C469,Daftar_Menu!$A$2:$A$13,0))</f>
        <v>Makanan</v>
      </c>
      <c r="I469" s="2" t="str">
        <f aca="false">CHOOSE(WEEKDAY(B469,2),"Senin","Selasa","Rabu","Kamis","Jumat","Sabtu","Minggu")</f>
        <v>Minggu</v>
      </c>
      <c r="J469" s="2" t="n">
        <f aca="false">HOUR(E469)</f>
        <v>19</v>
      </c>
      <c r="K469" s="2" t="str">
        <f aca="false">IF(J469&lt;11,"Pagi",IF(J469&lt;17,"Siang","Malam"))</f>
        <v>Malam</v>
      </c>
      <c r="L469" s="2" t="n">
        <f aca="false">IF(A469&lt;&gt;A468,1,0)</f>
        <v>0</v>
      </c>
    </row>
    <row r="470" customFormat="false" ht="15" hidden="false" customHeight="false" outlineLevel="0" collapsed="false">
      <c r="A470" s="2" t="s">
        <v>606</v>
      </c>
      <c r="B470" s="13" t="n">
        <v>46271</v>
      </c>
      <c r="C470" s="2" t="s">
        <v>81</v>
      </c>
      <c r="D470" s="2" t="n">
        <v>2</v>
      </c>
      <c r="E470" s="15" t="n">
        <v>0.817361111111111</v>
      </c>
      <c r="F470" s="7" t="n">
        <v>15000</v>
      </c>
      <c r="G470" s="7" t="n">
        <f aca="false">D470*F470</f>
        <v>30000</v>
      </c>
      <c r="H470" s="2" t="str">
        <f aca="false">INDEX(Daftar_Menu!$B$2:$B$13,MATCH(C470,Daftar_Menu!$A$2:$A$13,0))</f>
        <v>Makanan</v>
      </c>
      <c r="I470" s="2" t="str">
        <f aca="false">CHOOSE(WEEKDAY(B470,2),"Senin","Selasa","Rabu","Kamis","Jumat","Sabtu","Minggu")</f>
        <v>Minggu</v>
      </c>
      <c r="J470" s="2" t="n">
        <f aca="false">HOUR(E470)</f>
        <v>19</v>
      </c>
      <c r="K470" s="2" t="str">
        <f aca="false">IF(J470&lt;11,"Pagi",IF(J470&lt;17,"Siang","Malam"))</f>
        <v>Malam</v>
      </c>
      <c r="L470" s="2" t="n">
        <f aca="false">IF(A470&lt;&gt;A469,1,0)</f>
        <v>1</v>
      </c>
    </row>
    <row r="471" customFormat="false" ht="15" hidden="false" customHeight="false" outlineLevel="0" collapsed="false">
      <c r="A471" s="2" t="s">
        <v>608</v>
      </c>
      <c r="B471" s="13" t="n">
        <v>46271</v>
      </c>
      <c r="C471" s="2" t="s">
        <v>79</v>
      </c>
      <c r="D471" s="2" t="n">
        <v>2</v>
      </c>
      <c r="E471" s="15" t="n">
        <v>0.834027777777778</v>
      </c>
      <c r="F471" s="7" t="n">
        <v>16000</v>
      </c>
      <c r="G471" s="7" t="n">
        <f aca="false">D471*F471</f>
        <v>32000</v>
      </c>
      <c r="H471" s="2" t="str">
        <f aca="false">INDEX(Daftar_Menu!$B$2:$B$13,MATCH(C471,Daftar_Menu!$A$2:$A$13,0))</f>
        <v>Makanan</v>
      </c>
      <c r="I471" s="2" t="str">
        <f aca="false">CHOOSE(WEEKDAY(B471,2),"Senin","Selasa","Rabu","Kamis","Jumat","Sabtu","Minggu")</f>
        <v>Minggu</v>
      </c>
      <c r="J471" s="2" t="n">
        <f aca="false">HOUR(E471)</f>
        <v>20</v>
      </c>
      <c r="K471" s="2" t="str">
        <f aca="false">IF(J471&lt;11,"Pagi",IF(J471&lt;17,"Siang","Malam"))</f>
        <v>Malam</v>
      </c>
      <c r="L471" s="2" t="n">
        <f aca="false">IF(A471&lt;&gt;A470,1,0)</f>
        <v>1</v>
      </c>
    </row>
    <row r="472" customFormat="false" ht="15" hidden="false" customHeight="false" outlineLevel="0" collapsed="false">
      <c r="A472" s="2" t="s">
        <v>608</v>
      </c>
      <c r="B472" s="13" t="n">
        <v>46271</v>
      </c>
      <c r="C472" s="2" t="s">
        <v>132</v>
      </c>
      <c r="D472" s="2" t="n">
        <v>1</v>
      </c>
      <c r="E472" s="15" t="n">
        <v>0.834027777777778</v>
      </c>
      <c r="F472" s="7" t="n">
        <v>15000</v>
      </c>
      <c r="G472" s="7" t="n">
        <f aca="false">D472*F472</f>
        <v>15000</v>
      </c>
      <c r="H472" s="2" t="str">
        <f aca="false">INDEX(Daftar_Menu!$B$2:$B$13,MATCH(C472,Daftar_Menu!$A$2:$A$13,0))</f>
        <v>Makanan</v>
      </c>
      <c r="I472" s="2" t="str">
        <f aca="false">CHOOSE(WEEKDAY(B472,2),"Senin","Selasa","Rabu","Kamis","Jumat","Sabtu","Minggu")</f>
        <v>Minggu</v>
      </c>
      <c r="J472" s="2" t="n">
        <f aca="false">HOUR(E472)</f>
        <v>20</v>
      </c>
      <c r="K472" s="2" t="str">
        <f aca="false">IF(J472&lt;11,"Pagi",IF(J472&lt;17,"Siang","Malam"))</f>
        <v>Malam</v>
      </c>
      <c r="L472" s="2" t="n">
        <f aca="false">IF(A472&lt;&gt;A471,1,0)</f>
        <v>0</v>
      </c>
    </row>
    <row r="473" customFormat="false" ht="15" hidden="false" customHeight="false" outlineLevel="0" collapsed="false">
      <c r="A473" s="2" t="s">
        <v>608</v>
      </c>
      <c r="B473" s="13" t="n">
        <v>46271</v>
      </c>
      <c r="C473" s="2" t="s">
        <v>84</v>
      </c>
      <c r="D473" s="2" t="n">
        <v>2</v>
      </c>
      <c r="E473" s="15" t="n">
        <v>0.834027777777778</v>
      </c>
      <c r="F473" s="7" t="n">
        <v>5000</v>
      </c>
      <c r="G473" s="7" t="n">
        <f aca="false">D473*F473</f>
        <v>10000</v>
      </c>
      <c r="H473" s="2" t="str">
        <f aca="false">INDEX(Daftar_Menu!$B$2:$B$13,MATCH(C473,Daftar_Menu!$A$2:$A$13,0))</f>
        <v>Minuman</v>
      </c>
      <c r="I473" s="2" t="str">
        <f aca="false">CHOOSE(WEEKDAY(B473,2),"Senin","Selasa","Rabu","Kamis","Jumat","Sabtu","Minggu")</f>
        <v>Minggu</v>
      </c>
      <c r="J473" s="2" t="n">
        <f aca="false">HOUR(E473)</f>
        <v>20</v>
      </c>
      <c r="K473" s="2" t="str">
        <f aca="false">IF(J473&lt;11,"Pagi",IF(J473&lt;17,"Siang","Malam"))</f>
        <v>Malam</v>
      </c>
      <c r="L473" s="2" t="n">
        <f aca="false">IF(A473&lt;&gt;A472,1,0)</f>
        <v>0</v>
      </c>
    </row>
    <row r="474" customFormat="false" ht="15" hidden="false" customHeight="false" outlineLevel="0" collapsed="false">
      <c r="A474" s="2" t="s">
        <v>609</v>
      </c>
      <c r="B474" s="13" t="n">
        <v>46271</v>
      </c>
      <c r="C474" s="2" t="s">
        <v>126</v>
      </c>
      <c r="D474" s="2" t="n">
        <v>1</v>
      </c>
      <c r="E474" s="15" t="n">
        <v>0.840277777777778</v>
      </c>
      <c r="F474" s="7" t="n">
        <v>3000</v>
      </c>
      <c r="G474" s="7" t="n">
        <f aca="false">D474*F474</f>
        <v>3000</v>
      </c>
      <c r="H474" s="2" t="str">
        <f aca="false">INDEX(Daftar_Menu!$B$2:$B$13,MATCH(C474,Daftar_Menu!$A$2:$A$13,0))</f>
        <v>Minuman</v>
      </c>
      <c r="I474" s="2" t="str">
        <f aca="false">CHOOSE(WEEKDAY(B474,2),"Senin","Selasa","Rabu","Kamis","Jumat","Sabtu","Minggu")</f>
        <v>Minggu</v>
      </c>
      <c r="J474" s="2" t="n">
        <f aca="false">HOUR(E474)</f>
        <v>20</v>
      </c>
      <c r="K474" s="2" t="str">
        <f aca="false">IF(J474&lt;11,"Pagi",IF(J474&lt;17,"Siang","Malam"))</f>
        <v>Malam</v>
      </c>
      <c r="L474" s="2" t="n">
        <f aca="false">IF(A474&lt;&gt;A473,1,0)</f>
        <v>1</v>
      </c>
    </row>
    <row r="475" customFormat="false" ht="15" hidden="false" customHeight="false" outlineLevel="0" collapsed="false">
      <c r="A475" s="2" t="s">
        <v>609</v>
      </c>
      <c r="B475" s="13" t="n">
        <v>46271</v>
      </c>
      <c r="C475" s="2" t="s">
        <v>112</v>
      </c>
      <c r="D475" s="2" t="n">
        <v>1</v>
      </c>
      <c r="E475" s="15" t="n">
        <v>0.840277777777778</v>
      </c>
      <c r="F475" s="7" t="n">
        <v>10000</v>
      </c>
      <c r="G475" s="7" t="n">
        <f aca="false">D475*F475</f>
        <v>10000</v>
      </c>
      <c r="H475" s="2" t="str">
        <f aca="false">INDEX(Daftar_Menu!$B$2:$B$13,MATCH(C475,Daftar_Menu!$A$2:$A$13,0))</f>
        <v>Minuman</v>
      </c>
      <c r="I475" s="2" t="str">
        <f aca="false">CHOOSE(WEEKDAY(B475,2),"Senin","Selasa","Rabu","Kamis","Jumat","Sabtu","Minggu")</f>
        <v>Minggu</v>
      </c>
      <c r="J475" s="2" t="n">
        <f aca="false">HOUR(E475)</f>
        <v>20</v>
      </c>
      <c r="K475" s="2" t="str">
        <f aca="false">IF(J475&lt;11,"Pagi",IF(J475&lt;17,"Siang","Malam"))</f>
        <v>Malam</v>
      </c>
      <c r="L475" s="2" t="n">
        <f aca="false">IF(A475&lt;&gt;A474,1,0)</f>
        <v>0</v>
      </c>
    </row>
    <row r="476" customFormat="false" ht="15" hidden="false" customHeight="false" outlineLevel="0" collapsed="false">
      <c r="A476" s="2" t="s">
        <v>609</v>
      </c>
      <c r="B476" s="13" t="n">
        <v>46271</v>
      </c>
      <c r="C476" s="2" t="s">
        <v>84</v>
      </c>
      <c r="D476" s="2" t="n">
        <v>1</v>
      </c>
      <c r="E476" s="15" t="n">
        <v>0.840277777777778</v>
      </c>
      <c r="F476" s="7" t="n">
        <v>5000</v>
      </c>
      <c r="G476" s="7" t="n">
        <f aca="false">D476*F476</f>
        <v>5000</v>
      </c>
      <c r="H476" s="2" t="str">
        <f aca="false">INDEX(Daftar_Menu!$B$2:$B$13,MATCH(C476,Daftar_Menu!$A$2:$A$13,0))</f>
        <v>Minuman</v>
      </c>
      <c r="I476" s="2" t="str">
        <f aca="false">CHOOSE(WEEKDAY(B476,2),"Senin","Selasa","Rabu","Kamis","Jumat","Sabtu","Minggu")</f>
        <v>Minggu</v>
      </c>
      <c r="J476" s="2" t="n">
        <f aca="false">HOUR(E476)</f>
        <v>20</v>
      </c>
      <c r="K476" s="2" t="str">
        <f aca="false">IF(J476&lt;11,"Pagi",IF(J476&lt;17,"Siang","Malam"))</f>
        <v>Malam</v>
      </c>
      <c r="L476" s="2" t="n">
        <f aca="false">IF(A476&lt;&gt;A475,1,0)</f>
        <v>0</v>
      </c>
    </row>
    <row r="477" customFormat="false" ht="15" hidden="false" customHeight="false" outlineLevel="0" collapsed="false">
      <c r="A477" s="2" t="s">
        <v>610</v>
      </c>
      <c r="B477" s="13" t="n">
        <v>46271</v>
      </c>
      <c r="C477" s="2" t="s">
        <v>186</v>
      </c>
      <c r="D477" s="2" t="n">
        <v>2</v>
      </c>
      <c r="E477" s="15" t="n">
        <v>0.848611111111111</v>
      </c>
      <c r="F477" s="7" t="n">
        <v>7000</v>
      </c>
      <c r="G477" s="7" t="n">
        <f aca="false">D477*F477</f>
        <v>14000</v>
      </c>
      <c r="H477" s="2" t="str">
        <f aca="false">INDEX(Daftar_Menu!$B$2:$B$13,MATCH(C477,Daftar_Menu!$A$2:$A$13,0))</f>
        <v>Minuman</v>
      </c>
      <c r="I477" s="2" t="str">
        <f aca="false">CHOOSE(WEEKDAY(B477,2),"Senin","Selasa","Rabu","Kamis","Jumat","Sabtu","Minggu")</f>
        <v>Minggu</v>
      </c>
      <c r="J477" s="2" t="n">
        <f aca="false">HOUR(E477)</f>
        <v>20</v>
      </c>
      <c r="K477" s="2" t="str">
        <f aca="false">IF(J477&lt;11,"Pagi",IF(J477&lt;17,"Siang","Malam"))</f>
        <v>Malam</v>
      </c>
      <c r="L477" s="2" t="n">
        <f aca="false">IF(A477&lt;&gt;A476,1,0)</f>
        <v>1</v>
      </c>
    </row>
    <row r="478" customFormat="false" ht="15" hidden="false" customHeight="false" outlineLevel="0" collapsed="false">
      <c r="A478" s="2" t="s">
        <v>610</v>
      </c>
      <c r="B478" s="13" t="n">
        <v>46271</v>
      </c>
      <c r="C478" s="2" t="s">
        <v>84</v>
      </c>
      <c r="D478" s="2" t="n">
        <v>1</v>
      </c>
      <c r="E478" s="15" t="n">
        <v>0.848611111111111</v>
      </c>
      <c r="F478" s="7" t="n">
        <v>5000</v>
      </c>
      <c r="G478" s="7" t="n">
        <f aca="false">D478*F478</f>
        <v>5000</v>
      </c>
      <c r="H478" s="2" t="str">
        <f aca="false">INDEX(Daftar_Menu!$B$2:$B$13,MATCH(C478,Daftar_Menu!$A$2:$A$13,0))</f>
        <v>Minuman</v>
      </c>
      <c r="I478" s="2" t="str">
        <f aca="false">CHOOSE(WEEKDAY(B478,2),"Senin","Selasa","Rabu","Kamis","Jumat","Sabtu","Minggu")</f>
        <v>Minggu</v>
      </c>
      <c r="J478" s="2" t="n">
        <f aca="false">HOUR(E478)</f>
        <v>20</v>
      </c>
      <c r="K478" s="2" t="str">
        <f aca="false">IF(J478&lt;11,"Pagi",IF(J478&lt;17,"Siang","Malam"))</f>
        <v>Malam</v>
      </c>
      <c r="L478" s="2" t="n">
        <f aca="false">IF(A478&lt;&gt;A477,1,0)</f>
        <v>0</v>
      </c>
    </row>
    <row r="479" customFormat="false" ht="15" hidden="false" customHeight="false" outlineLevel="0" collapsed="false">
      <c r="A479" s="2" t="s">
        <v>611</v>
      </c>
      <c r="B479" s="13" t="n">
        <v>46271</v>
      </c>
      <c r="C479" s="2" t="s">
        <v>112</v>
      </c>
      <c r="D479" s="2" t="n">
        <v>1</v>
      </c>
      <c r="E479" s="15" t="n">
        <v>0.85</v>
      </c>
      <c r="F479" s="7" t="n">
        <v>10000</v>
      </c>
      <c r="G479" s="7" t="n">
        <f aca="false">D479*F479</f>
        <v>10000</v>
      </c>
      <c r="H479" s="2" t="str">
        <f aca="false">INDEX(Daftar_Menu!$B$2:$B$13,MATCH(C479,Daftar_Menu!$A$2:$A$13,0))</f>
        <v>Minuman</v>
      </c>
      <c r="I479" s="2" t="str">
        <f aca="false">CHOOSE(WEEKDAY(B479,2),"Senin","Selasa","Rabu","Kamis","Jumat","Sabtu","Minggu")</f>
        <v>Minggu</v>
      </c>
      <c r="J479" s="2" t="n">
        <f aca="false">HOUR(E479)</f>
        <v>20</v>
      </c>
      <c r="K479" s="2" t="str">
        <f aca="false">IF(J479&lt;11,"Pagi",IF(J479&lt;17,"Siang","Malam"))</f>
        <v>Malam</v>
      </c>
      <c r="L479" s="2" t="n">
        <f aca="false">IF(A479&lt;&gt;A478,1,0)</f>
        <v>1</v>
      </c>
    </row>
    <row r="480" customFormat="false" ht="15" hidden="false" customHeight="false" outlineLevel="0" collapsed="false">
      <c r="A480" s="2" t="s">
        <v>612</v>
      </c>
      <c r="B480" s="13" t="n">
        <v>46272</v>
      </c>
      <c r="C480" s="2" t="s">
        <v>89</v>
      </c>
      <c r="D480" s="2" t="n">
        <v>1</v>
      </c>
      <c r="E480" s="15" t="n">
        <v>0.366666666666667</v>
      </c>
      <c r="F480" s="7" t="n">
        <v>14000</v>
      </c>
      <c r="G480" s="7" t="n">
        <f aca="false">D480*F480</f>
        <v>14000</v>
      </c>
      <c r="H480" s="2" t="str">
        <f aca="false">INDEX(Daftar_Menu!$B$2:$B$13,MATCH(C480,Daftar_Menu!$A$2:$A$13,0))</f>
        <v>Makanan</v>
      </c>
      <c r="I480" s="2" t="str">
        <f aca="false">CHOOSE(WEEKDAY(B480,2),"Senin","Selasa","Rabu","Kamis","Jumat","Sabtu","Minggu")</f>
        <v>Senin</v>
      </c>
      <c r="J480" s="2" t="n">
        <f aca="false">HOUR(E480)</f>
        <v>8</v>
      </c>
      <c r="K480" s="2" t="str">
        <f aca="false">IF(J480&lt;11,"Pagi",IF(J480&lt;17,"Siang","Malam"))</f>
        <v>Pagi</v>
      </c>
      <c r="L480" s="2" t="n">
        <f aca="false">IF(A480&lt;&gt;A479,1,0)</f>
        <v>1</v>
      </c>
    </row>
    <row r="481" customFormat="false" ht="15" hidden="false" customHeight="false" outlineLevel="0" collapsed="false">
      <c r="A481" s="2" t="s">
        <v>612</v>
      </c>
      <c r="B481" s="13" t="n">
        <v>46272</v>
      </c>
      <c r="C481" s="2" t="s">
        <v>132</v>
      </c>
      <c r="D481" s="2" t="n">
        <v>2</v>
      </c>
      <c r="E481" s="15" t="n">
        <v>0.366666666666667</v>
      </c>
      <c r="F481" s="7" t="n">
        <v>15000</v>
      </c>
      <c r="G481" s="7" t="n">
        <f aca="false">D481*F481</f>
        <v>30000</v>
      </c>
      <c r="H481" s="2" t="str">
        <f aca="false">INDEX(Daftar_Menu!$B$2:$B$13,MATCH(C481,Daftar_Menu!$A$2:$A$13,0))</f>
        <v>Makanan</v>
      </c>
      <c r="I481" s="2" t="str">
        <f aca="false">CHOOSE(WEEKDAY(B481,2),"Senin","Selasa","Rabu","Kamis","Jumat","Sabtu","Minggu")</f>
        <v>Senin</v>
      </c>
      <c r="J481" s="2" t="n">
        <f aca="false">HOUR(E481)</f>
        <v>8</v>
      </c>
      <c r="K481" s="2" t="str">
        <f aca="false">IF(J481&lt;11,"Pagi",IF(J481&lt;17,"Siang","Malam"))</f>
        <v>Pagi</v>
      </c>
      <c r="L481" s="2" t="n">
        <f aca="false">IF(A481&lt;&gt;A480,1,0)</f>
        <v>0</v>
      </c>
    </row>
    <row r="482" customFormat="false" ht="15" hidden="false" customHeight="false" outlineLevel="0" collapsed="false">
      <c r="A482" s="2" t="s">
        <v>612</v>
      </c>
      <c r="B482" s="13" t="n">
        <v>46272</v>
      </c>
      <c r="C482" s="2" t="s">
        <v>79</v>
      </c>
      <c r="D482" s="2" t="n">
        <v>1</v>
      </c>
      <c r="E482" s="15" t="n">
        <v>0.366666666666667</v>
      </c>
      <c r="F482" s="7" t="n">
        <v>16000</v>
      </c>
      <c r="G482" s="7" t="n">
        <f aca="false">D482*F482</f>
        <v>16000</v>
      </c>
      <c r="H482" s="2" t="str">
        <f aca="false">INDEX(Daftar_Menu!$B$2:$B$13,MATCH(C482,Daftar_Menu!$A$2:$A$13,0))</f>
        <v>Makanan</v>
      </c>
      <c r="I482" s="2" t="str">
        <f aca="false">CHOOSE(WEEKDAY(B482,2),"Senin","Selasa","Rabu","Kamis","Jumat","Sabtu","Minggu")</f>
        <v>Senin</v>
      </c>
      <c r="J482" s="2" t="n">
        <f aca="false">HOUR(E482)</f>
        <v>8</v>
      </c>
      <c r="K482" s="2" t="str">
        <f aca="false">IF(J482&lt;11,"Pagi",IF(J482&lt;17,"Siang","Malam"))</f>
        <v>Pagi</v>
      </c>
      <c r="L482" s="2" t="n">
        <f aca="false">IF(A482&lt;&gt;A481,1,0)</f>
        <v>0</v>
      </c>
    </row>
    <row r="483" customFormat="false" ht="15" hidden="false" customHeight="false" outlineLevel="0" collapsed="false">
      <c r="A483" s="2" t="s">
        <v>615</v>
      </c>
      <c r="B483" s="13" t="n">
        <v>46272</v>
      </c>
      <c r="C483" s="2" t="s">
        <v>108</v>
      </c>
      <c r="D483" s="2" t="n">
        <v>1</v>
      </c>
      <c r="E483" s="15" t="n">
        <v>0.392361111111111</v>
      </c>
      <c r="F483" s="7" t="n">
        <v>20000</v>
      </c>
      <c r="G483" s="7" t="n">
        <f aca="false">D483*F483</f>
        <v>20000</v>
      </c>
      <c r="H483" s="2" t="str">
        <f aca="false">INDEX(Daftar_Menu!$B$2:$B$13,MATCH(C483,Daftar_Menu!$A$2:$A$13,0))</f>
        <v>Makanan</v>
      </c>
      <c r="I483" s="2" t="str">
        <f aca="false">CHOOSE(WEEKDAY(B483,2),"Senin","Selasa","Rabu","Kamis","Jumat","Sabtu","Minggu")</f>
        <v>Senin</v>
      </c>
      <c r="J483" s="2" t="n">
        <f aca="false">HOUR(E483)</f>
        <v>9</v>
      </c>
      <c r="K483" s="2" t="str">
        <f aca="false">IF(J483&lt;11,"Pagi",IF(J483&lt;17,"Siang","Malam"))</f>
        <v>Pagi</v>
      </c>
      <c r="L483" s="2" t="n">
        <f aca="false">IF(A483&lt;&gt;A482,1,0)</f>
        <v>1</v>
      </c>
    </row>
    <row r="484" customFormat="false" ht="15" hidden="false" customHeight="false" outlineLevel="0" collapsed="false">
      <c r="A484" s="2" t="s">
        <v>616</v>
      </c>
      <c r="B484" s="13" t="n">
        <v>46272</v>
      </c>
      <c r="C484" s="2" t="s">
        <v>108</v>
      </c>
      <c r="D484" s="2" t="n">
        <v>1</v>
      </c>
      <c r="E484" s="15" t="n">
        <v>0.470138888888889</v>
      </c>
      <c r="F484" s="7" t="n">
        <v>20000</v>
      </c>
      <c r="G484" s="7" t="n">
        <f aca="false">D484*F484</f>
        <v>20000</v>
      </c>
      <c r="H484" s="2" t="str">
        <f aca="false">INDEX(Daftar_Menu!$B$2:$B$13,MATCH(C484,Daftar_Menu!$A$2:$A$13,0))</f>
        <v>Makanan</v>
      </c>
      <c r="I484" s="2" t="str">
        <f aca="false">CHOOSE(WEEKDAY(B484,2),"Senin","Selasa","Rabu","Kamis","Jumat","Sabtu","Minggu")</f>
        <v>Senin</v>
      </c>
      <c r="J484" s="2" t="n">
        <f aca="false">HOUR(E484)</f>
        <v>11</v>
      </c>
      <c r="K484" s="2" t="str">
        <f aca="false">IF(J484&lt;11,"Pagi",IF(J484&lt;17,"Siang","Malam"))</f>
        <v>Siang</v>
      </c>
      <c r="L484" s="2" t="n">
        <f aca="false">IF(A484&lt;&gt;A483,1,0)</f>
        <v>1</v>
      </c>
    </row>
    <row r="485" customFormat="false" ht="15" hidden="false" customHeight="false" outlineLevel="0" collapsed="false">
      <c r="A485" s="2" t="s">
        <v>618</v>
      </c>
      <c r="B485" s="13" t="n">
        <v>46272</v>
      </c>
      <c r="C485" s="2" t="s">
        <v>84</v>
      </c>
      <c r="D485" s="2" t="n">
        <v>1</v>
      </c>
      <c r="E485" s="15" t="n">
        <v>0.504861111111111</v>
      </c>
      <c r="F485" s="7" t="n">
        <v>5000</v>
      </c>
      <c r="G485" s="7" t="n">
        <f aca="false">D485*F485</f>
        <v>5000</v>
      </c>
      <c r="H485" s="2" t="str">
        <f aca="false">INDEX(Daftar_Menu!$B$2:$B$13,MATCH(C485,Daftar_Menu!$A$2:$A$13,0))</f>
        <v>Minuman</v>
      </c>
      <c r="I485" s="2" t="str">
        <f aca="false">CHOOSE(WEEKDAY(B485,2),"Senin","Selasa","Rabu","Kamis","Jumat","Sabtu","Minggu")</f>
        <v>Senin</v>
      </c>
      <c r="J485" s="2" t="n">
        <f aca="false">HOUR(E485)</f>
        <v>12</v>
      </c>
      <c r="K485" s="2" t="str">
        <f aca="false">IF(J485&lt;11,"Pagi",IF(J485&lt;17,"Siang","Malam"))</f>
        <v>Siang</v>
      </c>
      <c r="L485" s="2" t="n">
        <f aca="false">IF(A485&lt;&gt;A484,1,0)</f>
        <v>1</v>
      </c>
    </row>
    <row r="486" customFormat="false" ht="15" hidden="false" customHeight="false" outlineLevel="0" collapsed="false">
      <c r="A486" s="2" t="s">
        <v>619</v>
      </c>
      <c r="B486" s="13" t="n">
        <v>46272</v>
      </c>
      <c r="C486" s="2" t="s">
        <v>84</v>
      </c>
      <c r="D486" s="2" t="n">
        <v>1</v>
      </c>
      <c r="E486" s="15" t="n">
        <v>0.50625</v>
      </c>
      <c r="F486" s="7" t="n">
        <v>5000</v>
      </c>
      <c r="G486" s="7" t="n">
        <f aca="false">D486*F486</f>
        <v>5000</v>
      </c>
      <c r="H486" s="2" t="str">
        <f aca="false">INDEX(Daftar_Menu!$B$2:$B$13,MATCH(C486,Daftar_Menu!$A$2:$A$13,0))</f>
        <v>Minuman</v>
      </c>
      <c r="I486" s="2" t="str">
        <f aca="false">CHOOSE(WEEKDAY(B486,2),"Senin","Selasa","Rabu","Kamis","Jumat","Sabtu","Minggu")</f>
        <v>Senin</v>
      </c>
      <c r="J486" s="2" t="n">
        <f aca="false">HOUR(E486)</f>
        <v>12</v>
      </c>
      <c r="K486" s="2" t="str">
        <f aca="false">IF(J486&lt;11,"Pagi",IF(J486&lt;17,"Siang","Malam"))</f>
        <v>Siang</v>
      </c>
      <c r="L486" s="2" t="n">
        <f aca="false">IF(A486&lt;&gt;A485,1,0)</f>
        <v>1</v>
      </c>
    </row>
    <row r="487" customFormat="false" ht="15" hidden="false" customHeight="false" outlineLevel="0" collapsed="false">
      <c r="A487" s="2" t="s">
        <v>620</v>
      </c>
      <c r="B487" s="13" t="n">
        <v>46272</v>
      </c>
      <c r="C487" s="2" t="s">
        <v>132</v>
      </c>
      <c r="D487" s="2" t="n">
        <v>1</v>
      </c>
      <c r="E487" s="15" t="n">
        <v>0.508333333333333</v>
      </c>
      <c r="F487" s="7" t="n">
        <v>15000</v>
      </c>
      <c r="G487" s="7" t="n">
        <f aca="false">D487*F487</f>
        <v>15000</v>
      </c>
      <c r="H487" s="2" t="str">
        <f aca="false">INDEX(Daftar_Menu!$B$2:$B$13,MATCH(C487,Daftar_Menu!$A$2:$A$13,0))</f>
        <v>Makanan</v>
      </c>
      <c r="I487" s="2" t="str">
        <f aca="false">CHOOSE(WEEKDAY(B487,2),"Senin","Selasa","Rabu","Kamis","Jumat","Sabtu","Minggu")</f>
        <v>Senin</v>
      </c>
      <c r="J487" s="2" t="n">
        <f aca="false">HOUR(E487)</f>
        <v>12</v>
      </c>
      <c r="K487" s="2" t="str">
        <f aca="false">IF(J487&lt;11,"Pagi",IF(J487&lt;17,"Siang","Malam"))</f>
        <v>Siang</v>
      </c>
      <c r="L487" s="2" t="n">
        <f aca="false">IF(A487&lt;&gt;A486,1,0)</f>
        <v>1</v>
      </c>
    </row>
    <row r="488" customFormat="false" ht="15" hidden="false" customHeight="false" outlineLevel="0" collapsed="false">
      <c r="A488" s="2" t="s">
        <v>620</v>
      </c>
      <c r="B488" s="13" t="n">
        <v>46272</v>
      </c>
      <c r="C488" s="2" t="s">
        <v>81</v>
      </c>
      <c r="D488" s="2" t="n">
        <v>2</v>
      </c>
      <c r="E488" s="15" t="n">
        <v>0.508333333333333</v>
      </c>
      <c r="F488" s="7" t="n">
        <v>15000</v>
      </c>
      <c r="G488" s="7" t="n">
        <f aca="false">D488*F488</f>
        <v>30000</v>
      </c>
      <c r="H488" s="2" t="str">
        <f aca="false">INDEX(Daftar_Menu!$B$2:$B$13,MATCH(C488,Daftar_Menu!$A$2:$A$13,0))</f>
        <v>Makanan</v>
      </c>
      <c r="I488" s="2" t="str">
        <f aca="false">CHOOSE(WEEKDAY(B488,2),"Senin","Selasa","Rabu","Kamis","Jumat","Sabtu","Minggu")</f>
        <v>Senin</v>
      </c>
      <c r="J488" s="2" t="n">
        <f aca="false">HOUR(E488)</f>
        <v>12</v>
      </c>
      <c r="K488" s="2" t="str">
        <f aca="false">IF(J488&lt;11,"Pagi",IF(J488&lt;17,"Siang","Malam"))</f>
        <v>Siang</v>
      </c>
      <c r="L488" s="2" t="n">
        <f aca="false">IF(A488&lt;&gt;A487,1,0)</f>
        <v>0</v>
      </c>
    </row>
    <row r="489" customFormat="false" ht="15" hidden="false" customHeight="false" outlineLevel="0" collapsed="false">
      <c r="A489" s="2" t="s">
        <v>620</v>
      </c>
      <c r="B489" s="13" t="n">
        <v>46272</v>
      </c>
      <c r="C489" s="2" t="s">
        <v>101</v>
      </c>
      <c r="D489" s="2" t="n">
        <v>1</v>
      </c>
      <c r="E489" s="15" t="n">
        <v>0.508333333333333</v>
      </c>
      <c r="F489" s="7" t="n">
        <v>18000</v>
      </c>
      <c r="G489" s="7" t="n">
        <f aca="false">D489*F489</f>
        <v>18000</v>
      </c>
      <c r="H489" s="2" t="str">
        <f aca="false">INDEX(Daftar_Menu!$B$2:$B$13,MATCH(C489,Daftar_Menu!$A$2:$A$13,0))</f>
        <v>Makanan</v>
      </c>
      <c r="I489" s="2" t="str">
        <f aca="false">CHOOSE(WEEKDAY(B489,2),"Senin","Selasa","Rabu","Kamis","Jumat","Sabtu","Minggu")</f>
        <v>Senin</v>
      </c>
      <c r="J489" s="2" t="n">
        <f aca="false">HOUR(E489)</f>
        <v>12</v>
      </c>
      <c r="K489" s="2" t="str">
        <f aca="false">IF(J489&lt;11,"Pagi",IF(J489&lt;17,"Siang","Malam"))</f>
        <v>Siang</v>
      </c>
      <c r="L489" s="2" t="n">
        <f aca="false">IF(A489&lt;&gt;A488,1,0)</f>
        <v>0</v>
      </c>
    </row>
    <row r="490" customFormat="false" ht="15" hidden="false" customHeight="false" outlineLevel="0" collapsed="false">
      <c r="A490" s="2" t="s">
        <v>621</v>
      </c>
      <c r="B490" s="13" t="n">
        <v>46272</v>
      </c>
      <c r="C490" s="2" t="s">
        <v>81</v>
      </c>
      <c r="D490" s="2" t="n">
        <v>2</v>
      </c>
      <c r="E490" s="15" t="n">
        <v>0.514583333333333</v>
      </c>
      <c r="F490" s="7" t="n">
        <v>15000</v>
      </c>
      <c r="G490" s="7" t="n">
        <f aca="false">D490*F490</f>
        <v>30000</v>
      </c>
      <c r="H490" s="2" t="str">
        <f aca="false">INDEX(Daftar_Menu!$B$2:$B$13,MATCH(C490,Daftar_Menu!$A$2:$A$13,0))</f>
        <v>Makanan</v>
      </c>
      <c r="I490" s="2" t="str">
        <f aca="false">CHOOSE(WEEKDAY(B490,2),"Senin","Selasa","Rabu","Kamis","Jumat","Sabtu","Minggu")</f>
        <v>Senin</v>
      </c>
      <c r="J490" s="2" t="n">
        <f aca="false">HOUR(E490)</f>
        <v>12</v>
      </c>
      <c r="K490" s="2" t="str">
        <f aca="false">IF(J490&lt;11,"Pagi",IF(J490&lt;17,"Siang","Malam"))</f>
        <v>Siang</v>
      </c>
      <c r="L490" s="2" t="n">
        <f aca="false">IF(A490&lt;&gt;A489,1,0)</f>
        <v>1</v>
      </c>
    </row>
    <row r="491" customFormat="false" ht="15" hidden="false" customHeight="false" outlineLevel="0" collapsed="false">
      <c r="A491" s="2" t="s">
        <v>621</v>
      </c>
      <c r="B491" s="13" t="n">
        <v>46272</v>
      </c>
      <c r="C491" s="2" t="s">
        <v>82</v>
      </c>
      <c r="D491" s="2" t="n">
        <v>1</v>
      </c>
      <c r="E491" s="15" t="n">
        <v>0.514583333333333</v>
      </c>
      <c r="F491" s="7" t="n">
        <v>13000</v>
      </c>
      <c r="G491" s="7" t="n">
        <f aca="false">D491*F491</f>
        <v>13000</v>
      </c>
      <c r="H491" s="2" t="str">
        <f aca="false">INDEX(Daftar_Menu!$B$2:$B$13,MATCH(C491,Daftar_Menu!$A$2:$A$13,0))</f>
        <v>Makanan</v>
      </c>
      <c r="I491" s="2" t="str">
        <f aca="false">CHOOSE(WEEKDAY(B491,2),"Senin","Selasa","Rabu","Kamis","Jumat","Sabtu","Minggu")</f>
        <v>Senin</v>
      </c>
      <c r="J491" s="2" t="n">
        <f aca="false">HOUR(E491)</f>
        <v>12</v>
      </c>
      <c r="K491" s="2" t="str">
        <f aca="false">IF(J491&lt;11,"Pagi",IF(J491&lt;17,"Siang","Malam"))</f>
        <v>Siang</v>
      </c>
      <c r="L491" s="2" t="n">
        <f aca="false">IF(A491&lt;&gt;A490,1,0)</f>
        <v>0</v>
      </c>
    </row>
    <row r="492" customFormat="false" ht="15" hidden="false" customHeight="false" outlineLevel="0" collapsed="false">
      <c r="A492" s="2" t="s">
        <v>622</v>
      </c>
      <c r="B492" s="13" t="n">
        <v>46272</v>
      </c>
      <c r="C492" s="2" t="s">
        <v>101</v>
      </c>
      <c r="D492" s="2" t="n">
        <v>1</v>
      </c>
      <c r="E492" s="15" t="n">
        <v>0.519444444444445</v>
      </c>
      <c r="F492" s="7" t="n">
        <v>18000</v>
      </c>
      <c r="G492" s="7" t="n">
        <f aca="false">D492*F492</f>
        <v>18000</v>
      </c>
      <c r="H492" s="2" t="str">
        <f aca="false">INDEX(Daftar_Menu!$B$2:$B$13,MATCH(C492,Daftar_Menu!$A$2:$A$13,0))</f>
        <v>Makanan</v>
      </c>
      <c r="I492" s="2" t="str">
        <f aca="false">CHOOSE(WEEKDAY(B492,2),"Senin","Selasa","Rabu","Kamis","Jumat","Sabtu","Minggu")</f>
        <v>Senin</v>
      </c>
      <c r="J492" s="2" t="n">
        <f aca="false">HOUR(E492)</f>
        <v>12</v>
      </c>
      <c r="K492" s="2" t="str">
        <f aca="false">IF(J492&lt;11,"Pagi",IF(J492&lt;17,"Siang","Malam"))</f>
        <v>Siang</v>
      </c>
      <c r="L492" s="2" t="n">
        <f aca="false">IF(A492&lt;&gt;A491,1,0)</f>
        <v>1</v>
      </c>
    </row>
    <row r="493" customFormat="false" ht="15" hidden="false" customHeight="false" outlineLevel="0" collapsed="false">
      <c r="A493" s="2" t="s">
        <v>624</v>
      </c>
      <c r="B493" s="13" t="n">
        <v>46272</v>
      </c>
      <c r="C493" s="2" t="s">
        <v>126</v>
      </c>
      <c r="D493" s="2" t="n">
        <v>1</v>
      </c>
      <c r="E493" s="15" t="n">
        <v>0.520138888888889</v>
      </c>
      <c r="F493" s="7" t="n">
        <v>3000</v>
      </c>
      <c r="G493" s="7" t="n">
        <f aca="false">D493*F493</f>
        <v>3000</v>
      </c>
      <c r="H493" s="2" t="str">
        <f aca="false">INDEX(Daftar_Menu!$B$2:$B$13,MATCH(C493,Daftar_Menu!$A$2:$A$13,0))</f>
        <v>Minuman</v>
      </c>
      <c r="I493" s="2" t="str">
        <f aca="false">CHOOSE(WEEKDAY(B493,2),"Senin","Selasa","Rabu","Kamis","Jumat","Sabtu","Minggu")</f>
        <v>Senin</v>
      </c>
      <c r="J493" s="2" t="n">
        <f aca="false">HOUR(E493)</f>
        <v>12</v>
      </c>
      <c r="K493" s="2" t="str">
        <f aca="false">IF(J493&lt;11,"Pagi",IF(J493&lt;17,"Siang","Malam"))</f>
        <v>Siang</v>
      </c>
      <c r="L493" s="2" t="n">
        <f aca="false">IF(A493&lt;&gt;A492,1,0)</f>
        <v>1</v>
      </c>
    </row>
    <row r="494" customFormat="false" ht="15" hidden="false" customHeight="false" outlineLevel="0" collapsed="false">
      <c r="A494" s="2" t="s">
        <v>626</v>
      </c>
      <c r="B494" s="13" t="n">
        <v>46272</v>
      </c>
      <c r="C494" s="2" t="s">
        <v>101</v>
      </c>
      <c r="D494" s="2" t="n">
        <v>1</v>
      </c>
      <c r="E494" s="15" t="n">
        <v>0.523611111111111</v>
      </c>
      <c r="F494" s="7" t="n">
        <v>18000</v>
      </c>
      <c r="G494" s="7" t="n">
        <f aca="false">D494*F494</f>
        <v>18000</v>
      </c>
      <c r="H494" s="2" t="str">
        <f aca="false">INDEX(Daftar_Menu!$B$2:$B$13,MATCH(C494,Daftar_Menu!$A$2:$A$13,0))</f>
        <v>Makanan</v>
      </c>
      <c r="I494" s="2" t="str">
        <f aca="false">CHOOSE(WEEKDAY(B494,2),"Senin","Selasa","Rabu","Kamis","Jumat","Sabtu","Minggu")</f>
        <v>Senin</v>
      </c>
      <c r="J494" s="2" t="n">
        <f aca="false">HOUR(E494)</f>
        <v>12</v>
      </c>
      <c r="K494" s="2" t="str">
        <f aca="false">IF(J494&lt;11,"Pagi",IF(J494&lt;17,"Siang","Malam"))</f>
        <v>Siang</v>
      </c>
      <c r="L494" s="2" t="n">
        <f aca="false">IF(A494&lt;&gt;A493,1,0)</f>
        <v>1</v>
      </c>
    </row>
    <row r="495" customFormat="false" ht="15" hidden="false" customHeight="false" outlineLevel="0" collapsed="false">
      <c r="A495" s="2" t="s">
        <v>627</v>
      </c>
      <c r="B495" s="13" t="n">
        <v>46272</v>
      </c>
      <c r="C495" s="2" t="s">
        <v>81</v>
      </c>
      <c r="D495" s="2" t="n">
        <v>1</v>
      </c>
      <c r="E495" s="15" t="n">
        <v>0.525</v>
      </c>
      <c r="F495" s="7" t="n">
        <v>15000</v>
      </c>
      <c r="G495" s="7" t="n">
        <f aca="false">D495*F495</f>
        <v>15000</v>
      </c>
      <c r="H495" s="2" t="str">
        <f aca="false">INDEX(Daftar_Menu!$B$2:$B$13,MATCH(C495,Daftar_Menu!$A$2:$A$13,0))</f>
        <v>Makanan</v>
      </c>
      <c r="I495" s="2" t="str">
        <f aca="false">CHOOSE(WEEKDAY(B495,2),"Senin","Selasa","Rabu","Kamis","Jumat","Sabtu","Minggu")</f>
        <v>Senin</v>
      </c>
      <c r="J495" s="2" t="n">
        <f aca="false">HOUR(E495)</f>
        <v>12</v>
      </c>
      <c r="K495" s="2" t="str">
        <f aca="false">IF(J495&lt;11,"Pagi",IF(J495&lt;17,"Siang","Malam"))</f>
        <v>Siang</v>
      </c>
      <c r="L495" s="2" t="n">
        <f aca="false">IF(A495&lt;&gt;A494,1,0)</f>
        <v>1</v>
      </c>
    </row>
    <row r="496" customFormat="false" ht="15" hidden="false" customHeight="false" outlineLevel="0" collapsed="false">
      <c r="A496" s="2" t="s">
        <v>629</v>
      </c>
      <c r="B496" s="13" t="n">
        <v>46272</v>
      </c>
      <c r="C496" s="2" t="s">
        <v>186</v>
      </c>
      <c r="D496" s="2" t="n">
        <v>3</v>
      </c>
      <c r="E496" s="15" t="n">
        <v>0.530555555555556</v>
      </c>
      <c r="F496" s="7" t="n">
        <v>7000</v>
      </c>
      <c r="G496" s="7" t="n">
        <f aca="false">D496*F496</f>
        <v>21000</v>
      </c>
      <c r="H496" s="2" t="str">
        <f aca="false">INDEX(Daftar_Menu!$B$2:$B$13,MATCH(C496,Daftar_Menu!$A$2:$A$13,0))</f>
        <v>Minuman</v>
      </c>
      <c r="I496" s="2" t="str">
        <f aca="false">CHOOSE(WEEKDAY(B496,2),"Senin","Selasa","Rabu","Kamis","Jumat","Sabtu","Minggu")</f>
        <v>Senin</v>
      </c>
      <c r="J496" s="2" t="n">
        <f aca="false">HOUR(E496)</f>
        <v>12</v>
      </c>
      <c r="K496" s="2" t="str">
        <f aca="false">IF(J496&lt;11,"Pagi",IF(J496&lt;17,"Siang","Malam"))</f>
        <v>Siang</v>
      </c>
      <c r="L496" s="2" t="n">
        <f aca="false">IF(A496&lt;&gt;A495,1,0)</f>
        <v>1</v>
      </c>
    </row>
    <row r="497" customFormat="false" ht="15" hidden="false" customHeight="false" outlineLevel="0" collapsed="false">
      <c r="A497" s="2" t="s">
        <v>629</v>
      </c>
      <c r="B497" s="13" t="n">
        <v>46272</v>
      </c>
      <c r="C497" s="2" t="s">
        <v>84</v>
      </c>
      <c r="D497" s="2" t="n">
        <v>1</v>
      </c>
      <c r="E497" s="15" t="n">
        <v>0.530555555555556</v>
      </c>
      <c r="F497" s="7" t="n">
        <v>5000</v>
      </c>
      <c r="G497" s="7" t="n">
        <f aca="false">D497*F497</f>
        <v>5000</v>
      </c>
      <c r="H497" s="2" t="str">
        <f aca="false">INDEX(Daftar_Menu!$B$2:$B$13,MATCH(C497,Daftar_Menu!$A$2:$A$13,0))</f>
        <v>Minuman</v>
      </c>
      <c r="I497" s="2" t="str">
        <f aca="false">CHOOSE(WEEKDAY(B497,2),"Senin","Selasa","Rabu","Kamis","Jumat","Sabtu","Minggu")</f>
        <v>Senin</v>
      </c>
      <c r="J497" s="2" t="n">
        <f aca="false">HOUR(E497)</f>
        <v>12</v>
      </c>
      <c r="K497" s="2" t="str">
        <f aca="false">IF(J497&lt;11,"Pagi",IF(J497&lt;17,"Siang","Malam"))</f>
        <v>Siang</v>
      </c>
      <c r="L497" s="2" t="n">
        <f aca="false">IF(A497&lt;&gt;A496,1,0)</f>
        <v>0</v>
      </c>
    </row>
    <row r="498" customFormat="false" ht="15" hidden="false" customHeight="false" outlineLevel="0" collapsed="false">
      <c r="A498" s="2" t="s">
        <v>629</v>
      </c>
      <c r="B498" s="13" t="n">
        <v>46272</v>
      </c>
      <c r="C498" s="2" t="s">
        <v>108</v>
      </c>
      <c r="D498" s="2" t="n">
        <v>1</v>
      </c>
      <c r="E498" s="15" t="n">
        <v>0.530555555555556</v>
      </c>
      <c r="F498" s="7" t="n">
        <v>20000</v>
      </c>
      <c r="G498" s="7" t="n">
        <f aca="false">D498*F498</f>
        <v>20000</v>
      </c>
      <c r="H498" s="2" t="str">
        <f aca="false">INDEX(Daftar_Menu!$B$2:$B$13,MATCH(C498,Daftar_Menu!$A$2:$A$13,0))</f>
        <v>Makanan</v>
      </c>
      <c r="I498" s="2" t="str">
        <f aca="false">CHOOSE(WEEKDAY(B498,2),"Senin","Selasa","Rabu","Kamis","Jumat","Sabtu","Minggu")</f>
        <v>Senin</v>
      </c>
      <c r="J498" s="2" t="n">
        <f aca="false">HOUR(E498)</f>
        <v>12</v>
      </c>
      <c r="K498" s="2" t="str">
        <f aca="false">IF(J498&lt;11,"Pagi",IF(J498&lt;17,"Siang","Malam"))</f>
        <v>Siang</v>
      </c>
      <c r="L498" s="2" t="n">
        <f aca="false">IF(A498&lt;&gt;A497,1,0)</f>
        <v>0</v>
      </c>
    </row>
    <row r="499" customFormat="false" ht="15" hidden="false" customHeight="false" outlineLevel="0" collapsed="false">
      <c r="A499" s="2" t="s">
        <v>631</v>
      </c>
      <c r="B499" s="13" t="n">
        <v>46272</v>
      </c>
      <c r="C499" s="2" t="s">
        <v>89</v>
      </c>
      <c r="D499" s="2" t="n">
        <v>1</v>
      </c>
      <c r="E499" s="15" t="n">
        <v>0.534027777777778</v>
      </c>
      <c r="F499" s="7" t="n">
        <v>14000</v>
      </c>
      <c r="G499" s="7" t="n">
        <f aca="false">D499*F499</f>
        <v>14000</v>
      </c>
      <c r="H499" s="2" t="str">
        <f aca="false">INDEX(Daftar_Menu!$B$2:$B$13,MATCH(C499,Daftar_Menu!$A$2:$A$13,0))</f>
        <v>Makanan</v>
      </c>
      <c r="I499" s="2" t="str">
        <f aca="false">CHOOSE(WEEKDAY(B499,2),"Senin","Selasa","Rabu","Kamis","Jumat","Sabtu","Minggu")</f>
        <v>Senin</v>
      </c>
      <c r="J499" s="2" t="n">
        <f aca="false">HOUR(E499)</f>
        <v>12</v>
      </c>
      <c r="K499" s="2" t="str">
        <f aca="false">IF(J499&lt;11,"Pagi",IF(J499&lt;17,"Siang","Malam"))</f>
        <v>Siang</v>
      </c>
      <c r="L499" s="2" t="n">
        <f aca="false">IF(A499&lt;&gt;A498,1,0)</f>
        <v>1</v>
      </c>
    </row>
    <row r="500" customFormat="false" ht="15" hidden="false" customHeight="false" outlineLevel="0" collapsed="false">
      <c r="A500" s="2" t="s">
        <v>631</v>
      </c>
      <c r="B500" s="13" t="n">
        <v>46272</v>
      </c>
      <c r="C500" s="2" t="s">
        <v>112</v>
      </c>
      <c r="D500" s="2" t="n">
        <v>1</v>
      </c>
      <c r="E500" s="15" t="n">
        <v>0.534027777777778</v>
      </c>
      <c r="F500" s="7" t="n">
        <v>10000</v>
      </c>
      <c r="G500" s="7" t="n">
        <f aca="false">D500*F500</f>
        <v>10000</v>
      </c>
      <c r="H500" s="2" t="str">
        <f aca="false">INDEX(Daftar_Menu!$B$2:$B$13,MATCH(C500,Daftar_Menu!$A$2:$A$13,0))</f>
        <v>Minuman</v>
      </c>
      <c r="I500" s="2" t="str">
        <f aca="false">CHOOSE(WEEKDAY(B500,2),"Senin","Selasa","Rabu","Kamis","Jumat","Sabtu","Minggu")</f>
        <v>Senin</v>
      </c>
      <c r="J500" s="2" t="n">
        <f aca="false">HOUR(E500)</f>
        <v>12</v>
      </c>
      <c r="K500" s="2" t="str">
        <f aca="false">IF(J500&lt;11,"Pagi",IF(J500&lt;17,"Siang","Malam"))</f>
        <v>Siang</v>
      </c>
      <c r="L500" s="2" t="n">
        <f aca="false">IF(A500&lt;&gt;A499,1,0)</f>
        <v>0</v>
      </c>
    </row>
    <row r="501" customFormat="false" ht="15" hidden="false" customHeight="false" outlineLevel="0" collapsed="false">
      <c r="A501" s="2" t="s">
        <v>632</v>
      </c>
      <c r="B501" s="13" t="n">
        <v>46272</v>
      </c>
      <c r="C501" s="2" t="s">
        <v>108</v>
      </c>
      <c r="D501" s="2" t="n">
        <v>2</v>
      </c>
      <c r="E501" s="15" t="n">
        <v>0.536805555555556</v>
      </c>
      <c r="F501" s="7" t="n">
        <v>20000</v>
      </c>
      <c r="G501" s="7" t="n">
        <f aca="false">D501*F501</f>
        <v>40000</v>
      </c>
      <c r="H501" s="2" t="str">
        <f aca="false">INDEX(Daftar_Menu!$B$2:$B$13,MATCH(C501,Daftar_Menu!$A$2:$A$13,0))</f>
        <v>Makanan</v>
      </c>
      <c r="I501" s="2" t="str">
        <f aca="false">CHOOSE(WEEKDAY(B501,2),"Senin","Selasa","Rabu","Kamis","Jumat","Sabtu","Minggu")</f>
        <v>Senin</v>
      </c>
      <c r="J501" s="2" t="n">
        <f aca="false">HOUR(E501)</f>
        <v>12</v>
      </c>
      <c r="K501" s="2" t="str">
        <f aca="false">IF(J501&lt;11,"Pagi",IF(J501&lt;17,"Siang","Malam"))</f>
        <v>Siang</v>
      </c>
      <c r="L501" s="2" t="n">
        <f aca="false">IF(A501&lt;&gt;A500,1,0)</f>
        <v>1</v>
      </c>
    </row>
    <row r="502" customFormat="false" ht="15" hidden="false" customHeight="false" outlineLevel="0" collapsed="false">
      <c r="A502" s="2" t="s">
        <v>632</v>
      </c>
      <c r="B502" s="13" t="n">
        <v>46272</v>
      </c>
      <c r="C502" s="2" t="s">
        <v>112</v>
      </c>
      <c r="D502" s="2" t="n">
        <v>2</v>
      </c>
      <c r="E502" s="15" t="n">
        <v>0.536805555555556</v>
      </c>
      <c r="F502" s="7" t="n">
        <v>10000</v>
      </c>
      <c r="G502" s="7" t="n">
        <f aca="false">D502*F502</f>
        <v>20000</v>
      </c>
      <c r="H502" s="2" t="str">
        <f aca="false">INDEX(Daftar_Menu!$B$2:$B$13,MATCH(C502,Daftar_Menu!$A$2:$A$13,0))</f>
        <v>Minuman</v>
      </c>
      <c r="I502" s="2" t="str">
        <f aca="false">CHOOSE(WEEKDAY(B502,2),"Senin","Selasa","Rabu","Kamis","Jumat","Sabtu","Minggu")</f>
        <v>Senin</v>
      </c>
      <c r="J502" s="2" t="n">
        <f aca="false">HOUR(E502)</f>
        <v>12</v>
      </c>
      <c r="K502" s="2" t="str">
        <f aca="false">IF(J502&lt;11,"Pagi",IF(J502&lt;17,"Siang","Malam"))</f>
        <v>Siang</v>
      </c>
      <c r="L502" s="2" t="n">
        <f aca="false">IF(A502&lt;&gt;A501,1,0)</f>
        <v>0</v>
      </c>
    </row>
    <row r="503" customFormat="false" ht="15" hidden="false" customHeight="false" outlineLevel="0" collapsed="false">
      <c r="A503" s="2" t="s">
        <v>632</v>
      </c>
      <c r="B503" s="13" t="n">
        <v>46272</v>
      </c>
      <c r="C503" s="2" t="s">
        <v>132</v>
      </c>
      <c r="D503" s="2" t="n">
        <v>2</v>
      </c>
      <c r="E503" s="15" t="n">
        <v>0.536805555555556</v>
      </c>
      <c r="F503" s="7" t="n">
        <v>15000</v>
      </c>
      <c r="G503" s="7" t="n">
        <f aca="false">D503*F503</f>
        <v>30000</v>
      </c>
      <c r="H503" s="2" t="str">
        <f aca="false">INDEX(Daftar_Menu!$B$2:$B$13,MATCH(C503,Daftar_Menu!$A$2:$A$13,0))</f>
        <v>Makanan</v>
      </c>
      <c r="I503" s="2" t="str">
        <f aca="false">CHOOSE(WEEKDAY(B503,2),"Senin","Selasa","Rabu","Kamis","Jumat","Sabtu","Minggu")</f>
        <v>Senin</v>
      </c>
      <c r="J503" s="2" t="n">
        <f aca="false">HOUR(E503)</f>
        <v>12</v>
      </c>
      <c r="K503" s="2" t="str">
        <f aca="false">IF(J503&lt;11,"Pagi",IF(J503&lt;17,"Siang","Malam"))</f>
        <v>Siang</v>
      </c>
      <c r="L503" s="2" t="n">
        <f aca="false">IF(A503&lt;&gt;A502,1,0)</f>
        <v>0</v>
      </c>
    </row>
    <row r="504" customFormat="false" ht="15" hidden="false" customHeight="false" outlineLevel="0" collapsed="false">
      <c r="A504" s="2" t="s">
        <v>634</v>
      </c>
      <c r="B504" s="13" t="n">
        <v>46272</v>
      </c>
      <c r="C504" s="2" t="s">
        <v>84</v>
      </c>
      <c r="D504" s="2" t="n">
        <v>2</v>
      </c>
      <c r="E504" s="15" t="n">
        <v>0.540277777777778</v>
      </c>
      <c r="F504" s="7" t="n">
        <v>5000</v>
      </c>
      <c r="G504" s="7" t="n">
        <f aca="false">D504*F504</f>
        <v>10000</v>
      </c>
      <c r="H504" s="2" t="str">
        <f aca="false">INDEX(Daftar_Menu!$B$2:$B$13,MATCH(C504,Daftar_Menu!$A$2:$A$13,0))</f>
        <v>Minuman</v>
      </c>
      <c r="I504" s="2" t="str">
        <f aca="false">CHOOSE(WEEKDAY(B504,2),"Senin","Selasa","Rabu","Kamis","Jumat","Sabtu","Minggu")</f>
        <v>Senin</v>
      </c>
      <c r="J504" s="2" t="n">
        <f aca="false">HOUR(E504)</f>
        <v>12</v>
      </c>
      <c r="K504" s="2" t="str">
        <f aca="false">IF(J504&lt;11,"Pagi",IF(J504&lt;17,"Siang","Malam"))</f>
        <v>Siang</v>
      </c>
      <c r="L504" s="2" t="n">
        <f aca="false">IF(A504&lt;&gt;A503,1,0)</f>
        <v>1</v>
      </c>
    </row>
    <row r="505" customFormat="false" ht="15" hidden="false" customHeight="false" outlineLevel="0" collapsed="false">
      <c r="A505" s="2" t="s">
        <v>636</v>
      </c>
      <c r="B505" s="13" t="n">
        <v>46272</v>
      </c>
      <c r="C505" s="2" t="s">
        <v>92</v>
      </c>
      <c r="D505" s="2" t="n">
        <v>1</v>
      </c>
      <c r="E505" s="15" t="n">
        <v>0.545833333333333</v>
      </c>
      <c r="F505" s="7" t="n">
        <v>4000</v>
      </c>
      <c r="G505" s="7" t="n">
        <f aca="false">D505*F505</f>
        <v>4000</v>
      </c>
      <c r="H505" s="2" t="str">
        <f aca="false">INDEX(Daftar_Menu!$B$2:$B$13,MATCH(C505,Daftar_Menu!$A$2:$A$13,0))</f>
        <v>Minuman</v>
      </c>
      <c r="I505" s="2" t="str">
        <f aca="false">CHOOSE(WEEKDAY(B505,2),"Senin","Selasa","Rabu","Kamis","Jumat","Sabtu","Minggu")</f>
        <v>Senin</v>
      </c>
      <c r="J505" s="2" t="n">
        <f aca="false">HOUR(E505)</f>
        <v>13</v>
      </c>
      <c r="K505" s="2" t="str">
        <f aca="false">IF(J505&lt;11,"Pagi",IF(J505&lt;17,"Siang","Malam"))</f>
        <v>Siang</v>
      </c>
      <c r="L505" s="2" t="n">
        <f aca="false">IF(A505&lt;&gt;A504,1,0)</f>
        <v>1</v>
      </c>
    </row>
    <row r="506" customFormat="false" ht="15" hidden="false" customHeight="false" outlineLevel="0" collapsed="false">
      <c r="A506" s="2" t="s">
        <v>636</v>
      </c>
      <c r="B506" s="13" t="n">
        <v>46272</v>
      </c>
      <c r="C506" s="2" t="s">
        <v>132</v>
      </c>
      <c r="D506" s="2" t="n">
        <v>1</v>
      </c>
      <c r="E506" s="15" t="n">
        <v>0.545833333333333</v>
      </c>
      <c r="F506" s="7" t="n">
        <v>15000</v>
      </c>
      <c r="G506" s="7" t="n">
        <f aca="false">D506*F506</f>
        <v>15000</v>
      </c>
      <c r="H506" s="2" t="str">
        <f aca="false">INDEX(Daftar_Menu!$B$2:$B$13,MATCH(C506,Daftar_Menu!$A$2:$A$13,0))</f>
        <v>Makanan</v>
      </c>
      <c r="I506" s="2" t="str">
        <f aca="false">CHOOSE(WEEKDAY(B506,2),"Senin","Selasa","Rabu","Kamis","Jumat","Sabtu","Minggu")</f>
        <v>Senin</v>
      </c>
      <c r="J506" s="2" t="n">
        <f aca="false">HOUR(E506)</f>
        <v>13</v>
      </c>
      <c r="K506" s="2" t="str">
        <f aca="false">IF(J506&lt;11,"Pagi",IF(J506&lt;17,"Siang","Malam"))</f>
        <v>Siang</v>
      </c>
      <c r="L506" s="2" t="n">
        <f aca="false">IF(A506&lt;&gt;A505,1,0)</f>
        <v>0</v>
      </c>
    </row>
    <row r="507" customFormat="false" ht="15" hidden="false" customHeight="false" outlineLevel="0" collapsed="false">
      <c r="A507" s="2" t="s">
        <v>638</v>
      </c>
      <c r="B507" s="13" t="n">
        <v>46272</v>
      </c>
      <c r="C507" s="2" t="s">
        <v>92</v>
      </c>
      <c r="D507" s="2" t="n">
        <v>2</v>
      </c>
      <c r="E507" s="15" t="n">
        <v>0.55625</v>
      </c>
      <c r="F507" s="7" t="n">
        <v>4000</v>
      </c>
      <c r="G507" s="7" t="n">
        <f aca="false">D507*F507</f>
        <v>8000</v>
      </c>
      <c r="H507" s="2" t="str">
        <f aca="false">INDEX(Daftar_Menu!$B$2:$B$13,MATCH(C507,Daftar_Menu!$A$2:$A$13,0))</f>
        <v>Minuman</v>
      </c>
      <c r="I507" s="2" t="str">
        <f aca="false">CHOOSE(WEEKDAY(B507,2),"Senin","Selasa","Rabu","Kamis","Jumat","Sabtu","Minggu")</f>
        <v>Senin</v>
      </c>
      <c r="J507" s="2" t="n">
        <f aca="false">HOUR(E507)</f>
        <v>13</v>
      </c>
      <c r="K507" s="2" t="str">
        <f aca="false">IF(J507&lt;11,"Pagi",IF(J507&lt;17,"Siang","Malam"))</f>
        <v>Siang</v>
      </c>
      <c r="L507" s="2" t="n">
        <f aca="false">IF(A507&lt;&gt;A506,1,0)</f>
        <v>1</v>
      </c>
    </row>
    <row r="508" customFormat="false" ht="15" hidden="false" customHeight="false" outlineLevel="0" collapsed="false">
      <c r="A508" s="2" t="s">
        <v>640</v>
      </c>
      <c r="B508" s="13" t="n">
        <v>46272</v>
      </c>
      <c r="C508" s="2" t="s">
        <v>84</v>
      </c>
      <c r="D508" s="2" t="n">
        <v>2</v>
      </c>
      <c r="E508" s="15" t="n">
        <v>0.565972222222222</v>
      </c>
      <c r="F508" s="7" t="n">
        <v>5000</v>
      </c>
      <c r="G508" s="7" t="n">
        <f aca="false">D508*F508</f>
        <v>10000</v>
      </c>
      <c r="H508" s="2" t="str">
        <f aca="false">INDEX(Daftar_Menu!$B$2:$B$13,MATCH(C508,Daftar_Menu!$A$2:$A$13,0))</f>
        <v>Minuman</v>
      </c>
      <c r="I508" s="2" t="str">
        <f aca="false">CHOOSE(WEEKDAY(B508,2),"Senin","Selasa","Rabu","Kamis","Jumat","Sabtu","Minggu")</f>
        <v>Senin</v>
      </c>
      <c r="J508" s="2" t="n">
        <f aca="false">HOUR(E508)</f>
        <v>13</v>
      </c>
      <c r="K508" s="2" t="str">
        <f aca="false">IF(J508&lt;11,"Pagi",IF(J508&lt;17,"Siang","Malam"))</f>
        <v>Siang</v>
      </c>
      <c r="L508" s="2" t="n">
        <f aca="false">IF(A508&lt;&gt;A507,1,0)</f>
        <v>1</v>
      </c>
    </row>
    <row r="509" customFormat="false" ht="15" hidden="false" customHeight="false" outlineLevel="0" collapsed="false">
      <c r="A509" s="2" t="s">
        <v>640</v>
      </c>
      <c r="B509" s="13" t="n">
        <v>46272</v>
      </c>
      <c r="C509" s="2" t="s">
        <v>92</v>
      </c>
      <c r="D509" s="2" t="n">
        <v>2</v>
      </c>
      <c r="E509" s="15" t="n">
        <v>0.565972222222222</v>
      </c>
      <c r="F509" s="7" t="n">
        <v>4000</v>
      </c>
      <c r="G509" s="7" t="n">
        <f aca="false">D509*F509</f>
        <v>8000</v>
      </c>
      <c r="H509" s="2" t="str">
        <f aca="false">INDEX(Daftar_Menu!$B$2:$B$13,MATCH(C509,Daftar_Menu!$A$2:$A$13,0))</f>
        <v>Minuman</v>
      </c>
      <c r="I509" s="2" t="str">
        <f aca="false">CHOOSE(WEEKDAY(B509,2),"Senin","Selasa","Rabu","Kamis","Jumat","Sabtu","Minggu")</f>
        <v>Senin</v>
      </c>
      <c r="J509" s="2" t="n">
        <f aca="false">HOUR(E509)</f>
        <v>13</v>
      </c>
      <c r="K509" s="2" t="str">
        <f aca="false">IF(J509&lt;11,"Pagi",IF(J509&lt;17,"Siang","Malam"))</f>
        <v>Siang</v>
      </c>
      <c r="L509" s="2" t="n">
        <f aca="false">IF(A509&lt;&gt;A508,1,0)</f>
        <v>0</v>
      </c>
    </row>
    <row r="510" customFormat="false" ht="15" hidden="false" customHeight="false" outlineLevel="0" collapsed="false">
      <c r="A510" s="2" t="s">
        <v>643</v>
      </c>
      <c r="B510" s="13" t="n">
        <v>46272</v>
      </c>
      <c r="C510" s="2" t="s">
        <v>101</v>
      </c>
      <c r="D510" s="2" t="n">
        <v>1</v>
      </c>
      <c r="E510" s="15" t="n">
        <v>0.565972222222222</v>
      </c>
      <c r="F510" s="7" t="n">
        <v>18000</v>
      </c>
      <c r="G510" s="7" t="n">
        <f aca="false">D510*F510</f>
        <v>18000</v>
      </c>
      <c r="H510" s="2" t="str">
        <f aca="false">INDEX(Daftar_Menu!$B$2:$B$13,MATCH(C510,Daftar_Menu!$A$2:$A$13,0))</f>
        <v>Makanan</v>
      </c>
      <c r="I510" s="2" t="str">
        <f aca="false">CHOOSE(WEEKDAY(B510,2),"Senin","Selasa","Rabu","Kamis","Jumat","Sabtu","Minggu")</f>
        <v>Senin</v>
      </c>
      <c r="J510" s="2" t="n">
        <f aca="false">HOUR(E510)</f>
        <v>13</v>
      </c>
      <c r="K510" s="2" t="str">
        <f aca="false">IF(J510&lt;11,"Pagi",IF(J510&lt;17,"Siang","Malam"))</f>
        <v>Siang</v>
      </c>
      <c r="L510" s="2" t="n">
        <f aca="false">IF(A510&lt;&gt;A509,1,0)</f>
        <v>1</v>
      </c>
    </row>
    <row r="511" customFormat="false" ht="15" hidden="false" customHeight="false" outlineLevel="0" collapsed="false">
      <c r="A511" s="2" t="s">
        <v>644</v>
      </c>
      <c r="B511" s="13" t="n">
        <v>46272</v>
      </c>
      <c r="C511" s="2" t="s">
        <v>132</v>
      </c>
      <c r="D511" s="2" t="n">
        <v>2</v>
      </c>
      <c r="E511" s="15" t="n">
        <v>0.575694444444444</v>
      </c>
      <c r="F511" s="7" t="n">
        <v>15000</v>
      </c>
      <c r="G511" s="7" t="n">
        <f aca="false">D511*F511</f>
        <v>30000</v>
      </c>
      <c r="H511" s="2" t="str">
        <f aca="false">INDEX(Daftar_Menu!$B$2:$B$13,MATCH(C511,Daftar_Menu!$A$2:$A$13,0))</f>
        <v>Makanan</v>
      </c>
      <c r="I511" s="2" t="str">
        <f aca="false">CHOOSE(WEEKDAY(B511,2),"Senin","Selasa","Rabu","Kamis","Jumat","Sabtu","Minggu")</f>
        <v>Senin</v>
      </c>
      <c r="J511" s="2" t="n">
        <f aca="false">HOUR(E511)</f>
        <v>13</v>
      </c>
      <c r="K511" s="2" t="str">
        <f aca="false">IF(J511&lt;11,"Pagi",IF(J511&lt;17,"Siang","Malam"))</f>
        <v>Siang</v>
      </c>
      <c r="L511" s="2" t="n">
        <f aca="false">IF(A511&lt;&gt;A510,1,0)</f>
        <v>1</v>
      </c>
    </row>
    <row r="512" customFormat="false" ht="15" hidden="false" customHeight="false" outlineLevel="0" collapsed="false">
      <c r="A512" s="2" t="s">
        <v>645</v>
      </c>
      <c r="B512" s="13" t="n">
        <v>46272</v>
      </c>
      <c r="C512" s="2" t="s">
        <v>81</v>
      </c>
      <c r="D512" s="2" t="n">
        <v>2</v>
      </c>
      <c r="E512" s="15" t="n">
        <v>0.576388888888889</v>
      </c>
      <c r="F512" s="7" t="n">
        <v>15000</v>
      </c>
      <c r="G512" s="7" t="n">
        <f aca="false">D512*F512</f>
        <v>30000</v>
      </c>
      <c r="H512" s="2" t="str">
        <f aca="false">INDEX(Daftar_Menu!$B$2:$B$13,MATCH(C512,Daftar_Menu!$A$2:$A$13,0))</f>
        <v>Makanan</v>
      </c>
      <c r="I512" s="2" t="str">
        <f aca="false">CHOOSE(WEEKDAY(B512,2),"Senin","Selasa","Rabu","Kamis","Jumat","Sabtu","Minggu")</f>
        <v>Senin</v>
      </c>
      <c r="J512" s="2" t="n">
        <f aca="false">HOUR(E512)</f>
        <v>13</v>
      </c>
      <c r="K512" s="2" t="str">
        <f aca="false">IF(J512&lt;11,"Pagi",IF(J512&lt;17,"Siang","Malam"))</f>
        <v>Siang</v>
      </c>
      <c r="L512" s="2" t="n">
        <f aca="false">IF(A512&lt;&gt;A511,1,0)</f>
        <v>1</v>
      </c>
    </row>
    <row r="513" customFormat="false" ht="15" hidden="false" customHeight="false" outlineLevel="0" collapsed="false">
      <c r="A513" s="2" t="s">
        <v>647</v>
      </c>
      <c r="B513" s="13" t="n">
        <v>46272</v>
      </c>
      <c r="C513" s="2" t="s">
        <v>79</v>
      </c>
      <c r="D513" s="2" t="n">
        <v>1</v>
      </c>
      <c r="E513" s="15" t="n">
        <v>0.578472222222222</v>
      </c>
      <c r="F513" s="7" t="n">
        <v>16000</v>
      </c>
      <c r="G513" s="7" t="n">
        <f aca="false">D513*F513</f>
        <v>16000</v>
      </c>
      <c r="H513" s="2" t="str">
        <f aca="false">INDEX(Daftar_Menu!$B$2:$B$13,MATCH(C513,Daftar_Menu!$A$2:$A$13,0))</f>
        <v>Makanan</v>
      </c>
      <c r="I513" s="2" t="str">
        <f aca="false">CHOOSE(WEEKDAY(B513,2),"Senin","Selasa","Rabu","Kamis","Jumat","Sabtu","Minggu")</f>
        <v>Senin</v>
      </c>
      <c r="J513" s="2" t="n">
        <f aca="false">HOUR(E513)</f>
        <v>13</v>
      </c>
      <c r="K513" s="2" t="str">
        <f aca="false">IF(J513&lt;11,"Pagi",IF(J513&lt;17,"Siang","Malam"))</f>
        <v>Siang</v>
      </c>
      <c r="L513" s="2" t="n">
        <f aca="false">IF(A513&lt;&gt;A512,1,0)</f>
        <v>1</v>
      </c>
    </row>
    <row r="514" customFormat="false" ht="15" hidden="false" customHeight="false" outlineLevel="0" collapsed="false">
      <c r="A514" s="2" t="s">
        <v>647</v>
      </c>
      <c r="B514" s="13" t="n">
        <v>46272</v>
      </c>
      <c r="C514" s="2" t="s">
        <v>132</v>
      </c>
      <c r="D514" s="2" t="n">
        <v>2</v>
      </c>
      <c r="E514" s="15" t="n">
        <v>0.578472222222222</v>
      </c>
      <c r="F514" s="7" t="n">
        <v>15000</v>
      </c>
      <c r="G514" s="7" t="n">
        <f aca="false">D514*F514</f>
        <v>30000</v>
      </c>
      <c r="H514" s="2" t="str">
        <f aca="false">INDEX(Daftar_Menu!$B$2:$B$13,MATCH(C514,Daftar_Menu!$A$2:$A$13,0))</f>
        <v>Makanan</v>
      </c>
      <c r="I514" s="2" t="str">
        <f aca="false">CHOOSE(WEEKDAY(B514,2),"Senin","Selasa","Rabu","Kamis","Jumat","Sabtu","Minggu")</f>
        <v>Senin</v>
      </c>
      <c r="J514" s="2" t="n">
        <f aca="false">HOUR(E514)</f>
        <v>13</v>
      </c>
      <c r="K514" s="2" t="str">
        <f aca="false">IF(J514&lt;11,"Pagi",IF(J514&lt;17,"Siang","Malam"))</f>
        <v>Siang</v>
      </c>
      <c r="L514" s="2" t="n">
        <f aca="false">IF(A514&lt;&gt;A513,1,0)</f>
        <v>0</v>
      </c>
    </row>
    <row r="515" customFormat="false" ht="15" hidden="false" customHeight="false" outlineLevel="0" collapsed="false">
      <c r="A515" s="2" t="s">
        <v>649</v>
      </c>
      <c r="B515" s="13" t="n">
        <v>46272</v>
      </c>
      <c r="C515" s="2" t="s">
        <v>84</v>
      </c>
      <c r="D515" s="2" t="n">
        <v>3</v>
      </c>
      <c r="E515" s="15" t="n">
        <v>0.600694444444444</v>
      </c>
      <c r="F515" s="7" t="n">
        <v>5000</v>
      </c>
      <c r="G515" s="7" t="n">
        <f aca="false">D515*F515</f>
        <v>15000</v>
      </c>
      <c r="H515" s="2" t="str">
        <f aca="false">INDEX(Daftar_Menu!$B$2:$B$13,MATCH(C515,Daftar_Menu!$A$2:$A$13,0))</f>
        <v>Minuman</v>
      </c>
      <c r="I515" s="2" t="str">
        <f aca="false">CHOOSE(WEEKDAY(B515,2),"Senin","Selasa","Rabu","Kamis","Jumat","Sabtu","Minggu")</f>
        <v>Senin</v>
      </c>
      <c r="J515" s="2" t="n">
        <f aca="false">HOUR(E515)</f>
        <v>14</v>
      </c>
      <c r="K515" s="2" t="str">
        <f aca="false">IF(J515&lt;11,"Pagi",IF(J515&lt;17,"Siang","Malam"))</f>
        <v>Siang</v>
      </c>
      <c r="L515" s="2" t="n">
        <f aca="false">IF(A515&lt;&gt;A514,1,0)</f>
        <v>1</v>
      </c>
    </row>
    <row r="516" customFormat="false" ht="15" hidden="false" customHeight="false" outlineLevel="0" collapsed="false">
      <c r="A516" s="2" t="s">
        <v>649</v>
      </c>
      <c r="B516" s="13" t="n">
        <v>46272</v>
      </c>
      <c r="C516" s="2" t="s">
        <v>101</v>
      </c>
      <c r="D516" s="2" t="n">
        <v>1</v>
      </c>
      <c r="E516" s="15" t="n">
        <v>0.600694444444444</v>
      </c>
      <c r="F516" s="7" t="n">
        <v>18000</v>
      </c>
      <c r="G516" s="7" t="n">
        <f aca="false">D516*F516</f>
        <v>18000</v>
      </c>
      <c r="H516" s="2" t="str">
        <f aca="false">INDEX(Daftar_Menu!$B$2:$B$13,MATCH(C516,Daftar_Menu!$A$2:$A$13,0))</f>
        <v>Makanan</v>
      </c>
      <c r="I516" s="2" t="str">
        <f aca="false">CHOOSE(WEEKDAY(B516,2),"Senin","Selasa","Rabu","Kamis","Jumat","Sabtu","Minggu")</f>
        <v>Senin</v>
      </c>
      <c r="J516" s="2" t="n">
        <f aca="false">HOUR(E516)</f>
        <v>14</v>
      </c>
      <c r="K516" s="2" t="str">
        <f aca="false">IF(J516&lt;11,"Pagi",IF(J516&lt;17,"Siang","Malam"))</f>
        <v>Siang</v>
      </c>
      <c r="L516" s="2" t="n">
        <f aca="false">IF(A516&lt;&gt;A515,1,0)</f>
        <v>0</v>
      </c>
    </row>
    <row r="517" customFormat="false" ht="15" hidden="false" customHeight="false" outlineLevel="0" collapsed="false">
      <c r="A517" s="2" t="s">
        <v>652</v>
      </c>
      <c r="B517" s="13" t="n">
        <v>46272</v>
      </c>
      <c r="C517" s="2" t="s">
        <v>81</v>
      </c>
      <c r="D517" s="2" t="n">
        <v>2</v>
      </c>
      <c r="E517" s="15" t="n">
        <v>0.613194444444445</v>
      </c>
      <c r="F517" s="7" t="n">
        <v>15000</v>
      </c>
      <c r="G517" s="7" t="n">
        <f aca="false">D517*F517</f>
        <v>30000</v>
      </c>
      <c r="H517" s="2" t="str">
        <f aca="false">INDEX(Daftar_Menu!$B$2:$B$13,MATCH(C517,Daftar_Menu!$A$2:$A$13,0))</f>
        <v>Makanan</v>
      </c>
      <c r="I517" s="2" t="str">
        <f aca="false">CHOOSE(WEEKDAY(B517,2),"Senin","Selasa","Rabu","Kamis","Jumat","Sabtu","Minggu")</f>
        <v>Senin</v>
      </c>
      <c r="J517" s="2" t="n">
        <f aca="false">HOUR(E517)</f>
        <v>14</v>
      </c>
      <c r="K517" s="2" t="str">
        <f aca="false">IF(J517&lt;11,"Pagi",IF(J517&lt;17,"Siang","Malam"))</f>
        <v>Siang</v>
      </c>
      <c r="L517" s="2" t="n">
        <f aca="false">IF(A517&lt;&gt;A516,1,0)</f>
        <v>1</v>
      </c>
    </row>
    <row r="518" customFormat="false" ht="15" hidden="false" customHeight="false" outlineLevel="0" collapsed="false">
      <c r="A518" s="2" t="s">
        <v>652</v>
      </c>
      <c r="B518" s="13" t="n">
        <v>46272</v>
      </c>
      <c r="C518" s="2" t="s">
        <v>112</v>
      </c>
      <c r="D518" s="2" t="n">
        <v>2</v>
      </c>
      <c r="E518" s="15" t="n">
        <v>0.613194444444445</v>
      </c>
      <c r="F518" s="7" t="n">
        <v>10000</v>
      </c>
      <c r="G518" s="7" t="n">
        <f aca="false">D518*F518</f>
        <v>20000</v>
      </c>
      <c r="H518" s="2" t="str">
        <f aca="false">INDEX(Daftar_Menu!$B$2:$B$13,MATCH(C518,Daftar_Menu!$A$2:$A$13,0))</f>
        <v>Minuman</v>
      </c>
      <c r="I518" s="2" t="str">
        <f aca="false">CHOOSE(WEEKDAY(B518,2),"Senin","Selasa","Rabu","Kamis","Jumat","Sabtu","Minggu")</f>
        <v>Senin</v>
      </c>
      <c r="J518" s="2" t="n">
        <f aca="false">HOUR(E518)</f>
        <v>14</v>
      </c>
      <c r="K518" s="2" t="str">
        <f aca="false">IF(J518&lt;11,"Pagi",IF(J518&lt;17,"Siang","Malam"))</f>
        <v>Siang</v>
      </c>
      <c r="L518" s="2" t="n">
        <f aca="false">IF(A518&lt;&gt;A517,1,0)</f>
        <v>0</v>
      </c>
    </row>
    <row r="519" customFormat="false" ht="15" hidden="false" customHeight="false" outlineLevel="0" collapsed="false">
      <c r="A519" s="2" t="s">
        <v>652</v>
      </c>
      <c r="B519" s="13" t="n">
        <v>46272</v>
      </c>
      <c r="C519" s="2" t="s">
        <v>84</v>
      </c>
      <c r="D519" s="2" t="n">
        <v>3</v>
      </c>
      <c r="E519" s="15" t="n">
        <v>0.613194444444445</v>
      </c>
      <c r="F519" s="7" t="n">
        <v>5000</v>
      </c>
      <c r="G519" s="7" t="n">
        <f aca="false">D519*F519</f>
        <v>15000</v>
      </c>
      <c r="H519" s="2" t="str">
        <f aca="false">INDEX(Daftar_Menu!$B$2:$B$13,MATCH(C519,Daftar_Menu!$A$2:$A$13,0))</f>
        <v>Minuman</v>
      </c>
      <c r="I519" s="2" t="str">
        <f aca="false">CHOOSE(WEEKDAY(B519,2),"Senin","Selasa","Rabu","Kamis","Jumat","Sabtu","Minggu")</f>
        <v>Senin</v>
      </c>
      <c r="J519" s="2" t="n">
        <f aca="false">HOUR(E519)</f>
        <v>14</v>
      </c>
      <c r="K519" s="2" t="str">
        <f aca="false">IF(J519&lt;11,"Pagi",IF(J519&lt;17,"Siang","Malam"))</f>
        <v>Siang</v>
      </c>
      <c r="L519" s="2" t="n">
        <f aca="false">IF(A519&lt;&gt;A518,1,0)</f>
        <v>0</v>
      </c>
    </row>
    <row r="520" customFormat="false" ht="15" hidden="false" customHeight="false" outlineLevel="0" collapsed="false">
      <c r="A520" s="2" t="s">
        <v>654</v>
      </c>
      <c r="B520" s="13" t="n">
        <v>46272</v>
      </c>
      <c r="C520" s="2" t="s">
        <v>112</v>
      </c>
      <c r="D520" s="2" t="n">
        <v>2</v>
      </c>
      <c r="E520" s="15" t="n">
        <v>0.64375</v>
      </c>
      <c r="F520" s="7" t="n">
        <v>10000</v>
      </c>
      <c r="G520" s="7" t="n">
        <f aca="false">D520*F520</f>
        <v>20000</v>
      </c>
      <c r="H520" s="2" t="str">
        <f aca="false">INDEX(Daftar_Menu!$B$2:$B$13,MATCH(C520,Daftar_Menu!$A$2:$A$13,0))</f>
        <v>Minuman</v>
      </c>
      <c r="I520" s="2" t="str">
        <f aca="false">CHOOSE(WEEKDAY(B520,2),"Senin","Selasa","Rabu","Kamis","Jumat","Sabtu","Minggu")</f>
        <v>Senin</v>
      </c>
      <c r="J520" s="2" t="n">
        <f aca="false">HOUR(E520)</f>
        <v>15</v>
      </c>
      <c r="K520" s="2" t="str">
        <f aca="false">IF(J520&lt;11,"Pagi",IF(J520&lt;17,"Siang","Malam"))</f>
        <v>Siang</v>
      </c>
      <c r="L520" s="2" t="n">
        <f aca="false">IF(A520&lt;&gt;A519,1,0)</f>
        <v>1</v>
      </c>
    </row>
    <row r="521" customFormat="false" ht="15" hidden="false" customHeight="false" outlineLevel="0" collapsed="false">
      <c r="A521" s="2" t="s">
        <v>654</v>
      </c>
      <c r="B521" s="13" t="n">
        <v>46272</v>
      </c>
      <c r="C521" s="2" t="s">
        <v>132</v>
      </c>
      <c r="D521" s="2" t="n">
        <v>1</v>
      </c>
      <c r="E521" s="15" t="n">
        <v>0.64375</v>
      </c>
      <c r="F521" s="7" t="n">
        <v>15000</v>
      </c>
      <c r="G521" s="7" t="n">
        <f aca="false">D521*F521</f>
        <v>15000</v>
      </c>
      <c r="H521" s="2" t="str">
        <f aca="false">INDEX(Daftar_Menu!$B$2:$B$13,MATCH(C521,Daftar_Menu!$A$2:$A$13,0))</f>
        <v>Makanan</v>
      </c>
      <c r="I521" s="2" t="str">
        <f aca="false">CHOOSE(WEEKDAY(B521,2),"Senin","Selasa","Rabu","Kamis","Jumat","Sabtu","Minggu")</f>
        <v>Senin</v>
      </c>
      <c r="J521" s="2" t="n">
        <f aca="false">HOUR(E521)</f>
        <v>15</v>
      </c>
      <c r="K521" s="2" t="str">
        <f aca="false">IF(J521&lt;11,"Pagi",IF(J521&lt;17,"Siang","Malam"))</f>
        <v>Siang</v>
      </c>
      <c r="L521" s="2" t="n">
        <f aca="false">IF(A521&lt;&gt;A520,1,0)</f>
        <v>0</v>
      </c>
    </row>
    <row r="522" customFormat="false" ht="15" hidden="false" customHeight="false" outlineLevel="0" collapsed="false">
      <c r="A522" s="2" t="s">
        <v>655</v>
      </c>
      <c r="B522" s="13" t="n">
        <v>46272</v>
      </c>
      <c r="C522" s="2" t="s">
        <v>89</v>
      </c>
      <c r="D522" s="2" t="n">
        <v>2</v>
      </c>
      <c r="E522" s="15" t="n">
        <v>0.652083333333333</v>
      </c>
      <c r="F522" s="7" t="n">
        <v>14000</v>
      </c>
      <c r="G522" s="7" t="n">
        <f aca="false">D522*F522</f>
        <v>28000</v>
      </c>
      <c r="H522" s="2" t="str">
        <f aca="false">INDEX(Daftar_Menu!$B$2:$B$13,MATCH(C522,Daftar_Menu!$A$2:$A$13,0))</f>
        <v>Makanan</v>
      </c>
      <c r="I522" s="2" t="str">
        <f aca="false">CHOOSE(WEEKDAY(B522,2),"Senin","Selasa","Rabu","Kamis","Jumat","Sabtu","Minggu")</f>
        <v>Senin</v>
      </c>
      <c r="J522" s="2" t="n">
        <f aca="false">HOUR(E522)</f>
        <v>15</v>
      </c>
      <c r="K522" s="2" t="str">
        <f aca="false">IF(J522&lt;11,"Pagi",IF(J522&lt;17,"Siang","Malam"))</f>
        <v>Siang</v>
      </c>
      <c r="L522" s="2" t="n">
        <f aca="false">IF(A522&lt;&gt;A521,1,0)</f>
        <v>1</v>
      </c>
    </row>
    <row r="523" customFormat="false" ht="15" hidden="false" customHeight="false" outlineLevel="0" collapsed="false">
      <c r="A523" s="2" t="s">
        <v>655</v>
      </c>
      <c r="B523" s="13" t="n">
        <v>46272</v>
      </c>
      <c r="C523" s="2" t="s">
        <v>101</v>
      </c>
      <c r="D523" s="2" t="n">
        <v>2</v>
      </c>
      <c r="E523" s="15" t="n">
        <v>0.652083333333333</v>
      </c>
      <c r="F523" s="7" t="n">
        <v>18000</v>
      </c>
      <c r="G523" s="7" t="n">
        <f aca="false">D523*F523</f>
        <v>36000</v>
      </c>
      <c r="H523" s="2" t="str">
        <f aca="false">INDEX(Daftar_Menu!$B$2:$B$13,MATCH(C523,Daftar_Menu!$A$2:$A$13,0))</f>
        <v>Makanan</v>
      </c>
      <c r="I523" s="2" t="str">
        <f aca="false">CHOOSE(WEEKDAY(B523,2),"Senin","Selasa","Rabu","Kamis","Jumat","Sabtu","Minggu")</f>
        <v>Senin</v>
      </c>
      <c r="J523" s="2" t="n">
        <f aca="false">HOUR(E523)</f>
        <v>15</v>
      </c>
      <c r="K523" s="2" t="str">
        <f aca="false">IF(J523&lt;11,"Pagi",IF(J523&lt;17,"Siang","Malam"))</f>
        <v>Siang</v>
      </c>
      <c r="L523" s="2" t="n">
        <f aca="false">IF(A523&lt;&gt;A522,1,0)</f>
        <v>0</v>
      </c>
    </row>
    <row r="524" customFormat="false" ht="15" hidden="false" customHeight="false" outlineLevel="0" collapsed="false">
      <c r="A524" s="2" t="s">
        <v>657</v>
      </c>
      <c r="B524" s="13" t="n">
        <v>46272</v>
      </c>
      <c r="C524" s="2" t="s">
        <v>186</v>
      </c>
      <c r="D524" s="2" t="n">
        <v>1</v>
      </c>
      <c r="E524" s="15" t="n">
        <v>0.671527777777778</v>
      </c>
      <c r="F524" s="7" t="n">
        <v>7000</v>
      </c>
      <c r="G524" s="7" t="n">
        <f aca="false">D524*F524</f>
        <v>7000</v>
      </c>
      <c r="H524" s="2" t="str">
        <f aca="false">INDEX(Daftar_Menu!$B$2:$B$13,MATCH(C524,Daftar_Menu!$A$2:$A$13,0))</f>
        <v>Minuman</v>
      </c>
      <c r="I524" s="2" t="str">
        <f aca="false">CHOOSE(WEEKDAY(B524,2),"Senin","Selasa","Rabu","Kamis","Jumat","Sabtu","Minggu")</f>
        <v>Senin</v>
      </c>
      <c r="J524" s="2" t="n">
        <f aca="false">HOUR(E524)</f>
        <v>16</v>
      </c>
      <c r="K524" s="2" t="str">
        <f aca="false">IF(J524&lt;11,"Pagi",IF(J524&lt;17,"Siang","Malam"))</f>
        <v>Siang</v>
      </c>
      <c r="L524" s="2" t="n">
        <f aca="false">IF(A524&lt;&gt;A523,1,0)</f>
        <v>1</v>
      </c>
    </row>
    <row r="525" customFormat="false" ht="15" hidden="false" customHeight="false" outlineLevel="0" collapsed="false">
      <c r="A525" s="2" t="s">
        <v>657</v>
      </c>
      <c r="B525" s="13" t="n">
        <v>46272</v>
      </c>
      <c r="C525" s="2" t="s">
        <v>84</v>
      </c>
      <c r="D525" s="2" t="n">
        <v>2</v>
      </c>
      <c r="E525" s="15" t="n">
        <v>0.671527777777778</v>
      </c>
      <c r="F525" s="7" t="n">
        <v>5000</v>
      </c>
      <c r="G525" s="7" t="n">
        <f aca="false">D525*F525</f>
        <v>10000</v>
      </c>
      <c r="H525" s="2" t="str">
        <f aca="false">INDEX(Daftar_Menu!$B$2:$B$13,MATCH(C525,Daftar_Menu!$A$2:$A$13,0))</f>
        <v>Minuman</v>
      </c>
      <c r="I525" s="2" t="str">
        <f aca="false">CHOOSE(WEEKDAY(B525,2),"Senin","Selasa","Rabu","Kamis","Jumat","Sabtu","Minggu")</f>
        <v>Senin</v>
      </c>
      <c r="J525" s="2" t="n">
        <f aca="false">HOUR(E525)</f>
        <v>16</v>
      </c>
      <c r="K525" s="2" t="str">
        <f aca="false">IF(J525&lt;11,"Pagi",IF(J525&lt;17,"Siang","Malam"))</f>
        <v>Siang</v>
      </c>
      <c r="L525" s="2" t="n">
        <f aca="false">IF(A525&lt;&gt;A524,1,0)</f>
        <v>0</v>
      </c>
    </row>
    <row r="526" customFormat="false" ht="15" hidden="false" customHeight="false" outlineLevel="0" collapsed="false">
      <c r="A526" s="2" t="s">
        <v>657</v>
      </c>
      <c r="B526" s="13" t="n">
        <v>46272</v>
      </c>
      <c r="C526" s="2" t="s">
        <v>79</v>
      </c>
      <c r="D526" s="2" t="n">
        <v>2</v>
      </c>
      <c r="E526" s="15" t="n">
        <v>0.671527777777778</v>
      </c>
      <c r="F526" s="7" t="n">
        <v>16000</v>
      </c>
      <c r="G526" s="7" t="n">
        <f aca="false">D526*F526</f>
        <v>32000</v>
      </c>
      <c r="H526" s="2" t="str">
        <f aca="false">INDEX(Daftar_Menu!$B$2:$B$13,MATCH(C526,Daftar_Menu!$A$2:$A$13,0))</f>
        <v>Makanan</v>
      </c>
      <c r="I526" s="2" t="str">
        <f aca="false">CHOOSE(WEEKDAY(B526,2),"Senin","Selasa","Rabu","Kamis","Jumat","Sabtu","Minggu")</f>
        <v>Senin</v>
      </c>
      <c r="J526" s="2" t="n">
        <f aca="false">HOUR(E526)</f>
        <v>16</v>
      </c>
      <c r="K526" s="2" t="str">
        <f aca="false">IF(J526&lt;11,"Pagi",IF(J526&lt;17,"Siang","Malam"))</f>
        <v>Siang</v>
      </c>
      <c r="L526" s="2" t="n">
        <f aca="false">IF(A526&lt;&gt;A525,1,0)</f>
        <v>0</v>
      </c>
    </row>
    <row r="527" customFormat="false" ht="15" hidden="false" customHeight="false" outlineLevel="0" collapsed="false">
      <c r="A527" s="2" t="s">
        <v>659</v>
      </c>
      <c r="B527" s="13" t="n">
        <v>46272</v>
      </c>
      <c r="C527" s="2" t="s">
        <v>81</v>
      </c>
      <c r="D527" s="2" t="n">
        <v>1</v>
      </c>
      <c r="E527" s="15" t="n">
        <v>0.69375</v>
      </c>
      <c r="F527" s="7" t="n">
        <v>15000</v>
      </c>
      <c r="G527" s="7" t="n">
        <f aca="false">D527*F527</f>
        <v>15000</v>
      </c>
      <c r="H527" s="2" t="str">
        <f aca="false">INDEX(Daftar_Menu!$B$2:$B$13,MATCH(C527,Daftar_Menu!$A$2:$A$13,0))</f>
        <v>Makanan</v>
      </c>
      <c r="I527" s="2" t="str">
        <f aca="false">CHOOSE(WEEKDAY(B527,2),"Senin","Selasa","Rabu","Kamis","Jumat","Sabtu","Minggu")</f>
        <v>Senin</v>
      </c>
      <c r="J527" s="2" t="n">
        <f aca="false">HOUR(E527)</f>
        <v>16</v>
      </c>
      <c r="K527" s="2" t="str">
        <f aca="false">IF(J527&lt;11,"Pagi",IF(J527&lt;17,"Siang","Malam"))</f>
        <v>Siang</v>
      </c>
      <c r="L527" s="2" t="n">
        <f aca="false">IF(A527&lt;&gt;A526,1,0)</f>
        <v>1</v>
      </c>
    </row>
    <row r="528" customFormat="false" ht="15" hidden="false" customHeight="false" outlineLevel="0" collapsed="false">
      <c r="A528" s="2" t="s">
        <v>661</v>
      </c>
      <c r="B528" s="13" t="n">
        <v>46272</v>
      </c>
      <c r="C528" s="2" t="s">
        <v>101</v>
      </c>
      <c r="D528" s="2" t="n">
        <v>1</v>
      </c>
      <c r="E528" s="15" t="n">
        <v>0.718055555555556</v>
      </c>
      <c r="F528" s="7" t="n">
        <v>18000</v>
      </c>
      <c r="G528" s="7" t="n">
        <f aca="false">D528*F528</f>
        <v>18000</v>
      </c>
      <c r="H528" s="2" t="str">
        <f aca="false">INDEX(Daftar_Menu!$B$2:$B$13,MATCH(C528,Daftar_Menu!$A$2:$A$13,0))</f>
        <v>Makanan</v>
      </c>
      <c r="I528" s="2" t="str">
        <f aca="false">CHOOSE(WEEKDAY(B528,2),"Senin","Selasa","Rabu","Kamis","Jumat","Sabtu","Minggu")</f>
        <v>Senin</v>
      </c>
      <c r="J528" s="2" t="n">
        <f aca="false">HOUR(E528)</f>
        <v>17</v>
      </c>
      <c r="K528" s="2" t="str">
        <f aca="false">IF(J528&lt;11,"Pagi",IF(J528&lt;17,"Siang","Malam"))</f>
        <v>Malam</v>
      </c>
      <c r="L528" s="2" t="n">
        <f aca="false">IF(A528&lt;&gt;A527,1,0)</f>
        <v>1</v>
      </c>
    </row>
    <row r="529" customFormat="false" ht="15" hidden="false" customHeight="false" outlineLevel="0" collapsed="false">
      <c r="A529" s="2" t="s">
        <v>663</v>
      </c>
      <c r="B529" s="13" t="n">
        <v>46272</v>
      </c>
      <c r="C529" s="2" t="s">
        <v>92</v>
      </c>
      <c r="D529" s="2" t="n">
        <v>2</v>
      </c>
      <c r="E529" s="15" t="n">
        <v>0.720138888888889</v>
      </c>
      <c r="F529" s="7" t="n">
        <v>4000</v>
      </c>
      <c r="G529" s="7" t="n">
        <f aca="false">D529*F529</f>
        <v>8000</v>
      </c>
      <c r="H529" s="2" t="str">
        <f aca="false">INDEX(Daftar_Menu!$B$2:$B$13,MATCH(C529,Daftar_Menu!$A$2:$A$13,0))</f>
        <v>Minuman</v>
      </c>
      <c r="I529" s="2" t="str">
        <f aca="false">CHOOSE(WEEKDAY(B529,2),"Senin","Selasa","Rabu","Kamis","Jumat","Sabtu","Minggu")</f>
        <v>Senin</v>
      </c>
      <c r="J529" s="2" t="n">
        <f aca="false">HOUR(E529)</f>
        <v>17</v>
      </c>
      <c r="K529" s="2" t="str">
        <f aca="false">IF(J529&lt;11,"Pagi",IF(J529&lt;17,"Siang","Malam"))</f>
        <v>Malam</v>
      </c>
      <c r="L529" s="2" t="n">
        <f aca="false">IF(A529&lt;&gt;A528,1,0)</f>
        <v>1</v>
      </c>
    </row>
    <row r="530" customFormat="false" ht="15" hidden="false" customHeight="false" outlineLevel="0" collapsed="false">
      <c r="A530" s="2" t="s">
        <v>665</v>
      </c>
      <c r="B530" s="13" t="n">
        <v>46272</v>
      </c>
      <c r="C530" s="2" t="s">
        <v>132</v>
      </c>
      <c r="D530" s="2" t="n">
        <v>2</v>
      </c>
      <c r="E530" s="15" t="n">
        <v>0.731944444444444</v>
      </c>
      <c r="F530" s="7" t="n">
        <v>15000</v>
      </c>
      <c r="G530" s="7" t="n">
        <f aca="false">D530*F530</f>
        <v>30000</v>
      </c>
      <c r="H530" s="2" t="str">
        <f aca="false">INDEX(Daftar_Menu!$B$2:$B$13,MATCH(C530,Daftar_Menu!$A$2:$A$13,0))</f>
        <v>Makanan</v>
      </c>
      <c r="I530" s="2" t="str">
        <f aca="false">CHOOSE(WEEKDAY(B530,2),"Senin","Selasa","Rabu","Kamis","Jumat","Sabtu","Minggu")</f>
        <v>Senin</v>
      </c>
      <c r="J530" s="2" t="n">
        <f aca="false">HOUR(E530)</f>
        <v>17</v>
      </c>
      <c r="K530" s="2" t="str">
        <f aca="false">IF(J530&lt;11,"Pagi",IF(J530&lt;17,"Siang","Malam"))</f>
        <v>Malam</v>
      </c>
      <c r="L530" s="2" t="n">
        <f aca="false">IF(A530&lt;&gt;A529,1,0)</f>
        <v>1</v>
      </c>
    </row>
    <row r="531" customFormat="false" ht="15" hidden="false" customHeight="false" outlineLevel="0" collapsed="false">
      <c r="A531" s="2" t="s">
        <v>667</v>
      </c>
      <c r="B531" s="13" t="n">
        <v>46272</v>
      </c>
      <c r="C531" s="2" t="s">
        <v>79</v>
      </c>
      <c r="D531" s="2" t="n">
        <v>1</v>
      </c>
      <c r="E531" s="15" t="n">
        <v>0.749305555555556</v>
      </c>
      <c r="F531" s="7" t="n">
        <v>16000</v>
      </c>
      <c r="G531" s="7" t="n">
        <f aca="false">D531*F531</f>
        <v>16000</v>
      </c>
      <c r="H531" s="2" t="str">
        <f aca="false">INDEX(Daftar_Menu!$B$2:$B$13,MATCH(C531,Daftar_Menu!$A$2:$A$13,0))</f>
        <v>Makanan</v>
      </c>
      <c r="I531" s="2" t="str">
        <f aca="false">CHOOSE(WEEKDAY(B531,2),"Senin","Selasa","Rabu","Kamis","Jumat","Sabtu","Minggu")</f>
        <v>Senin</v>
      </c>
      <c r="J531" s="2" t="n">
        <f aca="false">HOUR(E531)</f>
        <v>17</v>
      </c>
      <c r="K531" s="2" t="str">
        <f aca="false">IF(J531&lt;11,"Pagi",IF(J531&lt;17,"Siang","Malam"))</f>
        <v>Malam</v>
      </c>
      <c r="L531" s="2" t="n">
        <f aca="false">IF(A531&lt;&gt;A530,1,0)</f>
        <v>1</v>
      </c>
    </row>
    <row r="532" customFormat="false" ht="15" hidden="false" customHeight="false" outlineLevel="0" collapsed="false">
      <c r="A532" s="2" t="s">
        <v>667</v>
      </c>
      <c r="B532" s="13" t="n">
        <v>46272</v>
      </c>
      <c r="C532" s="2" t="s">
        <v>108</v>
      </c>
      <c r="D532" s="2" t="n">
        <v>1</v>
      </c>
      <c r="E532" s="15" t="n">
        <v>0.749305555555556</v>
      </c>
      <c r="F532" s="7" t="n">
        <v>20000</v>
      </c>
      <c r="G532" s="7" t="n">
        <f aca="false">D532*F532</f>
        <v>20000</v>
      </c>
      <c r="H532" s="2" t="str">
        <f aca="false">INDEX(Daftar_Menu!$B$2:$B$13,MATCH(C532,Daftar_Menu!$A$2:$A$13,0))</f>
        <v>Makanan</v>
      </c>
      <c r="I532" s="2" t="str">
        <f aca="false">CHOOSE(WEEKDAY(B532,2),"Senin","Selasa","Rabu","Kamis","Jumat","Sabtu","Minggu")</f>
        <v>Senin</v>
      </c>
      <c r="J532" s="2" t="n">
        <f aca="false">HOUR(E532)</f>
        <v>17</v>
      </c>
      <c r="K532" s="2" t="str">
        <f aca="false">IF(J532&lt;11,"Pagi",IF(J532&lt;17,"Siang","Malam"))</f>
        <v>Malam</v>
      </c>
      <c r="L532" s="2" t="n">
        <f aca="false">IF(A532&lt;&gt;A531,1,0)</f>
        <v>0</v>
      </c>
    </row>
    <row r="533" customFormat="false" ht="15" hidden="false" customHeight="false" outlineLevel="0" collapsed="false">
      <c r="A533" s="2" t="s">
        <v>668</v>
      </c>
      <c r="B533" s="13" t="n">
        <v>46272</v>
      </c>
      <c r="C533" s="2" t="s">
        <v>82</v>
      </c>
      <c r="D533" s="2" t="n">
        <v>1</v>
      </c>
      <c r="E533" s="15" t="n">
        <v>0.75</v>
      </c>
      <c r="F533" s="7" t="n">
        <v>13000</v>
      </c>
      <c r="G533" s="7" t="n">
        <f aca="false">D533*F533</f>
        <v>13000</v>
      </c>
      <c r="H533" s="2" t="str">
        <f aca="false">INDEX(Daftar_Menu!$B$2:$B$13,MATCH(C533,Daftar_Menu!$A$2:$A$13,0))</f>
        <v>Makanan</v>
      </c>
      <c r="I533" s="2" t="str">
        <f aca="false">CHOOSE(WEEKDAY(B533,2),"Senin","Selasa","Rabu","Kamis","Jumat","Sabtu","Minggu")</f>
        <v>Senin</v>
      </c>
      <c r="J533" s="2" t="n">
        <f aca="false">HOUR(E533)</f>
        <v>18</v>
      </c>
      <c r="K533" s="2" t="str">
        <f aca="false">IF(J533&lt;11,"Pagi",IF(J533&lt;17,"Siang","Malam"))</f>
        <v>Malam</v>
      </c>
      <c r="L533" s="2" t="n">
        <f aca="false">IF(A533&lt;&gt;A532,1,0)</f>
        <v>1</v>
      </c>
    </row>
    <row r="534" customFormat="false" ht="15" hidden="false" customHeight="false" outlineLevel="0" collapsed="false">
      <c r="A534" s="2" t="s">
        <v>670</v>
      </c>
      <c r="B534" s="13" t="n">
        <v>46272</v>
      </c>
      <c r="C534" s="2" t="s">
        <v>112</v>
      </c>
      <c r="D534" s="2" t="n">
        <v>2</v>
      </c>
      <c r="E534" s="15" t="n">
        <v>0.759722222222222</v>
      </c>
      <c r="F534" s="7" t="n">
        <v>10000</v>
      </c>
      <c r="G534" s="7" t="n">
        <f aca="false">D534*F534</f>
        <v>20000</v>
      </c>
      <c r="H534" s="2" t="str">
        <f aca="false">INDEX(Daftar_Menu!$B$2:$B$13,MATCH(C534,Daftar_Menu!$A$2:$A$13,0))</f>
        <v>Minuman</v>
      </c>
      <c r="I534" s="2" t="str">
        <f aca="false">CHOOSE(WEEKDAY(B534,2),"Senin","Selasa","Rabu","Kamis","Jumat","Sabtu","Minggu")</f>
        <v>Senin</v>
      </c>
      <c r="J534" s="2" t="n">
        <f aca="false">HOUR(E534)</f>
        <v>18</v>
      </c>
      <c r="K534" s="2" t="str">
        <f aca="false">IF(J534&lt;11,"Pagi",IF(J534&lt;17,"Siang","Malam"))</f>
        <v>Malam</v>
      </c>
      <c r="L534" s="2" t="n">
        <f aca="false">IF(A534&lt;&gt;A533,1,0)</f>
        <v>1</v>
      </c>
    </row>
    <row r="535" customFormat="false" ht="15" hidden="false" customHeight="false" outlineLevel="0" collapsed="false">
      <c r="A535" s="2" t="s">
        <v>670</v>
      </c>
      <c r="B535" s="13" t="n">
        <v>46272</v>
      </c>
      <c r="C535" s="2" t="s">
        <v>84</v>
      </c>
      <c r="D535" s="2" t="n">
        <v>1</v>
      </c>
      <c r="E535" s="15" t="n">
        <v>0.759722222222222</v>
      </c>
      <c r="F535" s="7" t="n">
        <v>5000</v>
      </c>
      <c r="G535" s="7" t="n">
        <f aca="false">D535*F535</f>
        <v>5000</v>
      </c>
      <c r="H535" s="2" t="str">
        <f aca="false">INDEX(Daftar_Menu!$B$2:$B$13,MATCH(C535,Daftar_Menu!$A$2:$A$13,0))</f>
        <v>Minuman</v>
      </c>
      <c r="I535" s="2" t="str">
        <f aca="false">CHOOSE(WEEKDAY(B535,2),"Senin","Selasa","Rabu","Kamis","Jumat","Sabtu","Minggu")</f>
        <v>Senin</v>
      </c>
      <c r="J535" s="2" t="n">
        <f aca="false">HOUR(E535)</f>
        <v>18</v>
      </c>
      <c r="K535" s="2" t="str">
        <f aca="false">IF(J535&lt;11,"Pagi",IF(J535&lt;17,"Siang","Malam"))</f>
        <v>Malam</v>
      </c>
      <c r="L535" s="2" t="n">
        <f aca="false">IF(A535&lt;&gt;A534,1,0)</f>
        <v>0</v>
      </c>
    </row>
    <row r="536" customFormat="false" ht="15" hidden="false" customHeight="false" outlineLevel="0" collapsed="false">
      <c r="A536" s="2" t="s">
        <v>672</v>
      </c>
      <c r="B536" s="13" t="n">
        <v>46272</v>
      </c>
      <c r="C536" s="2" t="s">
        <v>81</v>
      </c>
      <c r="D536" s="2" t="n">
        <v>1</v>
      </c>
      <c r="E536" s="15" t="n">
        <v>0.766666666666667</v>
      </c>
      <c r="F536" s="7" t="n">
        <v>15000</v>
      </c>
      <c r="G536" s="7" t="n">
        <f aca="false">D536*F536</f>
        <v>15000</v>
      </c>
      <c r="H536" s="2" t="str">
        <f aca="false">INDEX(Daftar_Menu!$B$2:$B$13,MATCH(C536,Daftar_Menu!$A$2:$A$13,0))</f>
        <v>Makanan</v>
      </c>
      <c r="I536" s="2" t="str">
        <f aca="false">CHOOSE(WEEKDAY(B536,2),"Senin","Selasa","Rabu","Kamis","Jumat","Sabtu","Minggu")</f>
        <v>Senin</v>
      </c>
      <c r="J536" s="2" t="n">
        <f aca="false">HOUR(E536)</f>
        <v>18</v>
      </c>
      <c r="K536" s="2" t="str">
        <f aca="false">IF(J536&lt;11,"Pagi",IF(J536&lt;17,"Siang","Malam"))</f>
        <v>Malam</v>
      </c>
      <c r="L536" s="2" t="n">
        <f aca="false">IF(A536&lt;&gt;A535,1,0)</f>
        <v>1</v>
      </c>
    </row>
    <row r="537" customFormat="false" ht="15" hidden="false" customHeight="false" outlineLevel="0" collapsed="false">
      <c r="A537" s="2" t="s">
        <v>672</v>
      </c>
      <c r="B537" s="13" t="n">
        <v>46272</v>
      </c>
      <c r="C537" s="2" t="s">
        <v>84</v>
      </c>
      <c r="D537" s="2" t="n">
        <v>1</v>
      </c>
      <c r="E537" s="15" t="n">
        <v>0.766666666666667</v>
      </c>
      <c r="F537" s="7" t="n">
        <v>5000</v>
      </c>
      <c r="G537" s="7" t="n">
        <f aca="false">D537*F537</f>
        <v>5000</v>
      </c>
      <c r="H537" s="2" t="str">
        <f aca="false">INDEX(Daftar_Menu!$B$2:$B$13,MATCH(C537,Daftar_Menu!$A$2:$A$13,0))</f>
        <v>Minuman</v>
      </c>
      <c r="I537" s="2" t="str">
        <f aca="false">CHOOSE(WEEKDAY(B537,2),"Senin","Selasa","Rabu","Kamis","Jumat","Sabtu","Minggu")</f>
        <v>Senin</v>
      </c>
      <c r="J537" s="2" t="n">
        <f aca="false">HOUR(E537)</f>
        <v>18</v>
      </c>
      <c r="K537" s="2" t="str">
        <f aca="false">IF(J537&lt;11,"Pagi",IF(J537&lt;17,"Siang","Malam"))</f>
        <v>Malam</v>
      </c>
      <c r="L537" s="2" t="n">
        <f aca="false">IF(A537&lt;&gt;A536,1,0)</f>
        <v>0</v>
      </c>
    </row>
    <row r="538" customFormat="false" ht="15" hidden="false" customHeight="false" outlineLevel="0" collapsed="false">
      <c r="A538" s="2" t="s">
        <v>674</v>
      </c>
      <c r="B538" s="13" t="n">
        <v>46272</v>
      </c>
      <c r="C538" s="2" t="s">
        <v>81</v>
      </c>
      <c r="D538" s="2" t="n">
        <v>1</v>
      </c>
      <c r="E538" s="15" t="n">
        <v>0.76875</v>
      </c>
      <c r="F538" s="7" t="n">
        <v>15000</v>
      </c>
      <c r="G538" s="7" t="n">
        <f aca="false">D538*F538</f>
        <v>15000</v>
      </c>
      <c r="H538" s="2" t="str">
        <f aca="false">INDEX(Daftar_Menu!$B$2:$B$13,MATCH(C538,Daftar_Menu!$A$2:$A$13,0))</f>
        <v>Makanan</v>
      </c>
      <c r="I538" s="2" t="str">
        <f aca="false">CHOOSE(WEEKDAY(B538,2),"Senin","Selasa","Rabu","Kamis","Jumat","Sabtu","Minggu")</f>
        <v>Senin</v>
      </c>
      <c r="J538" s="2" t="n">
        <f aca="false">HOUR(E538)</f>
        <v>18</v>
      </c>
      <c r="K538" s="2" t="str">
        <f aca="false">IF(J538&lt;11,"Pagi",IF(J538&lt;17,"Siang","Malam"))</f>
        <v>Malam</v>
      </c>
      <c r="L538" s="2" t="n">
        <f aca="false">IF(A538&lt;&gt;A537,1,0)</f>
        <v>1</v>
      </c>
    </row>
    <row r="539" customFormat="false" ht="15" hidden="false" customHeight="false" outlineLevel="0" collapsed="false">
      <c r="A539" s="2" t="s">
        <v>674</v>
      </c>
      <c r="B539" s="13" t="n">
        <v>46272</v>
      </c>
      <c r="C539" s="2" t="s">
        <v>132</v>
      </c>
      <c r="D539" s="2" t="n">
        <v>1</v>
      </c>
      <c r="E539" s="15" t="n">
        <v>0.76875</v>
      </c>
      <c r="F539" s="7" t="n">
        <v>15000</v>
      </c>
      <c r="G539" s="7" t="n">
        <f aca="false">D539*F539</f>
        <v>15000</v>
      </c>
      <c r="H539" s="2" t="str">
        <f aca="false">INDEX(Daftar_Menu!$B$2:$B$13,MATCH(C539,Daftar_Menu!$A$2:$A$13,0))</f>
        <v>Makanan</v>
      </c>
      <c r="I539" s="2" t="str">
        <f aca="false">CHOOSE(WEEKDAY(B539,2),"Senin","Selasa","Rabu","Kamis","Jumat","Sabtu","Minggu")</f>
        <v>Senin</v>
      </c>
      <c r="J539" s="2" t="n">
        <f aca="false">HOUR(E539)</f>
        <v>18</v>
      </c>
      <c r="K539" s="2" t="str">
        <f aca="false">IF(J539&lt;11,"Pagi",IF(J539&lt;17,"Siang","Malam"))</f>
        <v>Malam</v>
      </c>
      <c r="L539" s="2" t="n">
        <f aca="false">IF(A539&lt;&gt;A538,1,0)</f>
        <v>0</v>
      </c>
    </row>
    <row r="540" customFormat="false" ht="15" hidden="false" customHeight="false" outlineLevel="0" collapsed="false">
      <c r="A540" s="2" t="s">
        <v>675</v>
      </c>
      <c r="B540" s="13" t="n">
        <v>46272</v>
      </c>
      <c r="C540" s="2" t="s">
        <v>108</v>
      </c>
      <c r="D540" s="2" t="n">
        <v>2</v>
      </c>
      <c r="E540" s="15" t="n">
        <v>0.779166666666667</v>
      </c>
      <c r="F540" s="7" t="n">
        <v>20000</v>
      </c>
      <c r="G540" s="7" t="n">
        <f aca="false">D540*F540</f>
        <v>40000</v>
      </c>
      <c r="H540" s="2" t="str">
        <f aca="false">INDEX(Daftar_Menu!$B$2:$B$13,MATCH(C540,Daftar_Menu!$A$2:$A$13,0))</f>
        <v>Makanan</v>
      </c>
      <c r="I540" s="2" t="str">
        <f aca="false">CHOOSE(WEEKDAY(B540,2),"Senin","Selasa","Rabu","Kamis","Jumat","Sabtu","Minggu")</f>
        <v>Senin</v>
      </c>
      <c r="J540" s="2" t="n">
        <f aca="false">HOUR(E540)</f>
        <v>18</v>
      </c>
      <c r="K540" s="2" t="str">
        <f aca="false">IF(J540&lt;11,"Pagi",IF(J540&lt;17,"Siang","Malam"))</f>
        <v>Malam</v>
      </c>
      <c r="L540" s="2" t="n">
        <f aca="false">IF(A540&lt;&gt;A539,1,0)</f>
        <v>1</v>
      </c>
    </row>
    <row r="541" customFormat="false" ht="15" hidden="false" customHeight="false" outlineLevel="0" collapsed="false">
      <c r="A541" s="2" t="s">
        <v>676</v>
      </c>
      <c r="B541" s="13" t="n">
        <v>46272</v>
      </c>
      <c r="C541" s="2" t="s">
        <v>101</v>
      </c>
      <c r="D541" s="2" t="n">
        <v>1</v>
      </c>
      <c r="E541" s="15" t="n">
        <v>0.779861111111111</v>
      </c>
      <c r="F541" s="7" t="n">
        <v>18000</v>
      </c>
      <c r="G541" s="7" t="n">
        <f aca="false">D541*F541</f>
        <v>18000</v>
      </c>
      <c r="H541" s="2" t="str">
        <f aca="false">INDEX(Daftar_Menu!$B$2:$B$13,MATCH(C541,Daftar_Menu!$A$2:$A$13,0))</f>
        <v>Makanan</v>
      </c>
      <c r="I541" s="2" t="str">
        <f aca="false">CHOOSE(WEEKDAY(B541,2),"Senin","Selasa","Rabu","Kamis","Jumat","Sabtu","Minggu")</f>
        <v>Senin</v>
      </c>
      <c r="J541" s="2" t="n">
        <f aca="false">HOUR(E541)</f>
        <v>18</v>
      </c>
      <c r="K541" s="2" t="str">
        <f aca="false">IF(J541&lt;11,"Pagi",IF(J541&lt;17,"Siang","Malam"))</f>
        <v>Malam</v>
      </c>
      <c r="L541" s="2" t="n">
        <f aca="false">IF(A541&lt;&gt;A540,1,0)</f>
        <v>1</v>
      </c>
    </row>
    <row r="542" customFormat="false" ht="15" hidden="false" customHeight="false" outlineLevel="0" collapsed="false">
      <c r="A542" s="2" t="s">
        <v>676</v>
      </c>
      <c r="B542" s="13" t="n">
        <v>46272</v>
      </c>
      <c r="C542" s="2" t="s">
        <v>79</v>
      </c>
      <c r="D542" s="2" t="n">
        <v>2</v>
      </c>
      <c r="E542" s="15" t="n">
        <v>0.779861111111111</v>
      </c>
      <c r="F542" s="7" t="n">
        <v>16000</v>
      </c>
      <c r="G542" s="7" t="n">
        <f aca="false">D542*F542</f>
        <v>32000</v>
      </c>
      <c r="H542" s="2" t="str">
        <f aca="false">INDEX(Daftar_Menu!$B$2:$B$13,MATCH(C542,Daftar_Menu!$A$2:$A$13,0))</f>
        <v>Makanan</v>
      </c>
      <c r="I542" s="2" t="str">
        <f aca="false">CHOOSE(WEEKDAY(B542,2),"Senin","Selasa","Rabu","Kamis","Jumat","Sabtu","Minggu")</f>
        <v>Senin</v>
      </c>
      <c r="J542" s="2" t="n">
        <f aca="false">HOUR(E542)</f>
        <v>18</v>
      </c>
      <c r="K542" s="2" t="str">
        <f aca="false">IF(J542&lt;11,"Pagi",IF(J542&lt;17,"Siang","Malam"))</f>
        <v>Malam</v>
      </c>
      <c r="L542" s="2" t="n">
        <f aca="false">IF(A542&lt;&gt;A541,1,0)</f>
        <v>0</v>
      </c>
    </row>
    <row r="543" customFormat="false" ht="15" hidden="false" customHeight="false" outlineLevel="0" collapsed="false">
      <c r="A543" s="2" t="s">
        <v>676</v>
      </c>
      <c r="B543" s="13" t="n">
        <v>46272</v>
      </c>
      <c r="C543" s="2" t="s">
        <v>89</v>
      </c>
      <c r="D543" s="2" t="n">
        <v>1</v>
      </c>
      <c r="E543" s="15" t="n">
        <v>0.779861111111111</v>
      </c>
      <c r="F543" s="7" t="n">
        <v>14000</v>
      </c>
      <c r="G543" s="7" t="n">
        <f aca="false">D543*F543</f>
        <v>14000</v>
      </c>
      <c r="H543" s="2" t="str">
        <f aca="false">INDEX(Daftar_Menu!$B$2:$B$13,MATCH(C543,Daftar_Menu!$A$2:$A$13,0))</f>
        <v>Makanan</v>
      </c>
      <c r="I543" s="2" t="str">
        <f aca="false">CHOOSE(WEEKDAY(B543,2),"Senin","Selasa","Rabu","Kamis","Jumat","Sabtu","Minggu")</f>
        <v>Senin</v>
      </c>
      <c r="J543" s="2" t="n">
        <f aca="false">HOUR(E543)</f>
        <v>18</v>
      </c>
      <c r="K543" s="2" t="str">
        <f aca="false">IF(J543&lt;11,"Pagi",IF(J543&lt;17,"Siang","Malam"))</f>
        <v>Malam</v>
      </c>
      <c r="L543" s="2" t="n">
        <f aca="false">IF(A543&lt;&gt;A542,1,0)</f>
        <v>0</v>
      </c>
    </row>
    <row r="544" customFormat="false" ht="15" hidden="false" customHeight="false" outlineLevel="0" collapsed="false">
      <c r="A544" s="2" t="s">
        <v>678</v>
      </c>
      <c r="B544" s="13" t="n">
        <v>46272</v>
      </c>
      <c r="C544" s="2" t="s">
        <v>112</v>
      </c>
      <c r="D544" s="2" t="n">
        <v>2</v>
      </c>
      <c r="E544" s="15" t="n">
        <v>0.7875</v>
      </c>
      <c r="F544" s="7" t="n">
        <v>10000</v>
      </c>
      <c r="G544" s="7" t="n">
        <f aca="false">D544*F544</f>
        <v>20000</v>
      </c>
      <c r="H544" s="2" t="str">
        <f aca="false">INDEX(Daftar_Menu!$B$2:$B$13,MATCH(C544,Daftar_Menu!$A$2:$A$13,0))</f>
        <v>Minuman</v>
      </c>
      <c r="I544" s="2" t="str">
        <f aca="false">CHOOSE(WEEKDAY(B544,2),"Senin","Selasa","Rabu","Kamis","Jumat","Sabtu","Minggu")</f>
        <v>Senin</v>
      </c>
      <c r="J544" s="2" t="n">
        <f aca="false">HOUR(E544)</f>
        <v>18</v>
      </c>
      <c r="K544" s="2" t="str">
        <f aca="false">IF(J544&lt;11,"Pagi",IF(J544&lt;17,"Siang","Malam"))</f>
        <v>Malam</v>
      </c>
      <c r="L544" s="2" t="n">
        <f aca="false">IF(A544&lt;&gt;A543,1,0)</f>
        <v>1</v>
      </c>
    </row>
    <row r="545" customFormat="false" ht="15" hidden="false" customHeight="false" outlineLevel="0" collapsed="false">
      <c r="A545" s="2" t="s">
        <v>678</v>
      </c>
      <c r="B545" s="13" t="n">
        <v>46272</v>
      </c>
      <c r="C545" s="2" t="s">
        <v>186</v>
      </c>
      <c r="D545" s="2" t="n">
        <v>3</v>
      </c>
      <c r="E545" s="15" t="n">
        <v>0.7875</v>
      </c>
      <c r="F545" s="7" t="n">
        <v>7000</v>
      </c>
      <c r="G545" s="7" t="n">
        <f aca="false">D545*F545</f>
        <v>21000</v>
      </c>
      <c r="H545" s="2" t="str">
        <f aca="false">INDEX(Daftar_Menu!$B$2:$B$13,MATCH(C545,Daftar_Menu!$A$2:$A$13,0))</f>
        <v>Minuman</v>
      </c>
      <c r="I545" s="2" t="str">
        <f aca="false">CHOOSE(WEEKDAY(B545,2),"Senin","Selasa","Rabu","Kamis","Jumat","Sabtu","Minggu")</f>
        <v>Senin</v>
      </c>
      <c r="J545" s="2" t="n">
        <f aca="false">HOUR(E545)</f>
        <v>18</v>
      </c>
      <c r="K545" s="2" t="str">
        <f aca="false">IF(J545&lt;11,"Pagi",IF(J545&lt;17,"Siang","Malam"))</f>
        <v>Malam</v>
      </c>
      <c r="L545" s="2" t="n">
        <f aca="false">IF(A545&lt;&gt;A544,1,0)</f>
        <v>0</v>
      </c>
    </row>
    <row r="546" customFormat="false" ht="15" hidden="false" customHeight="false" outlineLevel="0" collapsed="false">
      <c r="A546" s="2" t="s">
        <v>679</v>
      </c>
      <c r="B546" s="13" t="n">
        <v>46272</v>
      </c>
      <c r="C546" s="2" t="s">
        <v>101</v>
      </c>
      <c r="D546" s="2" t="n">
        <v>1</v>
      </c>
      <c r="E546" s="15" t="n">
        <v>0.80625</v>
      </c>
      <c r="F546" s="7" t="n">
        <v>18000</v>
      </c>
      <c r="G546" s="7" t="n">
        <f aca="false">D546*F546</f>
        <v>18000</v>
      </c>
      <c r="H546" s="2" t="str">
        <f aca="false">INDEX(Daftar_Menu!$B$2:$B$13,MATCH(C546,Daftar_Menu!$A$2:$A$13,0))</f>
        <v>Makanan</v>
      </c>
      <c r="I546" s="2" t="str">
        <f aca="false">CHOOSE(WEEKDAY(B546,2),"Senin","Selasa","Rabu","Kamis","Jumat","Sabtu","Minggu")</f>
        <v>Senin</v>
      </c>
      <c r="J546" s="2" t="n">
        <f aca="false">HOUR(E546)</f>
        <v>19</v>
      </c>
      <c r="K546" s="2" t="str">
        <f aca="false">IF(J546&lt;11,"Pagi",IF(J546&lt;17,"Siang","Malam"))</f>
        <v>Malam</v>
      </c>
      <c r="L546" s="2" t="n">
        <f aca="false">IF(A546&lt;&gt;A545,1,0)</f>
        <v>1</v>
      </c>
    </row>
    <row r="547" customFormat="false" ht="15" hidden="false" customHeight="false" outlineLevel="0" collapsed="false">
      <c r="A547" s="2" t="s">
        <v>681</v>
      </c>
      <c r="B547" s="13" t="n">
        <v>46272</v>
      </c>
      <c r="C547" s="2" t="s">
        <v>81</v>
      </c>
      <c r="D547" s="2" t="n">
        <v>1</v>
      </c>
      <c r="E547" s="15" t="n">
        <v>0.809027777777778</v>
      </c>
      <c r="F547" s="7" t="n">
        <v>15000</v>
      </c>
      <c r="G547" s="7" t="n">
        <f aca="false">D547*F547</f>
        <v>15000</v>
      </c>
      <c r="H547" s="2" t="str">
        <f aca="false">INDEX(Daftar_Menu!$B$2:$B$13,MATCH(C547,Daftar_Menu!$A$2:$A$13,0))</f>
        <v>Makanan</v>
      </c>
      <c r="I547" s="2" t="str">
        <f aca="false">CHOOSE(WEEKDAY(B547,2),"Senin","Selasa","Rabu","Kamis","Jumat","Sabtu","Minggu")</f>
        <v>Senin</v>
      </c>
      <c r="J547" s="2" t="n">
        <f aca="false">HOUR(E547)</f>
        <v>19</v>
      </c>
      <c r="K547" s="2" t="str">
        <f aca="false">IF(J547&lt;11,"Pagi",IF(J547&lt;17,"Siang","Malam"))</f>
        <v>Malam</v>
      </c>
      <c r="L547" s="2" t="n">
        <f aca="false">IF(A547&lt;&gt;A546,1,0)</f>
        <v>1</v>
      </c>
    </row>
    <row r="548" customFormat="false" ht="15" hidden="false" customHeight="false" outlineLevel="0" collapsed="false">
      <c r="A548" s="2" t="s">
        <v>681</v>
      </c>
      <c r="B548" s="13" t="n">
        <v>46272</v>
      </c>
      <c r="C548" s="2" t="s">
        <v>84</v>
      </c>
      <c r="D548" s="2" t="n">
        <v>1</v>
      </c>
      <c r="E548" s="15" t="n">
        <v>0.809027777777778</v>
      </c>
      <c r="F548" s="7" t="n">
        <v>5000</v>
      </c>
      <c r="G548" s="7" t="n">
        <f aca="false">D548*F548</f>
        <v>5000</v>
      </c>
      <c r="H548" s="2" t="str">
        <f aca="false">INDEX(Daftar_Menu!$B$2:$B$13,MATCH(C548,Daftar_Menu!$A$2:$A$13,0))</f>
        <v>Minuman</v>
      </c>
      <c r="I548" s="2" t="str">
        <f aca="false">CHOOSE(WEEKDAY(B548,2),"Senin","Selasa","Rabu","Kamis","Jumat","Sabtu","Minggu")</f>
        <v>Senin</v>
      </c>
      <c r="J548" s="2" t="n">
        <f aca="false">HOUR(E548)</f>
        <v>19</v>
      </c>
      <c r="K548" s="2" t="str">
        <f aca="false">IF(J548&lt;11,"Pagi",IF(J548&lt;17,"Siang","Malam"))</f>
        <v>Malam</v>
      </c>
      <c r="L548" s="2" t="n">
        <f aca="false">IF(A548&lt;&gt;A547,1,0)</f>
        <v>0</v>
      </c>
    </row>
    <row r="549" customFormat="false" ht="15" hidden="false" customHeight="false" outlineLevel="0" collapsed="false">
      <c r="A549" s="2" t="s">
        <v>681</v>
      </c>
      <c r="B549" s="13" t="n">
        <v>46272</v>
      </c>
      <c r="C549" s="2" t="s">
        <v>101</v>
      </c>
      <c r="D549" s="2" t="n">
        <v>1</v>
      </c>
      <c r="E549" s="15" t="n">
        <v>0.809027777777778</v>
      </c>
      <c r="F549" s="7" t="n">
        <v>18000</v>
      </c>
      <c r="G549" s="7" t="n">
        <f aca="false">D549*F549</f>
        <v>18000</v>
      </c>
      <c r="H549" s="2" t="str">
        <f aca="false">INDEX(Daftar_Menu!$B$2:$B$13,MATCH(C549,Daftar_Menu!$A$2:$A$13,0))</f>
        <v>Makanan</v>
      </c>
      <c r="I549" s="2" t="str">
        <f aca="false">CHOOSE(WEEKDAY(B549,2),"Senin","Selasa","Rabu","Kamis","Jumat","Sabtu","Minggu")</f>
        <v>Senin</v>
      </c>
      <c r="J549" s="2" t="n">
        <f aca="false">HOUR(E549)</f>
        <v>19</v>
      </c>
      <c r="K549" s="2" t="str">
        <f aca="false">IF(J549&lt;11,"Pagi",IF(J549&lt;17,"Siang","Malam"))</f>
        <v>Malam</v>
      </c>
      <c r="L549" s="2" t="n">
        <f aca="false">IF(A549&lt;&gt;A548,1,0)</f>
        <v>0</v>
      </c>
    </row>
    <row r="550" customFormat="false" ht="15" hidden="false" customHeight="false" outlineLevel="0" collapsed="false">
      <c r="A550" s="2" t="s">
        <v>682</v>
      </c>
      <c r="B550" s="13" t="n">
        <v>46272</v>
      </c>
      <c r="C550" s="2" t="s">
        <v>81</v>
      </c>
      <c r="D550" s="2" t="n">
        <v>1</v>
      </c>
      <c r="E550" s="15" t="n">
        <v>0.811111111111111</v>
      </c>
      <c r="F550" s="7" t="n">
        <v>15000</v>
      </c>
      <c r="G550" s="7" t="n">
        <f aca="false">D550*F550</f>
        <v>15000</v>
      </c>
      <c r="H550" s="2" t="str">
        <f aca="false">INDEX(Daftar_Menu!$B$2:$B$13,MATCH(C550,Daftar_Menu!$A$2:$A$13,0))</f>
        <v>Makanan</v>
      </c>
      <c r="I550" s="2" t="str">
        <f aca="false">CHOOSE(WEEKDAY(B550,2),"Senin","Selasa","Rabu","Kamis","Jumat","Sabtu","Minggu")</f>
        <v>Senin</v>
      </c>
      <c r="J550" s="2" t="n">
        <f aca="false">HOUR(E550)</f>
        <v>19</v>
      </c>
      <c r="K550" s="2" t="str">
        <f aca="false">IF(J550&lt;11,"Pagi",IF(J550&lt;17,"Siang","Malam"))</f>
        <v>Malam</v>
      </c>
      <c r="L550" s="2" t="n">
        <f aca="false">IF(A550&lt;&gt;A549,1,0)</f>
        <v>1</v>
      </c>
    </row>
    <row r="551" customFormat="false" ht="15" hidden="false" customHeight="false" outlineLevel="0" collapsed="false">
      <c r="A551" s="2" t="s">
        <v>682</v>
      </c>
      <c r="B551" s="13" t="n">
        <v>46272</v>
      </c>
      <c r="C551" s="2" t="s">
        <v>186</v>
      </c>
      <c r="D551" s="2" t="n">
        <v>2</v>
      </c>
      <c r="E551" s="15" t="n">
        <v>0.811111111111111</v>
      </c>
      <c r="F551" s="7" t="n">
        <v>7000</v>
      </c>
      <c r="G551" s="7" t="n">
        <f aca="false">D551*F551</f>
        <v>14000</v>
      </c>
      <c r="H551" s="2" t="str">
        <f aca="false">INDEX(Daftar_Menu!$B$2:$B$13,MATCH(C551,Daftar_Menu!$A$2:$A$13,0))</f>
        <v>Minuman</v>
      </c>
      <c r="I551" s="2" t="str">
        <f aca="false">CHOOSE(WEEKDAY(B551,2),"Senin","Selasa","Rabu","Kamis","Jumat","Sabtu","Minggu")</f>
        <v>Senin</v>
      </c>
      <c r="J551" s="2" t="n">
        <f aca="false">HOUR(E551)</f>
        <v>19</v>
      </c>
      <c r="K551" s="2" t="str">
        <f aca="false">IF(J551&lt;11,"Pagi",IF(J551&lt;17,"Siang","Malam"))</f>
        <v>Malam</v>
      </c>
      <c r="L551" s="2" t="n">
        <f aca="false">IF(A551&lt;&gt;A550,1,0)</f>
        <v>0</v>
      </c>
    </row>
    <row r="552" customFormat="false" ht="15" hidden="false" customHeight="false" outlineLevel="0" collapsed="false">
      <c r="A552" s="2" t="s">
        <v>684</v>
      </c>
      <c r="B552" s="13" t="n">
        <v>46272</v>
      </c>
      <c r="C552" s="2" t="s">
        <v>132</v>
      </c>
      <c r="D552" s="2" t="n">
        <v>1</v>
      </c>
      <c r="E552" s="15" t="n">
        <v>0.820833333333333</v>
      </c>
      <c r="F552" s="7" t="n">
        <v>15000</v>
      </c>
      <c r="G552" s="7" t="n">
        <f aca="false">D552*F552</f>
        <v>15000</v>
      </c>
      <c r="H552" s="2" t="str">
        <f aca="false">INDEX(Daftar_Menu!$B$2:$B$13,MATCH(C552,Daftar_Menu!$A$2:$A$13,0))</f>
        <v>Makanan</v>
      </c>
      <c r="I552" s="2" t="str">
        <f aca="false">CHOOSE(WEEKDAY(B552,2),"Senin","Selasa","Rabu","Kamis","Jumat","Sabtu","Minggu")</f>
        <v>Senin</v>
      </c>
      <c r="J552" s="2" t="n">
        <f aca="false">HOUR(E552)</f>
        <v>19</v>
      </c>
      <c r="K552" s="2" t="str">
        <f aca="false">IF(J552&lt;11,"Pagi",IF(J552&lt;17,"Siang","Malam"))</f>
        <v>Malam</v>
      </c>
      <c r="L552" s="2" t="n">
        <f aca="false">IF(A552&lt;&gt;A551,1,0)</f>
        <v>1</v>
      </c>
    </row>
    <row r="553" customFormat="false" ht="15" hidden="false" customHeight="false" outlineLevel="0" collapsed="false">
      <c r="A553" s="2" t="s">
        <v>684</v>
      </c>
      <c r="B553" s="13" t="n">
        <v>46272</v>
      </c>
      <c r="C553" s="2" t="s">
        <v>101</v>
      </c>
      <c r="D553" s="2" t="n">
        <v>2</v>
      </c>
      <c r="E553" s="15" t="n">
        <v>0.820833333333333</v>
      </c>
      <c r="F553" s="7" t="n">
        <v>18000</v>
      </c>
      <c r="G553" s="7" t="n">
        <f aca="false">D553*F553</f>
        <v>36000</v>
      </c>
      <c r="H553" s="2" t="str">
        <f aca="false">INDEX(Daftar_Menu!$B$2:$B$13,MATCH(C553,Daftar_Menu!$A$2:$A$13,0))</f>
        <v>Makanan</v>
      </c>
      <c r="I553" s="2" t="str">
        <f aca="false">CHOOSE(WEEKDAY(B553,2),"Senin","Selasa","Rabu","Kamis","Jumat","Sabtu","Minggu")</f>
        <v>Senin</v>
      </c>
      <c r="J553" s="2" t="n">
        <f aca="false">HOUR(E553)</f>
        <v>19</v>
      </c>
      <c r="K553" s="2" t="str">
        <f aca="false">IF(J553&lt;11,"Pagi",IF(J553&lt;17,"Siang","Malam"))</f>
        <v>Malam</v>
      </c>
      <c r="L553" s="2" t="n">
        <f aca="false">IF(A553&lt;&gt;A552,1,0)</f>
        <v>0</v>
      </c>
    </row>
    <row r="554" customFormat="false" ht="15" hidden="false" customHeight="false" outlineLevel="0" collapsed="false">
      <c r="A554" s="2" t="s">
        <v>686</v>
      </c>
      <c r="B554" s="13" t="n">
        <v>46272</v>
      </c>
      <c r="C554" s="2" t="s">
        <v>84</v>
      </c>
      <c r="D554" s="2" t="n">
        <v>1</v>
      </c>
      <c r="E554" s="15" t="n">
        <v>0.828472222222222</v>
      </c>
      <c r="F554" s="7" t="n">
        <v>5000</v>
      </c>
      <c r="G554" s="7" t="n">
        <f aca="false">D554*F554</f>
        <v>5000</v>
      </c>
      <c r="H554" s="2" t="str">
        <f aca="false">INDEX(Daftar_Menu!$B$2:$B$13,MATCH(C554,Daftar_Menu!$A$2:$A$13,0))</f>
        <v>Minuman</v>
      </c>
      <c r="I554" s="2" t="str">
        <f aca="false">CHOOSE(WEEKDAY(B554,2),"Senin","Selasa","Rabu","Kamis","Jumat","Sabtu","Minggu")</f>
        <v>Senin</v>
      </c>
      <c r="J554" s="2" t="n">
        <f aca="false">HOUR(E554)</f>
        <v>19</v>
      </c>
      <c r="K554" s="2" t="str">
        <f aca="false">IF(J554&lt;11,"Pagi",IF(J554&lt;17,"Siang","Malam"))</f>
        <v>Malam</v>
      </c>
      <c r="L554" s="2" t="n">
        <f aca="false">IF(A554&lt;&gt;A553,1,0)</f>
        <v>1</v>
      </c>
    </row>
    <row r="555" customFormat="false" ht="15" hidden="false" customHeight="false" outlineLevel="0" collapsed="false">
      <c r="A555" s="2" t="s">
        <v>688</v>
      </c>
      <c r="B555" s="13" t="n">
        <v>46272</v>
      </c>
      <c r="C555" s="2" t="s">
        <v>82</v>
      </c>
      <c r="D555" s="2" t="n">
        <v>2</v>
      </c>
      <c r="E555" s="15" t="n">
        <v>0.831944444444445</v>
      </c>
      <c r="F555" s="7" t="n">
        <v>13000</v>
      </c>
      <c r="G555" s="7" t="n">
        <f aca="false">D555*F555</f>
        <v>26000</v>
      </c>
      <c r="H555" s="2" t="str">
        <f aca="false">INDEX(Daftar_Menu!$B$2:$B$13,MATCH(C555,Daftar_Menu!$A$2:$A$13,0))</f>
        <v>Makanan</v>
      </c>
      <c r="I555" s="2" t="str">
        <f aca="false">CHOOSE(WEEKDAY(B555,2),"Senin","Selasa","Rabu","Kamis","Jumat","Sabtu","Minggu")</f>
        <v>Senin</v>
      </c>
      <c r="J555" s="2" t="n">
        <f aca="false">HOUR(E555)</f>
        <v>19</v>
      </c>
      <c r="K555" s="2" t="str">
        <f aca="false">IF(J555&lt;11,"Pagi",IF(J555&lt;17,"Siang","Malam"))</f>
        <v>Malam</v>
      </c>
      <c r="L555" s="2" t="n">
        <f aca="false">IF(A555&lt;&gt;A554,1,0)</f>
        <v>1</v>
      </c>
    </row>
    <row r="556" customFormat="false" ht="15" hidden="false" customHeight="false" outlineLevel="0" collapsed="false">
      <c r="A556" s="2" t="s">
        <v>690</v>
      </c>
      <c r="B556" s="13" t="n">
        <v>46273</v>
      </c>
      <c r="C556" s="2" t="s">
        <v>84</v>
      </c>
      <c r="D556" s="2" t="n">
        <v>1</v>
      </c>
      <c r="E556" s="15" t="n">
        <v>0.385416666666667</v>
      </c>
      <c r="F556" s="7" t="n">
        <v>5000</v>
      </c>
      <c r="G556" s="7" t="n">
        <f aca="false">D556*F556</f>
        <v>5000</v>
      </c>
      <c r="H556" s="2" t="str">
        <f aca="false">INDEX(Daftar_Menu!$B$2:$B$13,MATCH(C556,Daftar_Menu!$A$2:$A$13,0))</f>
        <v>Minuman</v>
      </c>
      <c r="I556" s="2" t="str">
        <f aca="false">CHOOSE(WEEKDAY(B556,2),"Senin","Selasa","Rabu","Kamis","Jumat","Sabtu","Minggu")</f>
        <v>Selasa</v>
      </c>
      <c r="J556" s="2" t="n">
        <f aca="false">HOUR(E556)</f>
        <v>9</v>
      </c>
      <c r="K556" s="2" t="str">
        <f aca="false">IF(J556&lt;11,"Pagi",IF(J556&lt;17,"Siang","Malam"))</f>
        <v>Pagi</v>
      </c>
      <c r="L556" s="2" t="n">
        <f aca="false">IF(A556&lt;&gt;A555,1,0)</f>
        <v>1</v>
      </c>
    </row>
    <row r="557" customFormat="false" ht="15" hidden="false" customHeight="false" outlineLevel="0" collapsed="false">
      <c r="A557" s="2" t="s">
        <v>690</v>
      </c>
      <c r="B557" s="13" t="n">
        <v>46273</v>
      </c>
      <c r="C557" s="2" t="s">
        <v>108</v>
      </c>
      <c r="D557" s="2" t="n">
        <v>1</v>
      </c>
      <c r="E557" s="15" t="n">
        <v>0.385416666666667</v>
      </c>
      <c r="F557" s="7" t="n">
        <v>20000</v>
      </c>
      <c r="G557" s="7" t="n">
        <f aca="false">D557*F557</f>
        <v>20000</v>
      </c>
      <c r="H557" s="2" t="str">
        <f aca="false">INDEX(Daftar_Menu!$B$2:$B$13,MATCH(C557,Daftar_Menu!$A$2:$A$13,0))</f>
        <v>Makanan</v>
      </c>
      <c r="I557" s="2" t="str">
        <f aca="false">CHOOSE(WEEKDAY(B557,2),"Senin","Selasa","Rabu","Kamis","Jumat","Sabtu","Minggu")</f>
        <v>Selasa</v>
      </c>
      <c r="J557" s="2" t="n">
        <f aca="false">HOUR(E557)</f>
        <v>9</v>
      </c>
      <c r="K557" s="2" t="str">
        <f aca="false">IF(J557&lt;11,"Pagi",IF(J557&lt;17,"Siang","Malam"))</f>
        <v>Pagi</v>
      </c>
      <c r="L557" s="2" t="n">
        <f aca="false">IF(A557&lt;&gt;A556,1,0)</f>
        <v>0</v>
      </c>
    </row>
    <row r="558" customFormat="false" ht="15" hidden="false" customHeight="false" outlineLevel="0" collapsed="false">
      <c r="A558" s="2" t="s">
        <v>690</v>
      </c>
      <c r="B558" s="13" t="n">
        <v>46273</v>
      </c>
      <c r="C558" s="2" t="s">
        <v>112</v>
      </c>
      <c r="D558" s="2" t="n">
        <v>1</v>
      </c>
      <c r="E558" s="15" t="n">
        <v>0.385416666666667</v>
      </c>
      <c r="F558" s="7" t="n">
        <v>10000</v>
      </c>
      <c r="G558" s="7" t="n">
        <f aca="false">D558*F558</f>
        <v>10000</v>
      </c>
      <c r="H558" s="2" t="str">
        <f aca="false">INDEX(Daftar_Menu!$B$2:$B$13,MATCH(C558,Daftar_Menu!$A$2:$A$13,0))</f>
        <v>Minuman</v>
      </c>
      <c r="I558" s="2" t="str">
        <f aca="false">CHOOSE(WEEKDAY(B558,2),"Senin","Selasa","Rabu","Kamis","Jumat","Sabtu","Minggu")</f>
        <v>Selasa</v>
      </c>
      <c r="J558" s="2" t="n">
        <f aca="false">HOUR(E558)</f>
        <v>9</v>
      </c>
      <c r="K558" s="2" t="str">
        <f aca="false">IF(J558&lt;11,"Pagi",IF(J558&lt;17,"Siang","Malam"))</f>
        <v>Pagi</v>
      </c>
      <c r="L558" s="2" t="n">
        <f aca="false">IF(A558&lt;&gt;A557,1,0)</f>
        <v>0</v>
      </c>
    </row>
    <row r="559" customFormat="false" ht="15" hidden="false" customHeight="false" outlineLevel="0" collapsed="false">
      <c r="A559" s="2" t="s">
        <v>692</v>
      </c>
      <c r="B559" s="13" t="n">
        <v>46273</v>
      </c>
      <c r="C559" s="2" t="s">
        <v>186</v>
      </c>
      <c r="D559" s="2" t="n">
        <v>1</v>
      </c>
      <c r="E559" s="15" t="n">
        <v>0.393055555555556</v>
      </c>
      <c r="F559" s="7" t="n">
        <v>7000</v>
      </c>
      <c r="G559" s="7" t="n">
        <f aca="false">D559*F559</f>
        <v>7000</v>
      </c>
      <c r="H559" s="2" t="str">
        <f aca="false">INDEX(Daftar_Menu!$B$2:$B$13,MATCH(C559,Daftar_Menu!$A$2:$A$13,0))</f>
        <v>Minuman</v>
      </c>
      <c r="I559" s="2" t="str">
        <f aca="false">CHOOSE(WEEKDAY(B559,2),"Senin","Selasa","Rabu","Kamis","Jumat","Sabtu","Minggu")</f>
        <v>Selasa</v>
      </c>
      <c r="J559" s="2" t="n">
        <f aca="false">HOUR(E559)</f>
        <v>9</v>
      </c>
      <c r="K559" s="2" t="str">
        <f aca="false">IF(J559&lt;11,"Pagi",IF(J559&lt;17,"Siang","Malam"))</f>
        <v>Pagi</v>
      </c>
      <c r="L559" s="2" t="n">
        <f aca="false">IF(A559&lt;&gt;A558,1,0)</f>
        <v>1</v>
      </c>
    </row>
    <row r="560" customFormat="false" ht="15" hidden="false" customHeight="false" outlineLevel="0" collapsed="false">
      <c r="A560" s="2" t="s">
        <v>692</v>
      </c>
      <c r="B560" s="13" t="n">
        <v>46273</v>
      </c>
      <c r="C560" s="2" t="s">
        <v>92</v>
      </c>
      <c r="D560" s="2" t="n">
        <v>1</v>
      </c>
      <c r="E560" s="15" t="n">
        <v>0.393055555555556</v>
      </c>
      <c r="F560" s="7" t="n">
        <v>4000</v>
      </c>
      <c r="G560" s="7" t="n">
        <f aca="false">D560*F560</f>
        <v>4000</v>
      </c>
      <c r="H560" s="2" t="str">
        <f aca="false">INDEX(Daftar_Menu!$B$2:$B$13,MATCH(C560,Daftar_Menu!$A$2:$A$13,0))</f>
        <v>Minuman</v>
      </c>
      <c r="I560" s="2" t="str">
        <f aca="false">CHOOSE(WEEKDAY(B560,2),"Senin","Selasa","Rabu","Kamis","Jumat","Sabtu","Minggu")</f>
        <v>Selasa</v>
      </c>
      <c r="J560" s="2" t="n">
        <f aca="false">HOUR(E560)</f>
        <v>9</v>
      </c>
      <c r="K560" s="2" t="str">
        <f aca="false">IF(J560&lt;11,"Pagi",IF(J560&lt;17,"Siang","Malam"))</f>
        <v>Pagi</v>
      </c>
      <c r="L560" s="2" t="n">
        <f aca="false">IF(A560&lt;&gt;A559,1,0)</f>
        <v>0</v>
      </c>
    </row>
    <row r="561" customFormat="false" ht="15" hidden="false" customHeight="false" outlineLevel="0" collapsed="false">
      <c r="A561" s="2" t="s">
        <v>694</v>
      </c>
      <c r="B561" s="13" t="n">
        <v>46273</v>
      </c>
      <c r="C561" s="2" t="s">
        <v>81</v>
      </c>
      <c r="D561" s="2" t="n">
        <v>1</v>
      </c>
      <c r="E561" s="15" t="n">
        <v>0.396527777777778</v>
      </c>
      <c r="F561" s="7" t="n">
        <v>15000</v>
      </c>
      <c r="G561" s="7" t="n">
        <f aca="false">D561*F561</f>
        <v>15000</v>
      </c>
      <c r="H561" s="2" t="str">
        <f aca="false">INDEX(Daftar_Menu!$B$2:$B$13,MATCH(C561,Daftar_Menu!$A$2:$A$13,0))</f>
        <v>Makanan</v>
      </c>
      <c r="I561" s="2" t="str">
        <f aca="false">CHOOSE(WEEKDAY(B561,2),"Senin","Selasa","Rabu","Kamis","Jumat","Sabtu","Minggu")</f>
        <v>Selasa</v>
      </c>
      <c r="J561" s="2" t="n">
        <f aca="false">HOUR(E561)</f>
        <v>9</v>
      </c>
      <c r="K561" s="2" t="str">
        <f aca="false">IF(J561&lt;11,"Pagi",IF(J561&lt;17,"Siang","Malam"))</f>
        <v>Pagi</v>
      </c>
      <c r="L561" s="2" t="n">
        <f aca="false">IF(A561&lt;&gt;A560,1,0)</f>
        <v>1</v>
      </c>
    </row>
    <row r="562" customFormat="false" ht="15" hidden="false" customHeight="false" outlineLevel="0" collapsed="false">
      <c r="A562" s="2" t="s">
        <v>694</v>
      </c>
      <c r="B562" s="13" t="n">
        <v>46273</v>
      </c>
      <c r="C562" s="2" t="s">
        <v>101</v>
      </c>
      <c r="D562" s="2" t="n">
        <v>1</v>
      </c>
      <c r="E562" s="15" t="n">
        <v>0.396527777777778</v>
      </c>
      <c r="F562" s="7" t="n">
        <v>18000</v>
      </c>
      <c r="G562" s="7" t="n">
        <f aca="false">D562*F562</f>
        <v>18000</v>
      </c>
      <c r="H562" s="2" t="str">
        <f aca="false">INDEX(Daftar_Menu!$B$2:$B$13,MATCH(C562,Daftar_Menu!$A$2:$A$13,0))</f>
        <v>Makanan</v>
      </c>
      <c r="I562" s="2" t="str">
        <f aca="false">CHOOSE(WEEKDAY(B562,2),"Senin","Selasa","Rabu","Kamis","Jumat","Sabtu","Minggu")</f>
        <v>Selasa</v>
      </c>
      <c r="J562" s="2" t="n">
        <f aca="false">HOUR(E562)</f>
        <v>9</v>
      </c>
      <c r="K562" s="2" t="str">
        <f aca="false">IF(J562&lt;11,"Pagi",IF(J562&lt;17,"Siang","Malam"))</f>
        <v>Pagi</v>
      </c>
      <c r="L562" s="2" t="n">
        <f aca="false">IF(A562&lt;&gt;A561,1,0)</f>
        <v>0</v>
      </c>
    </row>
    <row r="563" customFormat="false" ht="15" hidden="false" customHeight="false" outlineLevel="0" collapsed="false">
      <c r="A563" s="2" t="s">
        <v>696</v>
      </c>
      <c r="B563" s="13" t="n">
        <v>46273</v>
      </c>
      <c r="C563" s="2" t="s">
        <v>101</v>
      </c>
      <c r="D563" s="2" t="n">
        <v>1</v>
      </c>
      <c r="E563" s="15" t="n">
        <v>0.399305555555556</v>
      </c>
      <c r="F563" s="7" t="n">
        <v>18000</v>
      </c>
      <c r="G563" s="7" t="n">
        <f aca="false">D563*F563</f>
        <v>18000</v>
      </c>
      <c r="H563" s="2" t="str">
        <f aca="false">INDEX(Daftar_Menu!$B$2:$B$13,MATCH(C563,Daftar_Menu!$A$2:$A$13,0))</f>
        <v>Makanan</v>
      </c>
      <c r="I563" s="2" t="str">
        <f aca="false">CHOOSE(WEEKDAY(B563,2),"Senin","Selasa","Rabu","Kamis","Jumat","Sabtu","Minggu")</f>
        <v>Selasa</v>
      </c>
      <c r="J563" s="2" t="n">
        <f aca="false">HOUR(E563)</f>
        <v>9</v>
      </c>
      <c r="K563" s="2" t="str">
        <f aca="false">IF(J563&lt;11,"Pagi",IF(J563&lt;17,"Siang","Malam"))</f>
        <v>Pagi</v>
      </c>
      <c r="L563" s="2" t="n">
        <f aca="false">IF(A563&lt;&gt;A562,1,0)</f>
        <v>1</v>
      </c>
    </row>
    <row r="564" customFormat="false" ht="15" hidden="false" customHeight="false" outlineLevel="0" collapsed="false">
      <c r="A564" s="2" t="s">
        <v>698</v>
      </c>
      <c r="B564" s="13" t="n">
        <v>46273</v>
      </c>
      <c r="C564" s="2" t="s">
        <v>101</v>
      </c>
      <c r="D564" s="2" t="n">
        <v>1</v>
      </c>
      <c r="E564" s="15" t="n">
        <v>0.468055555555556</v>
      </c>
      <c r="F564" s="7" t="n">
        <v>18000</v>
      </c>
      <c r="G564" s="7" t="n">
        <f aca="false">D564*F564</f>
        <v>18000</v>
      </c>
      <c r="H564" s="2" t="str">
        <f aca="false">INDEX(Daftar_Menu!$B$2:$B$13,MATCH(C564,Daftar_Menu!$A$2:$A$13,0))</f>
        <v>Makanan</v>
      </c>
      <c r="I564" s="2" t="str">
        <f aca="false">CHOOSE(WEEKDAY(B564,2),"Senin","Selasa","Rabu","Kamis","Jumat","Sabtu","Minggu")</f>
        <v>Selasa</v>
      </c>
      <c r="J564" s="2" t="n">
        <f aca="false">HOUR(E564)</f>
        <v>11</v>
      </c>
      <c r="K564" s="2" t="str">
        <f aca="false">IF(J564&lt;11,"Pagi",IF(J564&lt;17,"Siang","Malam"))</f>
        <v>Siang</v>
      </c>
      <c r="L564" s="2" t="n">
        <f aca="false">IF(A564&lt;&gt;A563,1,0)</f>
        <v>1</v>
      </c>
    </row>
    <row r="565" customFormat="false" ht="15" hidden="false" customHeight="false" outlineLevel="0" collapsed="false">
      <c r="A565" s="2" t="s">
        <v>700</v>
      </c>
      <c r="B565" s="13" t="n">
        <v>46273</v>
      </c>
      <c r="C565" s="2" t="s">
        <v>84</v>
      </c>
      <c r="D565" s="2" t="n">
        <v>1</v>
      </c>
      <c r="E565" s="15" t="n">
        <v>0.470138888888889</v>
      </c>
      <c r="F565" s="7" t="n">
        <v>5000</v>
      </c>
      <c r="G565" s="7" t="n">
        <f aca="false">D565*F565</f>
        <v>5000</v>
      </c>
      <c r="H565" s="2" t="str">
        <f aca="false">INDEX(Daftar_Menu!$B$2:$B$13,MATCH(C565,Daftar_Menu!$A$2:$A$13,0))</f>
        <v>Minuman</v>
      </c>
      <c r="I565" s="2" t="str">
        <f aca="false">CHOOSE(WEEKDAY(B565,2),"Senin","Selasa","Rabu","Kamis","Jumat","Sabtu","Minggu")</f>
        <v>Selasa</v>
      </c>
      <c r="J565" s="2" t="n">
        <f aca="false">HOUR(E565)</f>
        <v>11</v>
      </c>
      <c r="K565" s="2" t="str">
        <f aca="false">IF(J565&lt;11,"Pagi",IF(J565&lt;17,"Siang","Malam"))</f>
        <v>Siang</v>
      </c>
      <c r="L565" s="2" t="n">
        <f aca="false">IF(A565&lt;&gt;A564,1,0)</f>
        <v>1</v>
      </c>
    </row>
    <row r="566" customFormat="false" ht="15" hidden="false" customHeight="false" outlineLevel="0" collapsed="false">
      <c r="A566" s="2" t="s">
        <v>701</v>
      </c>
      <c r="B566" s="13" t="n">
        <v>46273</v>
      </c>
      <c r="C566" s="2" t="s">
        <v>82</v>
      </c>
      <c r="D566" s="2" t="n">
        <v>1</v>
      </c>
      <c r="E566" s="15" t="n">
        <v>0.479166666666667</v>
      </c>
      <c r="F566" s="7" t="n">
        <v>13000</v>
      </c>
      <c r="G566" s="7" t="n">
        <f aca="false">D566*F566</f>
        <v>13000</v>
      </c>
      <c r="H566" s="2" t="str">
        <f aca="false">INDEX(Daftar_Menu!$B$2:$B$13,MATCH(C566,Daftar_Menu!$A$2:$A$13,0))</f>
        <v>Makanan</v>
      </c>
      <c r="I566" s="2" t="str">
        <f aca="false">CHOOSE(WEEKDAY(B566,2),"Senin","Selasa","Rabu","Kamis","Jumat","Sabtu","Minggu")</f>
        <v>Selasa</v>
      </c>
      <c r="J566" s="2" t="n">
        <f aca="false">HOUR(E566)</f>
        <v>11</v>
      </c>
      <c r="K566" s="2" t="str">
        <f aca="false">IF(J566&lt;11,"Pagi",IF(J566&lt;17,"Siang","Malam"))</f>
        <v>Siang</v>
      </c>
      <c r="L566" s="2" t="n">
        <f aca="false">IF(A566&lt;&gt;A565,1,0)</f>
        <v>1</v>
      </c>
    </row>
    <row r="567" customFormat="false" ht="15" hidden="false" customHeight="false" outlineLevel="0" collapsed="false">
      <c r="A567" s="2" t="s">
        <v>701</v>
      </c>
      <c r="B567" s="13" t="n">
        <v>46273</v>
      </c>
      <c r="C567" s="2" t="s">
        <v>79</v>
      </c>
      <c r="D567" s="2" t="n">
        <v>1</v>
      </c>
      <c r="E567" s="15" t="n">
        <v>0.479166666666667</v>
      </c>
      <c r="F567" s="7" t="n">
        <v>16000</v>
      </c>
      <c r="G567" s="7" t="n">
        <f aca="false">D567*F567</f>
        <v>16000</v>
      </c>
      <c r="H567" s="2" t="str">
        <f aca="false">INDEX(Daftar_Menu!$B$2:$B$13,MATCH(C567,Daftar_Menu!$A$2:$A$13,0))</f>
        <v>Makanan</v>
      </c>
      <c r="I567" s="2" t="str">
        <f aca="false">CHOOSE(WEEKDAY(B567,2),"Senin","Selasa","Rabu","Kamis","Jumat","Sabtu","Minggu")</f>
        <v>Selasa</v>
      </c>
      <c r="J567" s="2" t="n">
        <f aca="false">HOUR(E567)</f>
        <v>11</v>
      </c>
      <c r="K567" s="2" t="str">
        <f aca="false">IF(J567&lt;11,"Pagi",IF(J567&lt;17,"Siang","Malam"))</f>
        <v>Siang</v>
      </c>
      <c r="L567" s="2" t="n">
        <f aca="false">IF(A567&lt;&gt;A566,1,0)</f>
        <v>0</v>
      </c>
    </row>
    <row r="568" customFormat="false" ht="15" hidden="false" customHeight="false" outlineLevel="0" collapsed="false">
      <c r="A568" s="2" t="s">
        <v>703</v>
      </c>
      <c r="B568" s="13" t="n">
        <v>46273</v>
      </c>
      <c r="C568" s="2" t="s">
        <v>81</v>
      </c>
      <c r="D568" s="2" t="n">
        <v>2</v>
      </c>
      <c r="E568" s="15" t="n">
        <v>0.488194444444444</v>
      </c>
      <c r="F568" s="7" t="n">
        <v>15000</v>
      </c>
      <c r="G568" s="7" t="n">
        <f aca="false">D568*F568</f>
        <v>30000</v>
      </c>
      <c r="H568" s="2" t="str">
        <f aca="false">INDEX(Daftar_Menu!$B$2:$B$13,MATCH(C568,Daftar_Menu!$A$2:$A$13,0))</f>
        <v>Makanan</v>
      </c>
      <c r="I568" s="2" t="str">
        <f aca="false">CHOOSE(WEEKDAY(B568,2),"Senin","Selasa","Rabu","Kamis","Jumat","Sabtu","Minggu")</f>
        <v>Selasa</v>
      </c>
      <c r="J568" s="2" t="n">
        <f aca="false">HOUR(E568)</f>
        <v>11</v>
      </c>
      <c r="K568" s="2" t="str">
        <f aca="false">IF(J568&lt;11,"Pagi",IF(J568&lt;17,"Siang","Malam"))</f>
        <v>Siang</v>
      </c>
      <c r="L568" s="2" t="n">
        <f aca="false">IF(A568&lt;&gt;A567,1,0)</f>
        <v>1</v>
      </c>
    </row>
    <row r="569" customFormat="false" ht="15" hidden="false" customHeight="false" outlineLevel="0" collapsed="false">
      <c r="A569" s="2" t="s">
        <v>703</v>
      </c>
      <c r="B569" s="13" t="n">
        <v>46273</v>
      </c>
      <c r="C569" s="2" t="s">
        <v>89</v>
      </c>
      <c r="D569" s="2" t="n">
        <v>1</v>
      </c>
      <c r="E569" s="15" t="n">
        <v>0.488194444444444</v>
      </c>
      <c r="F569" s="7" t="n">
        <v>14000</v>
      </c>
      <c r="G569" s="7" t="n">
        <f aca="false">D569*F569</f>
        <v>14000</v>
      </c>
      <c r="H569" s="2" t="str">
        <f aca="false">INDEX(Daftar_Menu!$B$2:$B$13,MATCH(C569,Daftar_Menu!$A$2:$A$13,0))</f>
        <v>Makanan</v>
      </c>
      <c r="I569" s="2" t="str">
        <f aca="false">CHOOSE(WEEKDAY(B569,2),"Senin","Selasa","Rabu","Kamis","Jumat","Sabtu","Minggu")</f>
        <v>Selasa</v>
      </c>
      <c r="J569" s="2" t="n">
        <f aca="false">HOUR(E569)</f>
        <v>11</v>
      </c>
      <c r="K569" s="2" t="str">
        <f aca="false">IF(J569&lt;11,"Pagi",IF(J569&lt;17,"Siang","Malam"))</f>
        <v>Siang</v>
      </c>
      <c r="L569" s="2" t="n">
        <f aca="false">IF(A569&lt;&gt;A568,1,0)</f>
        <v>0</v>
      </c>
    </row>
    <row r="570" customFormat="false" ht="15" hidden="false" customHeight="false" outlineLevel="0" collapsed="false">
      <c r="A570" s="2" t="s">
        <v>703</v>
      </c>
      <c r="B570" s="13" t="n">
        <v>46273</v>
      </c>
      <c r="C570" s="2" t="s">
        <v>112</v>
      </c>
      <c r="D570" s="2" t="n">
        <v>1</v>
      </c>
      <c r="E570" s="15" t="n">
        <v>0.488194444444444</v>
      </c>
      <c r="F570" s="7" t="n">
        <v>10000</v>
      </c>
      <c r="G570" s="7" t="n">
        <f aca="false">D570*F570</f>
        <v>10000</v>
      </c>
      <c r="H570" s="2" t="str">
        <f aca="false">INDEX(Daftar_Menu!$B$2:$B$13,MATCH(C570,Daftar_Menu!$A$2:$A$13,0))</f>
        <v>Minuman</v>
      </c>
      <c r="I570" s="2" t="str">
        <f aca="false">CHOOSE(WEEKDAY(B570,2),"Senin","Selasa","Rabu","Kamis","Jumat","Sabtu","Minggu")</f>
        <v>Selasa</v>
      </c>
      <c r="J570" s="2" t="n">
        <f aca="false">HOUR(E570)</f>
        <v>11</v>
      </c>
      <c r="K570" s="2" t="str">
        <f aca="false">IF(J570&lt;11,"Pagi",IF(J570&lt;17,"Siang","Malam"))</f>
        <v>Siang</v>
      </c>
      <c r="L570" s="2" t="n">
        <f aca="false">IF(A570&lt;&gt;A569,1,0)</f>
        <v>0</v>
      </c>
    </row>
    <row r="571" customFormat="false" ht="15" hidden="false" customHeight="false" outlineLevel="0" collapsed="false">
      <c r="A571" s="2" t="s">
        <v>704</v>
      </c>
      <c r="B571" s="13" t="n">
        <v>46273</v>
      </c>
      <c r="C571" s="2" t="s">
        <v>101</v>
      </c>
      <c r="D571" s="2" t="n">
        <v>1</v>
      </c>
      <c r="E571" s="15" t="n">
        <v>0.511111111111111</v>
      </c>
      <c r="F571" s="7" t="n">
        <v>18000</v>
      </c>
      <c r="G571" s="7" t="n">
        <f aca="false">D571*F571</f>
        <v>18000</v>
      </c>
      <c r="H571" s="2" t="str">
        <f aca="false">INDEX(Daftar_Menu!$B$2:$B$13,MATCH(C571,Daftar_Menu!$A$2:$A$13,0))</f>
        <v>Makanan</v>
      </c>
      <c r="I571" s="2" t="str">
        <f aca="false">CHOOSE(WEEKDAY(B571,2),"Senin","Selasa","Rabu","Kamis","Jumat","Sabtu","Minggu")</f>
        <v>Selasa</v>
      </c>
      <c r="J571" s="2" t="n">
        <f aca="false">HOUR(E571)</f>
        <v>12</v>
      </c>
      <c r="K571" s="2" t="str">
        <f aca="false">IF(J571&lt;11,"Pagi",IF(J571&lt;17,"Siang","Malam"))</f>
        <v>Siang</v>
      </c>
      <c r="L571" s="2" t="n">
        <f aca="false">IF(A571&lt;&gt;A570,1,0)</f>
        <v>1</v>
      </c>
    </row>
    <row r="572" customFormat="false" ht="15" hidden="false" customHeight="false" outlineLevel="0" collapsed="false">
      <c r="A572" s="2" t="s">
        <v>706</v>
      </c>
      <c r="B572" s="13" t="n">
        <v>46273</v>
      </c>
      <c r="C572" s="2" t="s">
        <v>92</v>
      </c>
      <c r="D572" s="2" t="n">
        <v>2</v>
      </c>
      <c r="E572" s="15" t="n">
        <v>0.514583333333333</v>
      </c>
      <c r="F572" s="7" t="n">
        <v>4000</v>
      </c>
      <c r="G572" s="7" t="n">
        <f aca="false">D572*F572</f>
        <v>8000</v>
      </c>
      <c r="H572" s="2" t="str">
        <f aca="false">INDEX(Daftar_Menu!$B$2:$B$13,MATCH(C572,Daftar_Menu!$A$2:$A$13,0))</f>
        <v>Minuman</v>
      </c>
      <c r="I572" s="2" t="str">
        <f aca="false">CHOOSE(WEEKDAY(B572,2),"Senin","Selasa","Rabu","Kamis","Jumat","Sabtu","Minggu")</f>
        <v>Selasa</v>
      </c>
      <c r="J572" s="2" t="n">
        <f aca="false">HOUR(E572)</f>
        <v>12</v>
      </c>
      <c r="K572" s="2" t="str">
        <f aca="false">IF(J572&lt;11,"Pagi",IF(J572&lt;17,"Siang","Malam"))</f>
        <v>Siang</v>
      </c>
      <c r="L572" s="2" t="n">
        <f aca="false">IF(A572&lt;&gt;A571,1,0)</f>
        <v>1</v>
      </c>
    </row>
    <row r="573" customFormat="false" ht="15" hidden="false" customHeight="false" outlineLevel="0" collapsed="false">
      <c r="A573" s="2" t="s">
        <v>706</v>
      </c>
      <c r="B573" s="13" t="n">
        <v>46273</v>
      </c>
      <c r="C573" s="2" t="s">
        <v>108</v>
      </c>
      <c r="D573" s="2" t="n">
        <v>2</v>
      </c>
      <c r="E573" s="15" t="n">
        <v>0.514583333333333</v>
      </c>
      <c r="F573" s="7" t="n">
        <v>20000</v>
      </c>
      <c r="G573" s="7" t="n">
        <f aca="false">D573*F573</f>
        <v>40000</v>
      </c>
      <c r="H573" s="2" t="str">
        <f aca="false">INDEX(Daftar_Menu!$B$2:$B$13,MATCH(C573,Daftar_Menu!$A$2:$A$13,0))</f>
        <v>Makanan</v>
      </c>
      <c r="I573" s="2" t="str">
        <f aca="false">CHOOSE(WEEKDAY(B573,2),"Senin","Selasa","Rabu","Kamis","Jumat","Sabtu","Minggu")</f>
        <v>Selasa</v>
      </c>
      <c r="J573" s="2" t="n">
        <f aca="false">HOUR(E573)</f>
        <v>12</v>
      </c>
      <c r="K573" s="2" t="str">
        <f aca="false">IF(J573&lt;11,"Pagi",IF(J573&lt;17,"Siang","Malam"))</f>
        <v>Siang</v>
      </c>
      <c r="L573" s="2" t="n">
        <f aca="false">IF(A573&lt;&gt;A572,1,0)</f>
        <v>0</v>
      </c>
    </row>
    <row r="574" customFormat="false" ht="15" hidden="false" customHeight="false" outlineLevel="0" collapsed="false">
      <c r="A574" s="2" t="s">
        <v>707</v>
      </c>
      <c r="B574" s="13" t="n">
        <v>46273</v>
      </c>
      <c r="C574" s="2" t="s">
        <v>186</v>
      </c>
      <c r="D574" s="2" t="n">
        <v>1</v>
      </c>
      <c r="E574" s="15" t="n">
        <v>0.515277777777778</v>
      </c>
      <c r="F574" s="7" t="n">
        <v>7000</v>
      </c>
      <c r="G574" s="7" t="n">
        <f aca="false">D574*F574</f>
        <v>7000</v>
      </c>
      <c r="H574" s="2" t="str">
        <f aca="false">INDEX(Daftar_Menu!$B$2:$B$13,MATCH(C574,Daftar_Menu!$A$2:$A$13,0))</f>
        <v>Minuman</v>
      </c>
      <c r="I574" s="2" t="str">
        <f aca="false">CHOOSE(WEEKDAY(B574,2),"Senin","Selasa","Rabu","Kamis","Jumat","Sabtu","Minggu")</f>
        <v>Selasa</v>
      </c>
      <c r="J574" s="2" t="n">
        <f aca="false">HOUR(E574)</f>
        <v>12</v>
      </c>
      <c r="K574" s="2" t="str">
        <f aca="false">IF(J574&lt;11,"Pagi",IF(J574&lt;17,"Siang","Malam"))</f>
        <v>Siang</v>
      </c>
      <c r="L574" s="2" t="n">
        <f aca="false">IF(A574&lt;&gt;A573,1,0)</f>
        <v>1</v>
      </c>
    </row>
    <row r="575" customFormat="false" ht="15" hidden="false" customHeight="false" outlineLevel="0" collapsed="false">
      <c r="A575" s="2" t="s">
        <v>707</v>
      </c>
      <c r="B575" s="13" t="n">
        <v>46273</v>
      </c>
      <c r="C575" s="2" t="s">
        <v>101</v>
      </c>
      <c r="D575" s="2" t="n">
        <v>1</v>
      </c>
      <c r="E575" s="15" t="n">
        <v>0.515277777777778</v>
      </c>
      <c r="F575" s="7" t="n">
        <v>18000</v>
      </c>
      <c r="G575" s="7" t="n">
        <f aca="false">D575*F575</f>
        <v>18000</v>
      </c>
      <c r="H575" s="2" t="str">
        <f aca="false">INDEX(Daftar_Menu!$B$2:$B$13,MATCH(C575,Daftar_Menu!$A$2:$A$13,0))</f>
        <v>Makanan</v>
      </c>
      <c r="I575" s="2" t="str">
        <f aca="false">CHOOSE(WEEKDAY(B575,2),"Senin","Selasa","Rabu","Kamis","Jumat","Sabtu","Minggu")</f>
        <v>Selasa</v>
      </c>
      <c r="J575" s="2" t="n">
        <f aca="false">HOUR(E575)</f>
        <v>12</v>
      </c>
      <c r="K575" s="2" t="str">
        <f aca="false">IF(J575&lt;11,"Pagi",IF(J575&lt;17,"Siang","Malam"))</f>
        <v>Siang</v>
      </c>
      <c r="L575" s="2" t="n">
        <f aca="false">IF(A575&lt;&gt;A574,1,0)</f>
        <v>0</v>
      </c>
    </row>
    <row r="576" customFormat="false" ht="15" hidden="false" customHeight="false" outlineLevel="0" collapsed="false">
      <c r="A576" s="2" t="s">
        <v>709</v>
      </c>
      <c r="B576" s="13" t="n">
        <v>46273</v>
      </c>
      <c r="C576" s="2" t="s">
        <v>89</v>
      </c>
      <c r="D576" s="2" t="n">
        <v>1</v>
      </c>
      <c r="E576" s="15" t="n">
        <v>0.520833333333333</v>
      </c>
      <c r="F576" s="7" t="n">
        <v>14000</v>
      </c>
      <c r="G576" s="7" t="n">
        <f aca="false">D576*F576</f>
        <v>14000</v>
      </c>
      <c r="H576" s="2" t="str">
        <f aca="false">INDEX(Daftar_Menu!$B$2:$B$13,MATCH(C576,Daftar_Menu!$A$2:$A$13,0))</f>
        <v>Makanan</v>
      </c>
      <c r="I576" s="2" t="str">
        <f aca="false">CHOOSE(WEEKDAY(B576,2),"Senin","Selasa","Rabu","Kamis","Jumat","Sabtu","Minggu")</f>
        <v>Selasa</v>
      </c>
      <c r="J576" s="2" t="n">
        <f aca="false">HOUR(E576)</f>
        <v>12</v>
      </c>
      <c r="K576" s="2" t="str">
        <f aca="false">IF(J576&lt;11,"Pagi",IF(J576&lt;17,"Siang","Malam"))</f>
        <v>Siang</v>
      </c>
      <c r="L576" s="2" t="n">
        <f aca="false">IF(A576&lt;&gt;A575,1,0)</f>
        <v>1</v>
      </c>
    </row>
    <row r="577" customFormat="false" ht="15" hidden="false" customHeight="false" outlineLevel="0" collapsed="false">
      <c r="A577" s="2" t="s">
        <v>709</v>
      </c>
      <c r="B577" s="13" t="n">
        <v>46273</v>
      </c>
      <c r="C577" s="2" t="s">
        <v>81</v>
      </c>
      <c r="D577" s="2" t="n">
        <v>2</v>
      </c>
      <c r="E577" s="15" t="n">
        <v>0.520833333333333</v>
      </c>
      <c r="F577" s="7" t="n">
        <v>15000</v>
      </c>
      <c r="G577" s="7" t="n">
        <f aca="false">D577*F577</f>
        <v>30000</v>
      </c>
      <c r="H577" s="2" t="str">
        <f aca="false">INDEX(Daftar_Menu!$B$2:$B$13,MATCH(C577,Daftar_Menu!$A$2:$A$13,0))</f>
        <v>Makanan</v>
      </c>
      <c r="I577" s="2" t="str">
        <f aca="false">CHOOSE(WEEKDAY(B577,2),"Senin","Selasa","Rabu","Kamis","Jumat","Sabtu","Minggu")</f>
        <v>Selasa</v>
      </c>
      <c r="J577" s="2" t="n">
        <f aca="false">HOUR(E577)</f>
        <v>12</v>
      </c>
      <c r="K577" s="2" t="str">
        <f aca="false">IF(J577&lt;11,"Pagi",IF(J577&lt;17,"Siang","Malam"))</f>
        <v>Siang</v>
      </c>
      <c r="L577" s="2" t="n">
        <f aca="false">IF(A577&lt;&gt;A576,1,0)</f>
        <v>0</v>
      </c>
    </row>
    <row r="578" customFormat="false" ht="15" hidden="false" customHeight="false" outlineLevel="0" collapsed="false">
      <c r="A578" s="2" t="s">
        <v>710</v>
      </c>
      <c r="B578" s="13" t="n">
        <v>46273</v>
      </c>
      <c r="C578" s="2" t="s">
        <v>84</v>
      </c>
      <c r="D578" s="2" t="n">
        <v>1</v>
      </c>
      <c r="E578" s="15" t="n">
        <v>0.520833333333333</v>
      </c>
      <c r="F578" s="7" t="n">
        <v>5000</v>
      </c>
      <c r="G578" s="7" t="n">
        <f aca="false">D578*F578</f>
        <v>5000</v>
      </c>
      <c r="H578" s="2" t="str">
        <f aca="false">INDEX(Daftar_Menu!$B$2:$B$13,MATCH(C578,Daftar_Menu!$A$2:$A$13,0))</f>
        <v>Minuman</v>
      </c>
      <c r="I578" s="2" t="str">
        <f aca="false">CHOOSE(WEEKDAY(B578,2),"Senin","Selasa","Rabu","Kamis","Jumat","Sabtu","Minggu")</f>
        <v>Selasa</v>
      </c>
      <c r="J578" s="2" t="n">
        <f aca="false">HOUR(E578)</f>
        <v>12</v>
      </c>
      <c r="K578" s="2" t="str">
        <f aca="false">IF(J578&lt;11,"Pagi",IF(J578&lt;17,"Siang","Malam"))</f>
        <v>Siang</v>
      </c>
      <c r="L578" s="2" t="n">
        <f aca="false">IF(A578&lt;&gt;A577,1,0)</f>
        <v>1</v>
      </c>
    </row>
    <row r="579" customFormat="false" ht="15" hidden="false" customHeight="false" outlineLevel="0" collapsed="false">
      <c r="A579" s="2" t="s">
        <v>711</v>
      </c>
      <c r="B579" s="13" t="n">
        <v>46273</v>
      </c>
      <c r="C579" s="2" t="s">
        <v>132</v>
      </c>
      <c r="D579" s="2" t="n">
        <v>1</v>
      </c>
      <c r="E579" s="15" t="n">
        <v>0.522222222222222</v>
      </c>
      <c r="F579" s="7" t="n">
        <v>15000</v>
      </c>
      <c r="G579" s="7" t="n">
        <f aca="false">D579*F579</f>
        <v>15000</v>
      </c>
      <c r="H579" s="2" t="str">
        <f aca="false">INDEX(Daftar_Menu!$B$2:$B$13,MATCH(C579,Daftar_Menu!$A$2:$A$13,0))</f>
        <v>Makanan</v>
      </c>
      <c r="I579" s="2" t="str">
        <f aca="false">CHOOSE(WEEKDAY(B579,2),"Senin","Selasa","Rabu","Kamis","Jumat","Sabtu","Minggu")</f>
        <v>Selasa</v>
      </c>
      <c r="J579" s="2" t="n">
        <f aca="false">HOUR(E579)</f>
        <v>12</v>
      </c>
      <c r="K579" s="2" t="str">
        <f aca="false">IF(J579&lt;11,"Pagi",IF(J579&lt;17,"Siang","Malam"))</f>
        <v>Siang</v>
      </c>
      <c r="L579" s="2" t="n">
        <f aca="false">IF(A579&lt;&gt;A578,1,0)</f>
        <v>1</v>
      </c>
    </row>
    <row r="580" customFormat="false" ht="15" hidden="false" customHeight="false" outlineLevel="0" collapsed="false">
      <c r="A580" s="2" t="s">
        <v>712</v>
      </c>
      <c r="B580" s="13" t="n">
        <v>46273</v>
      </c>
      <c r="C580" s="2" t="s">
        <v>81</v>
      </c>
      <c r="D580" s="2" t="n">
        <v>2</v>
      </c>
      <c r="E580" s="15" t="n">
        <v>0.538194444444444</v>
      </c>
      <c r="F580" s="7" t="n">
        <v>15000</v>
      </c>
      <c r="G580" s="7" t="n">
        <f aca="false">D580*F580</f>
        <v>30000</v>
      </c>
      <c r="H580" s="2" t="str">
        <f aca="false">INDEX(Daftar_Menu!$B$2:$B$13,MATCH(C580,Daftar_Menu!$A$2:$A$13,0))</f>
        <v>Makanan</v>
      </c>
      <c r="I580" s="2" t="str">
        <f aca="false">CHOOSE(WEEKDAY(B580,2),"Senin","Selasa","Rabu","Kamis","Jumat","Sabtu","Minggu")</f>
        <v>Selasa</v>
      </c>
      <c r="J580" s="2" t="n">
        <f aca="false">HOUR(E580)</f>
        <v>12</v>
      </c>
      <c r="K580" s="2" t="str">
        <f aca="false">IF(J580&lt;11,"Pagi",IF(J580&lt;17,"Siang","Malam"))</f>
        <v>Siang</v>
      </c>
      <c r="L580" s="2" t="n">
        <f aca="false">IF(A580&lt;&gt;A579,1,0)</f>
        <v>1</v>
      </c>
    </row>
    <row r="581" customFormat="false" ht="15" hidden="false" customHeight="false" outlineLevel="0" collapsed="false">
      <c r="A581" s="2" t="s">
        <v>712</v>
      </c>
      <c r="B581" s="13" t="n">
        <v>46273</v>
      </c>
      <c r="C581" s="2" t="s">
        <v>84</v>
      </c>
      <c r="D581" s="2" t="n">
        <v>1</v>
      </c>
      <c r="E581" s="15" t="n">
        <v>0.538194444444444</v>
      </c>
      <c r="F581" s="7" t="n">
        <v>5000</v>
      </c>
      <c r="G581" s="7" t="n">
        <f aca="false">D581*F581</f>
        <v>5000</v>
      </c>
      <c r="H581" s="2" t="str">
        <f aca="false">INDEX(Daftar_Menu!$B$2:$B$13,MATCH(C581,Daftar_Menu!$A$2:$A$13,0))</f>
        <v>Minuman</v>
      </c>
      <c r="I581" s="2" t="str">
        <f aca="false">CHOOSE(WEEKDAY(B581,2),"Senin","Selasa","Rabu","Kamis","Jumat","Sabtu","Minggu")</f>
        <v>Selasa</v>
      </c>
      <c r="J581" s="2" t="n">
        <f aca="false">HOUR(E581)</f>
        <v>12</v>
      </c>
      <c r="K581" s="2" t="str">
        <f aca="false">IF(J581&lt;11,"Pagi",IF(J581&lt;17,"Siang","Malam"))</f>
        <v>Siang</v>
      </c>
      <c r="L581" s="2" t="n">
        <f aca="false">IF(A581&lt;&gt;A580,1,0)</f>
        <v>0</v>
      </c>
    </row>
    <row r="582" customFormat="false" ht="15" hidden="false" customHeight="false" outlineLevel="0" collapsed="false">
      <c r="A582" s="2" t="s">
        <v>714</v>
      </c>
      <c r="B582" s="13" t="n">
        <v>46273</v>
      </c>
      <c r="C582" s="2" t="s">
        <v>81</v>
      </c>
      <c r="D582" s="2" t="n">
        <v>2</v>
      </c>
      <c r="E582" s="15" t="n">
        <v>0.538888888888889</v>
      </c>
      <c r="F582" s="7" t="n">
        <v>15000</v>
      </c>
      <c r="G582" s="7" t="n">
        <f aca="false">D582*F582</f>
        <v>30000</v>
      </c>
      <c r="H582" s="2" t="str">
        <f aca="false">INDEX(Daftar_Menu!$B$2:$B$13,MATCH(C582,Daftar_Menu!$A$2:$A$13,0))</f>
        <v>Makanan</v>
      </c>
      <c r="I582" s="2" t="str">
        <f aca="false">CHOOSE(WEEKDAY(B582,2),"Senin","Selasa","Rabu","Kamis","Jumat","Sabtu","Minggu")</f>
        <v>Selasa</v>
      </c>
      <c r="J582" s="2" t="n">
        <f aca="false">HOUR(E582)</f>
        <v>12</v>
      </c>
      <c r="K582" s="2" t="str">
        <f aca="false">IF(J582&lt;11,"Pagi",IF(J582&lt;17,"Siang","Malam"))</f>
        <v>Siang</v>
      </c>
      <c r="L582" s="2" t="n">
        <f aca="false">IF(A582&lt;&gt;A581,1,0)</f>
        <v>1</v>
      </c>
    </row>
    <row r="583" customFormat="false" ht="15" hidden="false" customHeight="false" outlineLevel="0" collapsed="false">
      <c r="A583" s="2" t="s">
        <v>715</v>
      </c>
      <c r="B583" s="13" t="n">
        <v>46273</v>
      </c>
      <c r="C583" s="2" t="s">
        <v>186</v>
      </c>
      <c r="D583" s="2" t="n">
        <v>1</v>
      </c>
      <c r="E583" s="15" t="n">
        <v>0.544444444444444</v>
      </c>
      <c r="F583" s="7" t="n">
        <v>7000</v>
      </c>
      <c r="G583" s="7" t="n">
        <f aca="false">D583*F583</f>
        <v>7000</v>
      </c>
      <c r="H583" s="2" t="str">
        <f aca="false">INDEX(Daftar_Menu!$B$2:$B$13,MATCH(C583,Daftar_Menu!$A$2:$A$13,0))</f>
        <v>Minuman</v>
      </c>
      <c r="I583" s="2" t="str">
        <f aca="false">CHOOSE(WEEKDAY(B583,2),"Senin","Selasa","Rabu","Kamis","Jumat","Sabtu","Minggu")</f>
        <v>Selasa</v>
      </c>
      <c r="J583" s="2" t="n">
        <f aca="false">HOUR(E583)</f>
        <v>13</v>
      </c>
      <c r="K583" s="2" t="str">
        <f aca="false">IF(J583&lt;11,"Pagi",IF(J583&lt;17,"Siang","Malam"))</f>
        <v>Siang</v>
      </c>
      <c r="L583" s="2" t="n">
        <f aca="false">IF(A583&lt;&gt;A582,1,0)</f>
        <v>1</v>
      </c>
    </row>
    <row r="584" customFormat="false" ht="15" hidden="false" customHeight="false" outlineLevel="0" collapsed="false">
      <c r="A584" s="2" t="s">
        <v>717</v>
      </c>
      <c r="B584" s="13" t="n">
        <v>46273</v>
      </c>
      <c r="C584" s="2" t="s">
        <v>126</v>
      </c>
      <c r="D584" s="2" t="n">
        <v>1</v>
      </c>
      <c r="E584" s="15" t="n">
        <v>0.544444444444444</v>
      </c>
      <c r="F584" s="7" t="n">
        <v>3000</v>
      </c>
      <c r="G584" s="7" t="n">
        <f aca="false">D584*F584</f>
        <v>3000</v>
      </c>
      <c r="H584" s="2" t="str">
        <f aca="false">INDEX(Daftar_Menu!$B$2:$B$13,MATCH(C584,Daftar_Menu!$A$2:$A$13,0))</f>
        <v>Minuman</v>
      </c>
      <c r="I584" s="2" t="str">
        <f aca="false">CHOOSE(WEEKDAY(B584,2),"Senin","Selasa","Rabu","Kamis","Jumat","Sabtu","Minggu")</f>
        <v>Selasa</v>
      </c>
      <c r="J584" s="2" t="n">
        <f aca="false">HOUR(E584)</f>
        <v>13</v>
      </c>
      <c r="K584" s="2" t="str">
        <f aca="false">IF(J584&lt;11,"Pagi",IF(J584&lt;17,"Siang","Malam"))</f>
        <v>Siang</v>
      </c>
      <c r="L584" s="2" t="n">
        <f aca="false">IF(A584&lt;&gt;A583,1,0)</f>
        <v>1</v>
      </c>
    </row>
    <row r="585" customFormat="false" ht="15" hidden="false" customHeight="false" outlineLevel="0" collapsed="false">
      <c r="A585" s="2" t="s">
        <v>717</v>
      </c>
      <c r="B585" s="13" t="n">
        <v>46273</v>
      </c>
      <c r="C585" s="2" t="s">
        <v>89</v>
      </c>
      <c r="D585" s="2" t="n">
        <v>2</v>
      </c>
      <c r="E585" s="15" t="n">
        <v>0.544444444444444</v>
      </c>
      <c r="F585" s="7" t="n">
        <v>14000</v>
      </c>
      <c r="G585" s="7" t="n">
        <f aca="false">D585*F585</f>
        <v>28000</v>
      </c>
      <c r="H585" s="2" t="str">
        <f aca="false">INDEX(Daftar_Menu!$B$2:$B$13,MATCH(C585,Daftar_Menu!$A$2:$A$13,0))</f>
        <v>Makanan</v>
      </c>
      <c r="I585" s="2" t="str">
        <f aca="false">CHOOSE(WEEKDAY(B585,2),"Senin","Selasa","Rabu","Kamis","Jumat","Sabtu","Minggu")</f>
        <v>Selasa</v>
      </c>
      <c r="J585" s="2" t="n">
        <f aca="false">HOUR(E585)</f>
        <v>13</v>
      </c>
      <c r="K585" s="2" t="str">
        <f aca="false">IF(J585&lt;11,"Pagi",IF(J585&lt;17,"Siang","Malam"))</f>
        <v>Siang</v>
      </c>
      <c r="L585" s="2" t="n">
        <f aca="false">IF(A585&lt;&gt;A584,1,0)</f>
        <v>0</v>
      </c>
    </row>
    <row r="586" customFormat="false" ht="15" hidden="false" customHeight="false" outlineLevel="0" collapsed="false">
      <c r="A586" s="2" t="s">
        <v>718</v>
      </c>
      <c r="B586" s="13" t="n">
        <v>46273</v>
      </c>
      <c r="C586" s="2" t="s">
        <v>132</v>
      </c>
      <c r="D586" s="2" t="n">
        <v>2</v>
      </c>
      <c r="E586" s="15" t="n">
        <v>0.545833333333333</v>
      </c>
      <c r="F586" s="7" t="n">
        <v>15000</v>
      </c>
      <c r="G586" s="7" t="n">
        <f aca="false">D586*F586</f>
        <v>30000</v>
      </c>
      <c r="H586" s="2" t="str">
        <f aca="false">INDEX(Daftar_Menu!$B$2:$B$13,MATCH(C586,Daftar_Menu!$A$2:$A$13,0))</f>
        <v>Makanan</v>
      </c>
      <c r="I586" s="2" t="str">
        <f aca="false">CHOOSE(WEEKDAY(B586,2),"Senin","Selasa","Rabu","Kamis","Jumat","Sabtu","Minggu")</f>
        <v>Selasa</v>
      </c>
      <c r="J586" s="2" t="n">
        <f aca="false">HOUR(E586)</f>
        <v>13</v>
      </c>
      <c r="K586" s="2" t="str">
        <f aca="false">IF(J586&lt;11,"Pagi",IF(J586&lt;17,"Siang","Malam"))</f>
        <v>Siang</v>
      </c>
      <c r="L586" s="2" t="n">
        <f aca="false">IF(A586&lt;&gt;A585,1,0)</f>
        <v>1</v>
      </c>
    </row>
    <row r="587" customFormat="false" ht="15" hidden="false" customHeight="false" outlineLevel="0" collapsed="false">
      <c r="A587" s="2" t="s">
        <v>719</v>
      </c>
      <c r="B587" s="13" t="n">
        <v>46273</v>
      </c>
      <c r="C587" s="2" t="s">
        <v>79</v>
      </c>
      <c r="D587" s="2" t="n">
        <v>2</v>
      </c>
      <c r="E587" s="15" t="n">
        <v>0.550694444444445</v>
      </c>
      <c r="F587" s="7" t="n">
        <v>16000</v>
      </c>
      <c r="G587" s="7" t="n">
        <f aca="false">D587*F587</f>
        <v>32000</v>
      </c>
      <c r="H587" s="2" t="str">
        <f aca="false">INDEX(Daftar_Menu!$B$2:$B$13,MATCH(C587,Daftar_Menu!$A$2:$A$13,0))</f>
        <v>Makanan</v>
      </c>
      <c r="I587" s="2" t="str">
        <f aca="false">CHOOSE(WEEKDAY(B587,2),"Senin","Selasa","Rabu","Kamis","Jumat","Sabtu","Minggu")</f>
        <v>Selasa</v>
      </c>
      <c r="J587" s="2" t="n">
        <f aca="false">HOUR(E587)</f>
        <v>13</v>
      </c>
      <c r="K587" s="2" t="str">
        <f aca="false">IF(J587&lt;11,"Pagi",IF(J587&lt;17,"Siang","Malam"))</f>
        <v>Siang</v>
      </c>
      <c r="L587" s="2" t="n">
        <f aca="false">IF(A587&lt;&gt;A586,1,0)</f>
        <v>1</v>
      </c>
    </row>
    <row r="588" customFormat="false" ht="15" hidden="false" customHeight="false" outlineLevel="0" collapsed="false">
      <c r="A588" s="2" t="s">
        <v>719</v>
      </c>
      <c r="B588" s="13" t="n">
        <v>46273</v>
      </c>
      <c r="C588" s="2" t="s">
        <v>186</v>
      </c>
      <c r="D588" s="2" t="n">
        <v>1</v>
      </c>
      <c r="E588" s="15" t="n">
        <v>0.550694444444445</v>
      </c>
      <c r="F588" s="7" t="n">
        <v>7000</v>
      </c>
      <c r="G588" s="7" t="n">
        <f aca="false">D588*F588</f>
        <v>7000</v>
      </c>
      <c r="H588" s="2" t="str">
        <f aca="false">INDEX(Daftar_Menu!$B$2:$B$13,MATCH(C588,Daftar_Menu!$A$2:$A$13,0))</f>
        <v>Minuman</v>
      </c>
      <c r="I588" s="2" t="str">
        <f aca="false">CHOOSE(WEEKDAY(B588,2),"Senin","Selasa","Rabu","Kamis","Jumat","Sabtu","Minggu")</f>
        <v>Selasa</v>
      </c>
      <c r="J588" s="2" t="n">
        <f aca="false">HOUR(E588)</f>
        <v>13</v>
      </c>
      <c r="K588" s="2" t="str">
        <f aca="false">IF(J588&lt;11,"Pagi",IF(J588&lt;17,"Siang","Malam"))</f>
        <v>Siang</v>
      </c>
      <c r="L588" s="2" t="n">
        <f aca="false">IF(A588&lt;&gt;A587,1,0)</f>
        <v>0</v>
      </c>
    </row>
    <row r="589" customFormat="false" ht="15" hidden="false" customHeight="false" outlineLevel="0" collapsed="false">
      <c r="A589" s="2" t="s">
        <v>720</v>
      </c>
      <c r="B589" s="13" t="n">
        <v>46273</v>
      </c>
      <c r="C589" s="2" t="s">
        <v>108</v>
      </c>
      <c r="D589" s="2" t="n">
        <v>2</v>
      </c>
      <c r="E589" s="15" t="n">
        <v>0.565972222222222</v>
      </c>
      <c r="F589" s="7" t="n">
        <v>20000</v>
      </c>
      <c r="G589" s="7" t="n">
        <f aca="false">D589*F589</f>
        <v>40000</v>
      </c>
      <c r="H589" s="2" t="str">
        <f aca="false">INDEX(Daftar_Menu!$B$2:$B$13,MATCH(C589,Daftar_Menu!$A$2:$A$13,0))</f>
        <v>Makanan</v>
      </c>
      <c r="I589" s="2" t="str">
        <f aca="false">CHOOSE(WEEKDAY(B589,2),"Senin","Selasa","Rabu","Kamis","Jumat","Sabtu","Minggu")</f>
        <v>Selasa</v>
      </c>
      <c r="J589" s="2" t="n">
        <f aca="false">HOUR(E589)</f>
        <v>13</v>
      </c>
      <c r="K589" s="2" t="str">
        <f aca="false">IF(J589&lt;11,"Pagi",IF(J589&lt;17,"Siang","Malam"))</f>
        <v>Siang</v>
      </c>
      <c r="L589" s="2" t="n">
        <f aca="false">IF(A589&lt;&gt;A588,1,0)</f>
        <v>1</v>
      </c>
    </row>
    <row r="590" customFormat="false" ht="15" hidden="false" customHeight="false" outlineLevel="0" collapsed="false">
      <c r="A590" s="2" t="s">
        <v>720</v>
      </c>
      <c r="B590" s="13" t="n">
        <v>46273</v>
      </c>
      <c r="C590" s="2" t="s">
        <v>101</v>
      </c>
      <c r="D590" s="2" t="n">
        <v>1</v>
      </c>
      <c r="E590" s="15" t="n">
        <v>0.565972222222222</v>
      </c>
      <c r="F590" s="7" t="n">
        <v>18000</v>
      </c>
      <c r="G590" s="7" t="n">
        <f aca="false">D590*F590</f>
        <v>18000</v>
      </c>
      <c r="H590" s="2" t="str">
        <f aca="false">INDEX(Daftar_Menu!$B$2:$B$13,MATCH(C590,Daftar_Menu!$A$2:$A$13,0))</f>
        <v>Makanan</v>
      </c>
      <c r="I590" s="2" t="str">
        <f aca="false">CHOOSE(WEEKDAY(B590,2),"Senin","Selasa","Rabu","Kamis","Jumat","Sabtu","Minggu")</f>
        <v>Selasa</v>
      </c>
      <c r="J590" s="2" t="n">
        <f aca="false">HOUR(E590)</f>
        <v>13</v>
      </c>
      <c r="K590" s="2" t="str">
        <f aca="false">IF(J590&lt;11,"Pagi",IF(J590&lt;17,"Siang","Malam"))</f>
        <v>Siang</v>
      </c>
      <c r="L590" s="2" t="n">
        <f aca="false">IF(A590&lt;&gt;A589,1,0)</f>
        <v>0</v>
      </c>
    </row>
    <row r="591" customFormat="false" ht="15" hidden="false" customHeight="false" outlineLevel="0" collapsed="false">
      <c r="A591" s="2" t="s">
        <v>720</v>
      </c>
      <c r="B591" s="13" t="n">
        <v>46273</v>
      </c>
      <c r="C591" s="2" t="s">
        <v>82</v>
      </c>
      <c r="D591" s="2" t="n">
        <v>1</v>
      </c>
      <c r="E591" s="15" t="n">
        <v>0.565972222222222</v>
      </c>
      <c r="F591" s="7" t="n">
        <v>13000</v>
      </c>
      <c r="G591" s="7" t="n">
        <f aca="false">D591*F591</f>
        <v>13000</v>
      </c>
      <c r="H591" s="2" t="str">
        <f aca="false">INDEX(Daftar_Menu!$B$2:$B$13,MATCH(C591,Daftar_Menu!$A$2:$A$13,0))</f>
        <v>Makanan</v>
      </c>
      <c r="I591" s="2" t="str">
        <f aca="false">CHOOSE(WEEKDAY(B591,2),"Senin","Selasa","Rabu","Kamis","Jumat","Sabtu","Minggu")</f>
        <v>Selasa</v>
      </c>
      <c r="J591" s="2" t="n">
        <f aca="false">HOUR(E591)</f>
        <v>13</v>
      </c>
      <c r="K591" s="2" t="str">
        <f aca="false">IF(J591&lt;11,"Pagi",IF(J591&lt;17,"Siang","Malam"))</f>
        <v>Siang</v>
      </c>
      <c r="L591" s="2" t="n">
        <f aca="false">IF(A591&lt;&gt;A590,1,0)</f>
        <v>0</v>
      </c>
    </row>
    <row r="592" customFormat="false" ht="15" hidden="false" customHeight="false" outlineLevel="0" collapsed="false">
      <c r="A592" s="2" t="s">
        <v>721</v>
      </c>
      <c r="B592" s="13" t="n">
        <v>46273</v>
      </c>
      <c r="C592" s="2" t="s">
        <v>84</v>
      </c>
      <c r="D592" s="2" t="n">
        <v>1</v>
      </c>
      <c r="E592" s="15" t="n">
        <v>0.6125</v>
      </c>
      <c r="F592" s="7" t="n">
        <v>5000</v>
      </c>
      <c r="G592" s="7" t="n">
        <f aca="false">D592*F592</f>
        <v>5000</v>
      </c>
      <c r="H592" s="2" t="str">
        <f aca="false">INDEX(Daftar_Menu!$B$2:$B$13,MATCH(C592,Daftar_Menu!$A$2:$A$13,0))</f>
        <v>Minuman</v>
      </c>
      <c r="I592" s="2" t="str">
        <f aca="false">CHOOSE(WEEKDAY(B592,2),"Senin","Selasa","Rabu","Kamis","Jumat","Sabtu","Minggu")</f>
        <v>Selasa</v>
      </c>
      <c r="J592" s="2" t="n">
        <f aca="false">HOUR(E592)</f>
        <v>14</v>
      </c>
      <c r="K592" s="2" t="str">
        <f aca="false">IF(J592&lt;11,"Pagi",IF(J592&lt;17,"Siang","Malam"))</f>
        <v>Siang</v>
      </c>
      <c r="L592" s="2" t="n">
        <f aca="false">IF(A592&lt;&gt;A591,1,0)</f>
        <v>1</v>
      </c>
    </row>
    <row r="593" customFormat="false" ht="15" hidden="false" customHeight="false" outlineLevel="0" collapsed="false">
      <c r="A593" s="2" t="s">
        <v>723</v>
      </c>
      <c r="B593" s="13" t="n">
        <v>46273</v>
      </c>
      <c r="C593" s="2" t="s">
        <v>89</v>
      </c>
      <c r="D593" s="2" t="n">
        <v>2</v>
      </c>
      <c r="E593" s="15" t="n">
        <v>0.647916666666667</v>
      </c>
      <c r="F593" s="7" t="n">
        <v>14000</v>
      </c>
      <c r="G593" s="7" t="n">
        <f aca="false">D593*F593</f>
        <v>28000</v>
      </c>
      <c r="H593" s="2" t="str">
        <f aca="false">INDEX(Daftar_Menu!$B$2:$B$13,MATCH(C593,Daftar_Menu!$A$2:$A$13,0))</f>
        <v>Makanan</v>
      </c>
      <c r="I593" s="2" t="str">
        <f aca="false">CHOOSE(WEEKDAY(B593,2),"Senin","Selasa","Rabu","Kamis","Jumat","Sabtu","Minggu")</f>
        <v>Selasa</v>
      </c>
      <c r="J593" s="2" t="n">
        <f aca="false">HOUR(E593)</f>
        <v>15</v>
      </c>
      <c r="K593" s="2" t="str">
        <f aca="false">IF(J593&lt;11,"Pagi",IF(J593&lt;17,"Siang","Malam"))</f>
        <v>Siang</v>
      </c>
      <c r="L593" s="2" t="n">
        <f aca="false">IF(A593&lt;&gt;A592,1,0)</f>
        <v>1</v>
      </c>
    </row>
    <row r="594" customFormat="false" ht="15" hidden="false" customHeight="false" outlineLevel="0" collapsed="false">
      <c r="A594" s="2" t="s">
        <v>724</v>
      </c>
      <c r="B594" s="13" t="n">
        <v>46273</v>
      </c>
      <c r="C594" s="2" t="s">
        <v>92</v>
      </c>
      <c r="D594" s="2" t="n">
        <v>1</v>
      </c>
      <c r="E594" s="15" t="n">
        <v>0.650694444444445</v>
      </c>
      <c r="F594" s="7" t="n">
        <v>4000</v>
      </c>
      <c r="G594" s="7" t="n">
        <f aca="false">D594*F594</f>
        <v>4000</v>
      </c>
      <c r="H594" s="2" t="str">
        <f aca="false">INDEX(Daftar_Menu!$B$2:$B$13,MATCH(C594,Daftar_Menu!$A$2:$A$13,0))</f>
        <v>Minuman</v>
      </c>
      <c r="I594" s="2" t="str">
        <f aca="false">CHOOSE(WEEKDAY(B594,2),"Senin","Selasa","Rabu","Kamis","Jumat","Sabtu","Minggu")</f>
        <v>Selasa</v>
      </c>
      <c r="J594" s="2" t="n">
        <f aca="false">HOUR(E594)</f>
        <v>15</v>
      </c>
      <c r="K594" s="2" t="str">
        <f aca="false">IF(J594&lt;11,"Pagi",IF(J594&lt;17,"Siang","Malam"))</f>
        <v>Siang</v>
      </c>
      <c r="L594" s="2" t="n">
        <f aca="false">IF(A594&lt;&gt;A593,1,0)</f>
        <v>1</v>
      </c>
    </row>
    <row r="595" customFormat="false" ht="15" hidden="false" customHeight="false" outlineLevel="0" collapsed="false">
      <c r="A595" s="2" t="s">
        <v>724</v>
      </c>
      <c r="B595" s="13" t="n">
        <v>46273</v>
      </c>
      <c r="C595" s="2" t="s">
        <v>186</v>
      </c>
      <c r="D595" s="2" t="n">
        <v>1</v>
      </c>
      <c r="E595" s="15" t="n">
        <v>0.650694444444445</v>
      </c>
      <c r="F595" s="7" t="n">
        <v>7000</v>
      </c>
      <c r="G595" s="7" t="n">
        <f aca="false">D595*F595</f>
        <v>7000</v>
      </c>
      <c r="H595" s="2" t="str">
        <f aca="false">INDEX(Daftar_Menu!$B$2:$B$13,MATCH(C595,Daftar_Menu!$A$2:$A$13,0))</f>
        <v>Minuman</v>
      </c>
      <c r="I595" s="2" t="str">
        <f aca="false">CHOOSE(WEEKDAY(B595,2),"Senin","Selasa","Rabu","Kamis","Jumat","Sabtu","Minggu")</f>
        <v>Selasa</v>
      </c>
      <c r="J595" s="2" t="n">
        <f aca="false">HOUR(E595)</f>
        <v>15</v>
      </c>
      <c r="K595" s="2" t="str">
        <f aca="false">IF(J595&lt;11,"Pagi",IF(J595&lt;17,"Siang","Malam"))</f>
        <v>Siang</v>
      </c>
      <c r="L595" s="2" t="n">
        <f aca="false">IF(A595&lt;&gt;A594,1,0)</f>
        <v>0</v>
      </c>
    </row>
    <row r="596" customFormat="false" ht="15" hidden="false" customHeight="false" outlineLevel="0" collapsed="false">
      <c r="A596" s="2" t="s">
        <v>726</v>
      </c>
      <c r="B596" s="13" t="n">
        <v>46273</v>
      </c>
      <c r="C596" s="2" t="s">
        <v>112</v>
      </c>
      <c r="D596" s="2" t="n">
        <v>2</v>
      </c>
      <c r="E596" s="15" t="n">
        <v>0.656944444444444</v>
      </c>
      <c r="F596" s="7" t="n">
        <v>10000</v>
      </c>
      <c r="G596" s="7" t="n">
        <f aca="false">D596*F596</f>
        <v>20000</v>
      </c>
      <c r="H596" s="2" t="str">
        <f aca="false">INDEX(Daftar_Menu!$B$2:$B$13,MATCH(C596,Daftar_Menu!$A$2:$A$13,0))</f>
        <v>Minuman</v>
      </c>
      <c r="I596" s="2" t="str">
        <f aca="false">CHOOSE(WEEKDAY(B596,2),"Senin","Selasa","Rabu","Kamis","Jumat","Sabtu","Minggu")</f>
        <v>Selasa</v>
      </c>
      <c r="J596" s="2" t="n">
        <f aca="false">HOUR(E596)</f>
        <v>15</v>
      </c>
      <c r="K596" s="2" t="str">
        <f aca="false">IF(J596&lt;11,"Pagi",IF(J596&lt;17,"Siang","Malam"))</f>
        <v>Siang</v>
      </c>
      <c r="L596" s="2" t="n">
        <f aca="false">IF(A596&lt;&gt;A595,1,0)</f>
        <v>1</v>
      </c>
    </row>
    <row r="597" customFormat="false" ht="15" hidden="false" customHeight="false" outlineLevel="0" collapsed="false">
      <c r="A597" s="2" t="s">
        <v>726</v>
      </c>
      <c r="B597" s="13" t="n">
        <v>46273</v>
      </c>
      <c r="C597" s="2" t="s">
        <v>101</v>
      </c>
      <c r="D597" s="2" t="n">
        <v>1</v>
      </c>
      <c r="E597" s="15" t="n">
        <v>0.656944444444444</v>
      </c>
      <c r="F597" s="7" t="n">
        <v>18000</v>
      </c>
      <c r="G597" s="7" t="n">
        <f aca="false">D597*F597</f>
        <v>18000</v>
      </c>
      <c r="H597" s="2" t="str">
        <f aca="false">INDEX(Daftar_Menu!$B$2:$B$13,MATCH(C597,Daftar_Menu!$A$2:$A$13,0))</f>
        <v>Makanan</v>
      </c>
      <c r="I597" s="2" t="str">
        <f aca="false">CHOOSE(WEEKDAY(B597,2),"Senin","Selasa","Rabu","Kamis","Jumat","Sabtu","Minggu")</f>
        <v>Selasa</v>
      </c>
      <c r="J597" s="2" t="n">
        <f aca="false">HOUR(E597)</f>
        <v>15</v>
      </c>
      <c r="K597" s="2" t="str">
        <f aca="false">IF(J597&lt;11,"Pagi",IF(J597&lt;17,"Siang","Malam"))</f>
        <v>Siang</v>
      </c>
      <c r="L597" s="2" t="n">
        <f aca="false">IF(A597&lt;&gt;A596,1,0)</f>
        <v>0</v>
      </c>
    </row>
    <row r="598" customFormat="false" ht="15" hidden="false" customHeight="false" outlineLevel="0" collapsed="false">
      <c r="A598" s="2" t="s">
        <v>727</v>
      </c>
      <c r="B598" s="13" t="n">
        <v>46273</v>
      </c>
      <c r="C598" s="2" t="s">
        <v>101</v>
      </c>
      <c r="D598" s="2" t="n">
        <v>1</v>
      </c>
      <c r="E598" s="15" t="n">
        <v>0.659722222222222</v>
      </c>
      <c r="F598" s="7" t="n">
        <v>18000</v>
      </c>
      <c r="G598" s="7" t="n">
        <f aca="false">D598*F598</f>
        <v>18000</v>
      </c>
      <c r="H598" s="2" t="str">
        <f aca="false">INDEX(Daftar_Menu!$B$2:$B$13,MATCH(C598,Daftar_Menu!$A$2:$A$13,0))</f>
        <v>Makanan</v>
      </c>
      <c r="I598" s="2" t="str">
        <f aca="false">CHOOSE(WEEKDAY(B598,2),"Senin","Selasa","Rabu","Kamis","Jumat","Sabtu","Minggu")</f>
        <v>Selasa</v>
      </c>
      <c r="J598" s="2" t="n">
        <f aca="false">HOUR(E598)</f>
        <v>15</v>
      </c>
      <c r="K598" s="2" t="str">
        <f aca="false">IF(J598&lt;11,"Pagi",IF(J598&lt;17,"Siang","Malam"))</f>
        <v>Siang</v>
      </c>
      <c r="L598" s="2" t="n">
        <f aca="false">IF(A598&lt;&gt;A597,1,0)</f>
        <v>1</v>
      </c>
    </row>
    <row r="599" customFormat="false" ht="15" hidden="false" customHeight="false" outlineLevel="0" collapsed="false">
      <c r="A599" s="2" t="s">
        <v>728</v>
      </c>
      <c r="B599" s="13" t="n">
        <v>46273</v>
      </c>
      <c r="C599" s="2" t="s">
        <v>132</v>
      </c>
      <c r="D599" s="2" t="n">
        <v>1</v>
      </c>
      <c r="E599" s="15" t="n">
        <v>0.6625</v>
      </c>
      <c r="F599" s="7" t="n">
        <v>15000</v>
      </c>
      <c r="G599" s="7" t="n">
        <f aca="false">D599*F599</f>
        <v>15000</v>
      </c>
      <c r="H599" s="2" t="str">
        <f aca="false">INDEX(Daftar_Menu!$B$2:$B$13,MATCH(C599,Daftar_Menu!$A$2:$A$13,0))</f>
        <v>Makanan</v>
      </c>
      <c r="I599" s="2" t="str">
        <f aca="false">CHOOSE(WEEKDAY(B599,2),"Senin","Selasa","Rabu","Kamis","Jumat","Sabtu","Minggu")</f>
        <v>Selasa</v>
      </c>
      <c r="J599" s="2" t="n">
        <f aca="false">HOUR(E599)</f>
        <v>15</v>
      </c>
      <c r="K599" s="2" t="str">
        <f aca="false">IF(J599&lt;11,"Pagi",IF(J599&lt;17,"Siang","Malam"))</f>
        <v>Siang</v>
      </c>
      <c r="L599" s="2" t="n">
        <f aca="false">IF(A599&lt;&gt;A598,1,0)</f>
        <v>1</v>
      </c>
    </row>
    <row r="600" customFormat="false" ht="15" hidden="false" customHeight="false" outlineLevel="0" collapsed="false">
      <c r="A600" s="2" t="s">
        <v>729</v>
      </c>
      <c r="B600" s="13" t="n">
        <v>46273</v>
      </c>
      <c r="C600" s="2" t="s">
        <v>81</v>
      </c>
      <c r="D600" s="2" t="n">
        <v>1</v>
      </c>
      <c r="E600" s="15" t="n">
        <v>0.663194444444444</v>
      </c>
      <c r="F600" s="7" t="n">
        <v>15000</v>
      </c>
      <c r="G600" s="7" t="n">
        <f aca="false">D600*F600</f>
        <v>15000</v>
      </c>
      <c r="H600" s="2" t="str">
        <f aca="false">INDEX(Daftar_Menu!$B$2:$B$13,MATCH(C600,Daftar_Menu!$A$2:$A$13,0))</f>
        <v>Makanan</v>
      </c>
      <c r="I600" s="2" t="str">
        <f aca="false">CHOOSE(WEEKDAY(B600,2),"Senin","Selasa","Rabu","Kamis","Jumat","Sabtu","Minggu")</f>
        <v>Selasa</v>
      </c>
      <c r="J600" s="2" t="n">
        <f aca="false">HOUR(E600)</f>
        <v>15</v>
      </c>
      <c r="K600" s="2" t="str">
        <f aca="false">IF(J600&lt;11,"Pagi",IF(J600&lt;17,"Siang","Malam"))</f>
        <v>Siang</v>
      </c>
      <c r="L600" s="2" t="n">
        <f aca="false">IF(A600&lt;&gt;A599,1,0)</f>
        <v>1</v>
      </c>
    </row>
    <row r="601" customFormat="false" ht="15" hidden="false" customHeight="false" outlineLevel="0" collapsed="false">
      <c r="A601" s="2" t="s">
        <v>730</v>
      </c>
      <c r="B601" s="13" t="n">
        <v>46273</v>
      </c>
      <c r="C601" s="2" t="s">
        <v>186</v>
      </c>
      <c r="D601" s="2" t="n">
        <v>2</v>
      </c>
      <c r="E601" s="15" t="n">
        <v>0.670833333333333</v>
      </c>
      <c r="F601" s="7" t="n">
        <v>7000</v>
      </c>
      <c r="G601" s="7" t="n">
        <f aca="false">D601*F601</f>
        <v>14000</v>
      </c>
      <c r="H601" s="2" t="str">
        <f aca="false">INDEX(Daftar_Menu!$B$2:$B$13,MATCH(C601,Daftar_Menu!$A$2:$A$13,0))</f>
        <v>Minuman</v>
      </c>
      <c r="I601" s="2" t="str">
        <f aca="false">CHOOSE(WEEKDAY(B601,2),"Senin","Selasa","Rabu","Kamis","Jumat","Sabtu","Minggu")</f>
        <v>Selasa</v>
      </c>
      <c r="J601" s="2" t="n">
        <f aca="false">HOUR(E601)</f>
        <v>16</v>
      </c>
      <c r="K601" s="2" t="str">
        <f aca="false">IF(J601&lt;11,"Pagi",IF(J601&lt;17,"Siang","Malam"))</f>
        <v>Siang</v>
      </c>
      <c r="L601" s="2" t="n">
        <f aca="false">IF(A601&lt;&gt;A600,1,0)</f>
        <v>1</v>
      </c>
    </row>
    <row r="602" customFormat="false" ht="15" hidden="false" customHeight="false" outlineLevel="0" collapsed="false">
      <c r="A602" s="2" t="s">
        <v>732</v>
      </c>
      <c r="B602" s="13" t="n">
        <v>46273</v>
      </c>
      <c r="C602" s="2" t="s">
        <v>84</v>
      </c>
      <c r="D602" s="2" t="n">
        <v>1</v>
      </c>
      <c r="E602" s="15" t="n">
        <v>0.688194444444444</v>
      </c>
      <c r="F602" s="7" t="n">
        <v>5000</v>
      </c>
      <c r="G602" s="7" t="n">
        <f aca="false">D602*F602</f>
        <v>5000</v>
      </c>
      <c r="H602" s="2" t="str">
        <f aca="false">INDEX(Daftar_Menu!$B$2:$B$13,MATCH(C602,Daftar_Menu!$A$2:$A$13,0))</f>
        <v>Minuman</v>
      </c>
      <c r="I602" s="2" t="str">
        <f aca="false">CHOOSE(WEEKDAY(B602,2),"Senin","Selasa","Rabu","Kamis","Jumat","Sabtu","Minggu")</f>
        <v>Selasa</v>
      </c>
      <c r="J602" s="2" t="n">
        <f aca="false">HOUR(E602)</f>
        <v>16</v>
      </c>
      <c r="K602" s="2" t="str">
        <f aca="false">IF(J602&lt;11,"Pagi",IF(J602&lt;17,"Siang","Malam"))</f>
        <v>Siang</v>
      </c>
      <c r="L602" s="2" t="n">
        <f aca="false">IF(A602&lt;&gt;A601,1,0)</f>
        <v>1</v>
      </c>
    </row>
    <row r="603" customFormat="false" ht="15" hidden="false" customHeight="false" outlineLevel="0" collapsed="false">
      <c r="A603" s="2" t="s">
        <v>733</v>
      </c>
      <c r="B603" s="13" t="n">
        <v>46273</v>
      </c>
      <c r="C603" s="2" t="s">
        <v>82</v>
      </c>
      <c r="D603" s="2" t="n">
        <v>3</v>
      </c>
      <c r="E603" s="15" t="n">
        <v>0.697916666666667</v>
      </c>
      <c r="F603" s="7" t="n">
        <v>13000</v>
      </c>
      <c r="G603" s="7" t="n">
        <f aca="false">D603*F603</f>
        <v>39000</v>
      </c>
      <c r="H603" s="2" t="str">
        <f aca="false">INDEX(Daftar_Menu!$B$2:$B$13,MATCH(C603,Daftar_Menu!$A$2:$A$13,0))</f>
        <v>Makanan</v>
      </c>
      <c r="I603" s="2" t="str">
        <f aca="false">CHOOSE(WEEKDAY(B603,2),"Senin","Selasa","Rabu","Kamis","Jumat","Sabtu","Minggu")</f>
        <v>Selasa</v>
      </c>
      <c r="J603" s="2" t="n">
        <f aca="false">HOUR(E603)</f>
        <v>16</v>
      </c>
      <c r="K603" s="2" t="str">
        <f aca="false">IF(J603&lt;11,"Pagi",IF(J603&lt;17,"Siang","Malam"))</f>
        <v>Siang</v>
      </c>
      <c r="L603" s="2" t="n">
        <f aca="false">IF(A603&lt;&gt;A602,1,0)</f>
        <v>1</v>
      </c>
    </row>
    <row r="604" customFormat="false" ht="15" hidden="false" customHeight="false" outlineLevel="0" collapsed="false">
      <c r="A604" s="2" t="s">
        <v>735</v>
      </c>
      <c r="B604" s="13" t="n">
        <v>46273</v>
      </c>
      <c r="C604" s="2" t="s">
        <v>84</v>
      </c>
      <c r="D604" s="2" t="n">
        <v>2</v>
      </c>
      <c r="E604" s="15" t="n">
        <v>0.702777777777778</v>
      </c>
      <c r="F604" s="7" t="n">
        <v>5000</v>
      </c>
      <c r="G604" s="7" t="n">
        <f aca="false">D604*F604</f>
        <v>10000</v>
      </c>
      <c r="H604" s="2" t="str">
        <f aca="false">INDEX(Daftar_Menu!$B$2:$B$13,MATCH(C604,Daftar_Menu!$A$2:$A$13,0))</f>
        <v>Minuman</v>
      </c>
      <c r="I604" s="2" t="str">
        <f aca="false">CHOOSE(WEEKDAY(B604,2),"Senin","Selasa","Rabu","Kamis","Jumat","Sabtu","Minggu")</f>
        <v>Selasa</v>
      </c>
      <c r="J604" s="2" t="n">
        <f aca="false">HOUR(E604)</f>
        <v>16</v>
      </c>
      <c r="K604" s="2" t="str">
        <f aca="false">IF(J604&lt;11,"Pagi",IF(J604&lt;17,"Siang","Malam"))</f>
        <v>Siang</v>
      </c>
      <c r="L604" s="2" t="n">
        <f aca="false">IF(A604&lt;&gt;A603,1,0)</f>
        <v>1</v>
      </c>
    </row>
    <row r="605" customFormat="false" ht="15" hidden="false" customHeight="false" outlineLevel="0" collapsed="false">
      <c r="A605" s="2" t="s">
        <v>735</v>
      </c>
      <c r="B605" s="13" t="n">
        <v>46273</v>
      </c>
      <c r="C605" s="2" t="s">
        <v>112</v>
      </c>
      <c r="D605" s="2" t="n">
        <v>1</v>
      </c>
      <c r="E605" s="15" t="n">
        <v>0.702777777777778</v>
      </c>
      <c r="F605" s="7" t="n">
        <v>10000</v>
      </c>
      <c r="G605" s="7" t="n">
        <f aca="false">D605*F605</f>
        <v>10000</v>
      </c>
      <c r="H605" s="2" t="str">
        <f aca="false">INDEX(Daftar_Menu!$B$2:$B$13,MATCH(C605,Daftar_Menu!$A$2:$A$13,0))</f>
        <v>Minuman</v>
      </c>
      <c r="I605" s="2" t="str">
        <f aca="false">CHOOSE(WEEKDAY(B605,2),"Senin","Selasa","Rabu","Kamis","Jumat","Sabtu","Minggu")</f>
        <v>Selasa</v>
      </c>
      <c r="J605" s="2" t="n">
        <f aca="false">HOUR(E605)</f>
        <v>16</v>
      </c>
      <c r="K605" s="2" t="str">
        <f aca="false">IF(J605&lt;11,"Pagi",IF(J605&lt;17,"Siang","Malam"))</f>
        <v>Siang</v>
      </c>
      <c r="L605" s="2" t="n">
        <f aca="false">IF(A605&lt;&gt;A604,1,0)</f>
        <v>0</v>
      </c>
    </row>
    <row r="606" customFormat="false" ht="15" hidden="false" customHeight="false" outlineLevel="0" collapsed="false">
      <c r="A606" s="2" t="s">
        <v>737</v>
      </c>
      <c r="B606" s="13" t="n">
        <v>46273</v>
      </c>
      <c r="C606" s="2" t="s">
        <v>81</v>
      </c>
      <c r="D606" s="2" t="n">
        <v>1</v>
      </c>
      <c r="E606" s="15" t="n">
        <v>0.715277777777778</v>
      </c>
      <c r="F606" s="7" t="n">
        <v>15000</v>
      </c>
      <c r="G606" s="7" t="n">
        <f aca="false">D606*F606</f>
        <v>15000</v>
      </c>
      <c r="H606" s="2" t="str">
        <f aca="false">INDEX(Daftar_Menu!$B$2:$B$13,MATCH(C606,Daftar_Menu!$A$2:$A$13,0))</f>
        <v>Makanan</v>
      </c>
      <c r="I606" s="2" t="str">
        <f aca="false">CHOOSE(WEEKDAY(B606,2),"Senin","Selasa","Rabu","Kamis","Jumat","Sabtu","Minggu")</f>
        <v>Selasa</v>
      </c>
      <c r="J606" s="2" t="n">
        <f aca="false">HOUR(E606)</f>
        <v>17</v>
      </c>
      <c r="K606" s="2" t="str">
        <f aca="false">IF(J606&lt;11,"Pagi",IF(J606&lt;17,"Siang","Malam"))</f>
        <v>Malam</v>
      </c>
      <c r="L606" s="2" t="n">
        <f aca="false">IF(A606&lt;&gt;A605,1,0)</f>
        <v>1</v>
      </c>
    </row>
    <row r="607" customFormat="false" ht="15" hidden="false" customHeight="false" outlineLevel="0" collapsed="false">
      <c r="A607" s="2" t="s">
        <v>738</v>
      </c>
      <c r="B607" s="13" t="n">
        <v>46273</v>
      </c>
      <c r="C607" s="2" t="s">
        <v>81</v>
      </c>
      <c r="D607" s="2" t="n">
        <v>1</v>
      </c>
      <c r="E607" s="15" t="n">
        <v>0.738194444444445</v>
      </c>
      <c r="F607" s="7" t="n">
        <v>15000</v>
      </c>
      <c r="G607" s="7" t="n">
        <f aca="false">D607*F607</f>
        <v>15000</v>
      </c>
      <c r="H607" s="2" t="str">
        <f aca="false">INDEX(Daftar_Menu!$B$2:$B$13,MATCH(C607,Daftar_Menu!$A$2:$A$13,0))</f>
        <v>Makanan</v>
      </c>
      <c r="I607" s="2" t="str">
        <f aca="false">CHOOSE(WEEKDAY(B607,2),"Senin","Selasa","Rabu","Kamis","Jumat","Sabtu","Minggu")</f>
        <v>Selasa</v>
      </c>
      <c r="J607" s="2" t="n">
        <f aca="false">HOUR(E607)</f>
        <v>17</v>
      </c>
      <c r="K607" s="2" t="str">
        <f aca="false">IF(J607&lt;11,"Pagi",IF(J607&lt;17,"Siang","Malam"))</f>
        <v>Malam</v>
      </c>
      <c r="L607" s="2" t="n">
        <f aca="false">IF(A607&lt;&gt;A606,1,0)</f>
        <v>1</v>
      </c>
    </row>
    <row r="608" customFormat="false" ht="15" hidden="false" customHeight="false" outlineLevel="0" collapsed="false">
      <c r="A608" s="2" t="s">
        <v>738</v>
      </c>
      <c r="B608" s="13" t="n">
        <v>46273</v>
      </c>
      <c r="C608" s="2" t="s">
        <v>92</v>
      </c>
      <c r="D608" s="2" t="n">
        <v>1</v>
      </c>
      <c r="E608" s="15" t="n">
        <v>0.738194444444445</v>
      </c>
      <c r="F608" s="7" t="n">
        <v>4000</v>
      </c>
      <c r="G608" s="7" t="n">
        <f aca="false">D608*F608</f>
        <v>4000</v>
      </c>
      <c r="H608" s="2" t="str">
        <f aca="false">INDEX(Daftar_Menu!$B$2:$B$13,MATCH(C608,Daftar_Menu!$A$2:$A$13,0))</f>
        <v>Minuman</v>
      </c>
      <c r="I608" s="2" t="str">
        <f aca="false">CHOOSE(WEEKDAY(B608,2),"Senin","Selasa","Rabu","Kamis","Jumat","Sabtu","Minggu")</f>
        <v>Selasa</v>
      </c>
      <c r="J608" s="2" t="n">
        <f aca="false">HOUR(E608)</f>
        <v>17</v>
      </c>
      <c r="K608" s="2" t="str">
        <f aca="false">IF(J608&lt;11,"Pagi",IF(J608&lt;17,"Siang","Malam"))</f>
        <v>Malam</v>
      </c>
      <c r="L608" s="2" t="n">
        <f aca="false">IF(A608&lt;&gt;A607,1,0)</f>
        <v>0</v>
      </c>
    </row>
    <row r="609" customFormat="false" ht="15" hidden="false" customHeight="false" outlineLevel="0" collapsed="false">
      <c r="A609" s="2" t="s">
        <v>738</v>
      </c>
      <c r="B609" s="13" t="n">
        <v>46273</v>
      </c>
      <c r="C609" s="2" t="s">
        <v>126</v>
      </c>
      <c r="D609" s="2" t="n">
        <v>1</v>
      </c>
      <c r="E609" s="15" t="n">
        <v>0.738194444444445</v>
      </c>
      <c r="F609" s="7" t="n">
        <v>3000</v>
      </c>
      <c r="G609" s="7" t="n">
        <f aca="false">D609*F609</f>
        <v>3000</v>
      </c>
      <c r="H609" s="2" t="str">
        <f aca="false">INDEX(Daftar_Menu!$B$2:$B$13,MATCH(C609,Daftar_Menu!$A$2:$A$13,0))</f>
        <v>Minuman</v>
      </c>
      <c r="I609" s="2" t="str">
        <f aca="false">CHOOSE(WEEKDAY(B609,2),"Senin","Selasa","Rabu","Kamis","Jumat","Sabtu","Minggu")</f>
        <v>Selasa</v>
      </c>
      <c r="J609" s="2" t="n">
        <f aca="false">HOUR(E609)</f>
        <v>17</v>
      </c>
      <c r="K609" s="2" t="str">
        <f aca="false">IF(J609&lt;11,"Pagi",IF(J609&lt;17,"Siang","Malam"))</f>
        <v>Malam</v>
      </c>
      <c r="L609" s="2" t="n">
        <f aca="false">IF(A609&lt;&gt;A608,1,0)</f>
        <v>0</v>
      </c>
    </row>
    <row r="610" customFormat="false" ht="15" hidden="false" customHeight="false" outlineLevel="0" collapsed="false">
      <c r="A610" s="2" t="s">
        <v>740</v>
      </c>
      <c r="B610" s="13" t="n">
        <v>46273</v>
      </c>
      <c r="C610" s="2" t="s">
        <v>81</v>
      </c>
      <c r="D610" s="2" t="n">
        <v>1</v>
      </c>
      <c r="E610" s="15" t="n">
        <v>0.745833333333333</v>
      </c>
      <c r="F610" s="7" t="n">
        <v>15000</v>
      </c>
      <c r="G610" s="7" t="n">
        <f aca="false">D610*F610</f>
        <v>15000</v>
      </c>
      <c r="H610" s="2" t="str">
        <f aca="false">INDEX(Daftar_Menu!$B$2:$B$13,MATCH(C610,Daftar_Menu!$A$2:$A$13,0))</f>
        <v>Makanan</v>
      </c>
      <c r="I610" s="2" t="str">
        <f aca="false">CHOOSE(WEEKDAY(B610,2),"Senin","Selasa","Rabu","Kamis","Jumat","Sabtu","Minggu")</f>
        <v>Selasa</v>
      </c>
      <c r="J610" s="2" t="n">
        <f aca="false">HOUR(E610)</f>
        <v>17</v>
      </c>
      <c r="K610" s="2" t="str">
        <f aca="false">IF(J610&lt;11,"Pagi",IF(J610&lt;17,"Siang","Malam"))</f>
        <v>Malam</v>
      </c>
      <c r="L610" s="2" t="n">
        <f aca="false">IF(A610&lt;&gt;A609,1,0)</f>
        <v>1</v>
      </c>
    </row>
    <row r="611" customFormat="false" ht="15" hidden="false" customHeight="false" outlineLevel="0" collapsed="false">
      <c r="A611" s="2" t="s">
        <v>741</v>
      </c>
      <c r="B611" s="13" t="n">
        <v>46273</v>
      </c>
      <c r="C611" s="2" t="s">
        <v>84</v>
      </c>
      <c r="D611" s="2" t="n">
        <v>1</v>
      </c>
      <c r="E611" s="15" t="n">
        <v>0.753472222222222</v>
      </c>
      <c r="F611" s="7" t="n">
        <v>5000</v>
      </c>
      <c r="G611" s="7" t="n">
        <f aca="false">D611*F611</f>
        <v>5000</v>
      </c>
      <c r="H611" s="2" t="str">
        <f aca="false">INDEX(Daftar_Menu!$B$2:$B$13,MATCH(C611,Daftar_Menu!$A$2:$A$13,0))</f>
        <v>Minuman</v>
      </c>
      <c r="I611" s="2" t="str">
        <f aca="false">CHOOSE(WEEKDAY(B611,2),"Senin","Selasa","Rabu","Kamis","Jumat","Sabtu","Minggu")</f>
        <v>Selasa</v>
      </c>
      <c r="J611" s="2" t="n">
        <f aca="false">HOUR(E611)</f>
        <v>18</v>
      </c>
      <c r="K611" s="2" t="str">
        <f aca="false">IF(J611&lt;11,"Pagi",IF(J611&lt;17,"Siang","Malam"))</f>
        <v>Malam</v>
      </c>
      <c r="L611" s="2" t="n">
        <f aca="false">IF(A611&lt;&gt;A610,1,0)</f>
        <v>1</v>
      </c>
    </row>
    <row r="612" customFormat="false" ht="15" hidden="false" customHeight="false" outlineLevel="0" collapsed="false">
      <c r="A612" s="2" t="s">
        <v>742</v>
      </c>
      <c r="B612" s="13" t="n">
        <v>46273</v>
      </c>
      <c r="C612" s="2" t="s">
        <v>92</v>
      </c>
      <c r="D612" s="2" t="n">
        <v>1</v>
      </c>
      <c r="E612" s="15" t="n">
        <v>0.754166666666667</v>
      </c>
      <c r="F612" s="7" t="n">
        <v>4000</v>
      </c>
      <c r="G612" s="7" t="n">
        <f aca="false">D612*F612</f>
        <v>4000</v>
      </c>
      <c r="H612" s="2" t="str">
        <f aca="false">INDEX(Daftar_Menu!$B$2:$B$13,MATCH(C612,Daftar_Menu!$A$2:$A$13,0))</f>
        <v>Minuman</v>
      </c>
      <c r="I612" s="2" t="str">
        <f aca="false">CHOOSE(WEEKDAY(B612,2),"Senin","Selasa","Rabu","Kamis","Jumat","Sabtu","Minggu")</f>
        <v>Selasa</v>
      </c>
      <c r="J612" s="2" t="n">
        <f aca="false">HOUR(E612)</f>
        <v>18</v>
      </c>
      <c r="K612" s="2" t="str">
        <f aca="false">IF(J612&lt;11,"Pagi",IF(J612&lt;17,"Siang","Malam"))</f>
        <v>Malam</v>
      </c>
      <c r="L612" s="2" t="n">
        <f aca="false">IF(A612&lt;&gt;A611,1,0)</f>
        <v>1</v>
      </c>
    </row>
    <row r="613" customFormat="false" ht="15" hidden="false" customHeight="false" outlineLevel="0" collapsed="false">
      <c r="A613" s="2" t="s">
        <v>742</v>
      </c>
      <c r="B613" s="13" t="n">
        <v>46273</v>
      </c>
      <c r="C613" s="2" t="s">
        <v>101</v>
      </c>
      <c r="D613" s="2" t="n">
        <v>1</v>
      </c>
      <c r="E613" s="15" t="n">
        <v>0.754166666666667</v>
      </c>
      <c r="F613" s="7" t="n">
        <v>18000</v>
      </c>
      <c r="G613" s="7" t="n">
        <f aca="false">D613*F613</f>
        <v>18000</v>
      </c>
      <c r="H613" s="2" t="str">
        <f aca="false">INDEX(Daftar_Menu!$B$2:$B$13,MATCH(C613,Daftar_Menu!$A$2:$A$13,0))</f>
        <v>Makanan</v>
      </c>
      <c r="I613" s="2" t="str">
        <f aca="false">CHOOSE(WEEKDAY(B613,2),"Senin","Selasa","Rabu","Kamis","Jumat","Sabtu","Minggu")</f>
        <v>Selasa</v>
      </c>
      <c r="J613" s="2" t="n">
        <f aca="false">HOUR(E613)</f>
        <v>18</v>
      </c>
      <c r="K613" s="2" t="str">
        <f aca="false">IF(J613&lt;11,"Pagi",IF(J613&lt;17,"Siang","Malam"))</f>
        <v>Malam</v>
      </c>
      <c r="L613" s="2" t="n">
        <f aca="false">IF(A613&lt;&gt;A612,1,0)</f>
        <v>0</v>
      </c>
    </row>
    <row r="614" customFormat="false" ht="15" hidden="false" customHeight="false" outlineLevel="0" collapsed="false">
      <c r="A614" s="2" t="s">
        <v>743</v>
      </c>
      <c r="B614" s="13" t="n">
        <v>46273</v>
      </c>
      <c r="C614" s="2" t="s">
        <v>84</v>
      </c>
      <c r="D614" s="2" t="n">
        <v>1</v>
      </c>
      <c r="E614" s="15" t="n">
        <v>0.759722222222222</v>
      </c>
      <c r="F614" s="7" t="n">
        <v>5000</v>
      </c>
      <c r="G614" s="7" t="n">
        <f aca="false">D614*F614</f>
        <v>5000</v>
      </c>
      <c r="H614" s="2" t="str">
        <f aca="false">INDEX(Daftar_Menu!$B$2:$B$13,MATCH(C614,Daftar_Menu!$A$2:$A$13,0))</f>
        <v>Minuman</v>
      </c>
      <c r="I614" s="2" t="str">
        <f aca="false">CHOOSE(WEEKDAY(B614,2),"Senin","Selasa","Rabu","Kamis","Jumat","Sabtu","Minggu")</f>
        <v>Selasa</v>
      </c>
      <c r="J614" s="2" t="n">
        <f aca="false">HOUR(E614)</f>
        <v>18</v>
      </c>
      <c r="K614" s="2" t="str">
        <f aca="false">IF(J614&lt;11,"Pagi",IF(J614&lt;17,"Siang","Malam"))</f>
        <v>Malam</v>
      </c>
      <c r="L614" s="2" t="n">
        <f aca="false">IF(A614&lt;&gt;A613,1,0)</f>
        <v>1</v>
      </c>
    </row>
    <row r="615" customFormat="false" ht="15" hidden="false" customHeight="false" outlineLevel="0" collapsed="false">
      <c r="A615" s="2" t="s">
        <v>744</v>
      </c>
      <c r="B615" s="13" t="n">
        <v>46273</v>
      </c>
      <c r="C615" s="2" t="s">
        <v>92</v>
      </c>
      <c r="D615" s="2" t="n">
        <v>1</v>
      </c>
      <c r="E615" s="15" t="n">
        <v>0.761111111111111</v>
      </c>
      <c r="F615" s="7" t="n">
        <v>4000</v>
      </c>
      <c r="G615" s="7" t="n">
        <f aca="false">D615*F615</f>
        <v>4000</v>
      </c>
      <c r="H615" s="2" t="str">
        <f aca="false">INDEX(Daftar_Menu!$B$2:$B$13,MATCH(C615,Daftar_Menu!$A$2:$A$13,0))</f>
        <v>Minuman</v>
      </c>
      <c r="I615" s="2" t="str">
        <f aca="false">CHOOSE(WEEKDAY(B615,2),"Senin","Selasa","Rabu","Kamis","Jumat","Sabtu","Minggu")</f>
        <v>Selasa</v>
      </c>
      <c r="J615" s="2" t="n">
        <f aca="false">HOUR(E615)</f>
        <v>18</v>
      </c>
      <c r="K615" s="2" t="str">
        <f aca="false">IF(J615&lt;11,"Pagi",IF(J615&lt;17,"Siang","Malam"))</f>
        <v>Malam</v>
      </c>
      <c r="L615" s="2" t="n">
        <f aca="false">IF(A615&lt;&gt;A614,1,0)</f>
        <v>1</v>
      </c>
    </row>
    <row r="616" customFormat="false" ht="15" hidden="false" customHeight="false" outlineLevel="0" collapsed="false">
      <c r="A616" s="2" t="s">
        <v>746</v>
      </c>
      <c r="B616" s="13" t="n">
        <v>46273</v>
      </c>
      <c r="C616" s="2" t="s">
        <v>101</v>
      </c>
      <c r="D616" s="2" t="n">
        <v>2</v>
      </c>
      <c r="E616" s="15" t="n">
        <v>0.773611111111111</v>
      </c>
      <c r="F616" s="7" t="n">
        <v>18000</v>
      </c>
      <c r="G616" s="7" t="n">
        <f aca="false">D616*F616</f>
        <v>36000</v>
      </c>
      <c r="H616" s="2" t="str">
        <f aca="false">INDEX(Daftar_Menu!$B$2:$B$13,MATCH(C616,Daftar_Menu!$A$2:$A$13,0))</f>
        <v>Makanan</v>
      </c>
      <c r="I616" s="2" t="str">
        <f aca="false">CHOOSE(WEEKDAY(B616,2),"Senin","Selasa","Rabu","Kamis","Jumat","Sabtu","Minggu")</f>
        <v>Selasa</v>
      </c>
      <c r="J616" s="2" t="n">
        <f aca="false">HOUR(E616)</f>
        <v>18</v>
      </c>
      <c r="K616" s="2" t="str">
        <f aca="false">IF(J616&lt;11,"Pagi",IF(J616&lt;17,"Siang","Malam"))</f>
        <v>Malam</v>
      </c>
      <c r="L616" s="2" t="n">
        <f aca="false">IF(A616&lt;&gt;A615,1,0)</f>
        <v>1</v>
      </c>
    </row>
    <row r="617" customFormat="false" ht="15" hidden="false" customHeight="false" outlineLevel="0" collapsed="false">
      <c r="A617" s="2" t="s">
        <v>746</v>
      </c>
      <c r="B617" s="13" t="n">
        <v>46273</v>
      </c>
      <c r="C617" s="2" t="s">
        <v>132</v>
      </c>
      <c r="D617" s="2" t="n">
        <v>1</v>
      </c>
      <c r="E617" s="15" t="n">
        <v>0.773611111111111</v>
      </c>
      <c r="F617" s="7" t="n">
        <v>15000</v>
      </c>
      <c r="G617" s="7" t="n">
        <f aca="false">D617*F617</f>
        <v>15000</v>
      </c>
      <c r="H617" s="2" t="str">
        <f aca="false">INDEX(Daftar_Menu!$B$2:$B$13,MATCH(C617,Daftar_Menu!$A$2:$A$13,0))</f>
        <v>Makanan</v>
      </c>
      <c r="I617" s="2" t="str">
        <f aca="false">CHOOSE(WEEKDAY(B617,2),"Senin","Selasa","Rabu","Kamis","Jumat","Sabtu","Minggu")</f>
        <v>Selasa</v>
      </c>
      <c r="J617" s="2" t="n">
        <f aca="false">HOUR(E617)</f>
        <v>18</v>
      </c>
      <c r="K617" s="2" t="str">
        <f aca="false">IF(J617&lt;11,"Pagi",IF(J617&lt;17,"Siang","Malam"))</f>
        <v>Malam</v>
      </c>
      <c r="L617" s="2" t="n">
        <f aca="false">IF(A617&lt;&gt;A616,1,0)</f>
        <v>0</v>
      </c>
    </row>
    <row r="618" customFormat="false" ht="15" hidden="false" customHeight="false" outlineLevel="0" collapsed="false">
      <c r="A618" s="2" t="s">
        <v>747</v>
      </c>
      <c r="B618" s="13" t="n">
        <v>46273</v>
      </c>
      <c r="C618" s="2" t="s">
        <v>126</v>
      </c>
      <c r="D618" s="2" t="n">
        <v>1</v>
      </c>
      <c r="E618" s="15" t="n">
        <v>0.778472222222222</v>
      </c>
      <c r="F618" s="7" t="n">
        <v>3000</v>
      </c>
      <c r="G618" s="7" t="n">
        <f aca="false">D618*F618</f>
        <v>3000</v>
      </c>
      <c r="H618" s="2" t="str">
        <f aca="false">INDEX(Daftar_Menu!$B$2:$B$13,MATCH(C618,Daftar_Menu!$A$2:$A$13,0))</f>
        <v>Minuman</v>
      </c>
      <c r="I618" s="2" t="str">
        <f aca="false">CHOOSE(WEEKDAY(B618,2),"Senin","Selasa","Rabu","Kamis","Jumat","Sabtu","Minggu")</f>
        <v>Selasa</v>
      </c>
      <c r="J618" s="2" t="n">
        <f aca="false">HOUR(E618)</f>
        <v>18</v>
      </c>
      <c r="K618" s="2" t="str">
        <f aca="false">IF(J618&lt;11,"Pagi",IF(J618&lt;17,"Siang","Malam"))</f>
        <v>Malam</v>
      </c>
      <c r="L618" s="2" t="n">
        <f aca="false">IF(A618&lt;&gt;A617,1,0)</f>
        <v>1</v>
      </c>
    </row>
    <row r="619" customFormat="false" ht="15" hidden="false" customHeight="false" outlineLevel="0" collapsed="false">
      <c r="A619" s="2" t="s">
        <v>747</v>
      </c>
      <c r="B619" s="13" t="n">
        <v>46273</v>
      </c>
      <c r="C619" s="2" t="s">
        <v>79</v>
      </c>
      <c r="D619" s="2" t="n">
        <v>2</v>
      </c>
      <c r="E619" s="15" t="n">
        <v>0.778472222222222</v>
      </c>
      <c r="F619" s="7" t="n">
        <v>16000</v>
      </c>
      <c r="G619" s="7" t="n">
        <f aca="false">D619*F619</f>
        <v>32000</v>
      </c>
      <c r="H619" s="2" t="str">
        <f aca="false">INDEX(Daftar_Menu!$B$2:$B$13,MATCH(C619,Daftar_Menu!$A$2:$A$13,0))</f>
        <v>Makanan</v>
      </c>
      <c r="I619" s="2" t="str">
        <f aca="false">CHOOSE(WEEKDAY(B619,2),"Senin","Selasa","Rabu","Kamis","Jumat","Sabtu","Minggu")</f>
        <v>Selasa</v>
      </c>
      <c r="J619" s="2" t="n">
        <f aca="false">HOUR(E619)</f>
        <v>18</v>
      </c>
      <c r="K619" s="2" t="str">
        <f aca="false">IF(J619&lt;11,"Pagi",IF(J619&lt;17,"Siang","Malam"))</f>
        <v>Malam</v>
      </c>
      <c r="L619" s="2" t="n">
        <f aca="false">IF(A619&lt;&gt;A618,1,0)</f>
        <v>0</v>
      </c>
    </row>
    <row r="620" customFormat="false" ht="15" hidden="false" customHeight="false" outlineLevel="0" collapsed="false">
      <c r="A620" s="2" t="s">
        <v>749</v>
      </c>
      <c r="B620" s="13" t="n">
        <v>46273</v>
      </c>
      <c r="C620" s="2" t="s">
        <v>186</v>
      </c>
      <c r="D620" s="2" t="n">
        <v>1</v>
      </c>
      <c r="E620" s="15" t="n">
        <v>0.783333333333333</v>
      </c>
      <c r="F620" s="7" t="n">
        <v>7000</v>
      </c>
      <c r="G620" s="7" t="n">
        <f aca="false">D620*F620</f>
        <v>7000</v>
      </c>
      <c r="H620" s="2" t="str">
        <f aca="false">INDEX(Daftar_Menu!$B$2:$B$13,MATCH(C620,Daftar_Menu!$A$2:$A$13,0))</f>
        <v>Minuman</v>
      </c>
      <c r="I620" s="2" t="str">
        <f aca="false">CHOOSE(WEEKDAY(B620,2),"Senin","Selasa","Rabu","Kamis","Jumat","Sabtu","Minggu")</f>
        <v>Selasa</v>
      </c>
      <c r="J620" s="2" t="n">
        <f aca="false">HOUR(E620)</f>
        <v>18</v>
      </c>
      <c r="K620" s="2" t="str">
        <f aca="false">IF(J620&lt;11,"Pagi",IF(J620&lt;17,"Siang","Malam"))</f>
        <v>Malam</v>
      </c>
      <c r="L620" s="2" t="n">
        <f aca="false">IF(A620&lt;&gt;A619,1,0)</f>
        <v>1</v>
      </c>
    </row>
    <row r="621" customFormat="false" ht="15" hidden="false" customHeight="false" outlineLevel="0" collapsed="false">
      <c r="A621" s="2" t="s">
        <v>749</v>
      </c>
      <c r="B621" s="13" t="n">
        <v>46273</v>
      </c>
      <c r="C621" s="2" t="s">
        <v>89</v>
      </c>
      <c r="D621" s="2" t="n">
        <v>2</v>
      </c>
      <c r="E621" s="15" t="n">
        <v>0.783333333333333</v>
      </c>
      <c r="F621" s="7" t="n">
        <v>14000</v>
      </c>
      <c r="G621" s="7" t="n">
        <f aca="false">D621*F621</f>
        <v>28000</v>
      </c>
      <c r="H621" s="2" t="str">
        <f aca="false">INDEX(Daftar_Menu!$B$2:$B$13,MATCH(C621,Daftar_Menu!$A$2:$A$13,0))</f>
        <v>Makanan</v>
      </c>
      <c r="I621" s="2" t="str">
        <f aca="false">CHOOSE(WEEKDAY(B621,2),"Senin","Selasa","Rabu","Kamis","Jumat","Sabtu","Minggu")</f>
        <v>Selasa</v>
      </c>
      <c r="J621" s="2" t="n">
        <f aca="false">HOUR(E621)</f>
        <v>18</v>
      </c>
      <c r="K621" s="2" t="str">
        <f aca="false">IF(J621&lt;11,"Pagi",IF(J621&lt;17,"Siang","Malam"))</f>
        <v>Malam</v>
      </c>
      <c r="L621" s="2" t="n">
        <f aca="false">IF(A621&lt;&gt;A620,1,0)</f>
        <v>0</v>
      </c>
    </row>
    <row r="622" customFormat="false" ht="15" hidden="false" customHeight="false" outlineLevel="0" collapsed="false">
      <c r="A622" s="2" t="s">
        <v>751</v>
      </c>
      <c r="B622" s="13" t="n">
        <v>46273</v>
      </c>
      <c r="C622" s="2" t="s">
        <v>79</v>
      </c>
      <c r="D622" s="2" t="n">
        <v>1</v>
      </c>
      <c r="E622" s="15" t="n">
        <v>0.797222222222222</v>
      </c>
      <c r="F622" s="7" t="n">
        <v>16000</v>
      </c>
      <c r="G622" s="7" t="n">
        <f aca="false">D622*F622</f>
        <v>16000</v>
      </c>
      <c r="H622" s="2" t="str">
        <f aca="false">INDEX(Daftar_Menu!$B$2:$B$13,MATCH(C622,Daftar_Menu!$A$2:$A$13,0))</f>
        <v>Makanan</v>
      </c>
      <c r="I622" s="2" t="str">
        <f aca="false">CHOOSE(WEEKDAY(B622,2),"Senin","Selasa","Rabu","Kamis","Jumat","Sabtu","Minggu")</f>
        <v>Selasa</v>
      </c>
      <c r="J622" s="2" t="n">
        <f aca="false">HOUR(E622)</f>
        <v>19</v>
      </c>
      <c r="K622" s="2" t="str">
        <f aca="false">IF(J622&lt;11,"Pagi",IF(J622&lt;17,"Siang","Malam"))</f>
        <v>Malam</v>
      </c>
      <c r="L622" s="2" t="n">
        <f aca="false">IF(A622&lt;&gt;A621,1,0)</f>
        <v>1</v>
      </c>
    </row>
    <row r="623" customFormat="false" ht="15" hidden="false" customHeight="false" outlineLevel="0" collapsed="false">
      <c r="A623" s="2" t="s">
        <v>751</v>
      </c>
      <c r="B623" s="13" t="n">
        <v>46273</v>
      </c>
      <c r="C623" s="2" t="s">
        <v>89</v>
      </c>
      <c r="D623" s="2" t="n">
        <v>1</v>
      </c>
      <c r="E623" s="15" t="n">
        <v>0.797222222222222</v>
      </c>
      <c r="F623" s="7" t="n">
        <v>14000</v>
      </c>
      <c r="G623" s="7" t="n">
        <f aca="false">D623*F623</f>
        <v>14000</v>
      </c>
      <c r="H623" s="2" t="str">
        <f aca="false">INDEX(Daftar_Menu!$B$2:$B$13,MATCH(C623,Daftar_Menu!$A$2:$A$13,0))</f>
        <v>Makanan</v>
      </c>
      <c r="I623" s="2" t="str">
        <f aca="false">CHOOSE(WEEKDAY(B623,2),"Senin","Selasa","Rabu","Kamis","Jumat","Sabtu","Minggu")</f>
        <v>Selasa</v>
      </c>
      <c r="J623" s="2" t="n">
        <f aca="false">HOUR(E623)</f>
        <v>19</v>
      </c>
      <c r="K623" s="2" t="str">
        <f aca="false">IF(J623&lt;11,"Pagi",IF(J623&lt;17,"Siang","Malam"))</f>
        <v>Malam</v>
      </c>
      <c r="L623" s="2" t="n">
        <f aca="false">IF(A623&lt;&gt;A622,1,0)</f>
        <v>0</v>
      </c>
    </row>
    <row r="624" customFormat="false" ht="15" hidden="false" customHeight="false" outlineLevel="0" collapsed="false">
      <c r="A624" s="2" t="s">
        <v>753</v>
      </c>
      <c r="B624" s="13" t="n">
        <v>46273</v>
      </c>
      <c r="C624" s="2" t="s">
        <v>186</v>
      </c>
      <c r="D624" s="2" t="n">
        <v>1</v>
      </c>
      <c r="E624" s="15" t="n">
        <v>0.800694444444445</v>
      </c>
      <c r="F624" s="7" t="n">
        <v>7000</v>
      </c>
      <c r="G624" s="7" t="n">
        <f aca="false">D624*F624</f>
        <v>7000</v>
      </c>
      <c r="H624" s="2" t="str">
        <f aca="false">INDEX(Daftar_Menu!$B$2:$B$13,MATCH(C624,Daftar_Menu!$A$2:$A$13,0))</f>
        <v>Minuman</v>
      </c>
      <c r="I624" s="2" t="str">
        <f aca="false">CHOOSE(WEEKDAY(B624,2),"Senin","Selasa","Rabu","Kamis","Jumat","Sabtu","Minggu")</f>
        <v>Selasa</v>
      </c>
      <c r="J624" s="2" t="n">
        <f aca="false">HOUR(E624)</f>
        <v>19</v>
      </c>
      <c r="K624" s="2" t="str">
        <f aca="false">IF(J624&lt;11,"Pagi",IF(J624&lt;17,"Siang","Malam"))</f>
        <v>Malam</v>
      </c>
      <c r="L624" s="2" t="n">
        <f aca="false">IF(A624&lt;&gt;A623,1,0)</f>
        <v>1</v>
      </c>
    </row>
    <row r="625" customFormat="false" ht="15" hidden="false" customHeight="false" outlineLevel="0" collapsed="false">
      <c r="A625" s="2" t="s">
        <v>753</v>
      </c>
      <c r="B625" s="13" t="n">
        <v>46273</v>
      </c>
      <c r="C625" s="2" t="s">
        <v>84</v>
      </c>
      <c r="D625" s="2" t="n">
        <v>2</v>
      </c>
      <c r="E625" s="15" t="n">
        <v>0.800694444444445</v>
      </c>
      <c r="F625" s="7" t="n">
        <v>5000</v>
      </c>
      <c r="G625" s="7" t="n">
        <f aca="false">D625*F625</f>
        <v>10000</v>
      </c>
      <c r="H625" s="2" t="str">
        <f aca="false">INDEX(Daftar_Menu!$B$2:$B$13,MATCH(C625,Daftar_Menu!$A$2:$A$13,0))</f>
        <v>Minuman</v>
      </c>
      <c r="I625" s="2" t="str">
        <f aca="false">CHOOSE(WEEKDAY(B625,2),"Senin","Selasa","Rabu","Kamis","Jumat","Sabtu","Minggu")</f>
        <v>Selasa</v>
      </c>
      <c r="J625" s="2" t="n">
        <f aca="false">HOUR(E625)</f>
        <v>19</v>
      </c>
      <c r="K625" s="2" t="str">
        <f aca="false">IF(J625&lt;11,"Pagi",IF(J625&lt;17,"Siang","Malam"))</f>
        <v>Malam</v>
      </c>
      <c r="L625" s="2" t="n">
        <f aca="false">IF(A625&lt;&gt;A624,1,0)</f>
        <v>0</v>
      </c>
    </row>
    <row r="626" customFormat="false" ht="15" hidden="false" customHeight="false" outlineLevel="0" collapsed="false">
      <c r="A626" s="2" t="s">
        <v>755</v>
      </c>
      <c r="B626" s="13" t="n">
        <v>46273</v>
      </c>
      <c r="C626" s="2" t="s">
        <v>79</v>
      </c>
      <c r="D626" s="2" t="n">
        <v>1</v>
      </c>
      <c r="E626" s="15" t="n">
        <v>0.811805555555556</v>
      </c>
      <c r="F626" s="7" t="n">
        <v>16000</v>
      </c>
      <c r="G626" s="7" t="n">
        <f aca="false">D626*F626</f>
        <v>16000</v>
      </c>
      <c r="H626" s="2" t="str">
        <f aca="false">INDEX(Daftar_Menu!$B$2:$B$13,MATCH(C626,Daftar_Menu!$A$2:$A$13,0))</f>
        <v>Makanan</v>
      </c>
      <c r="I626" s="2" t="str">
        <f aca="false">CHOOSE(WEEKDAY(B626,2),"Senin","Selasa","Rabu","Kamis","Jumat","Sabtu","Minggu")</f>
        <v>Selasa</v>
      </c>
      <c r="J626" s="2" t="n">
        <f aca="false">HOUR(E626)</f>
        <v>19</v>
      </c>
      <c r="K626" s="2" t="str">
        <f aca="false">IF(J626&lt;11,"Pagi",IF(J626&lt;17,"Siang","Malam"))</f>
        <v>Malam</v>
      </c>
      <c r="L626" s="2" t="n">
        <f aca="false">IF(A626&lt;&gt;A625,1,0)</f>
        <v>1</v>
      </c>
    </row>
    <row r="627" customFormat="false" ht="15" hidden="false" customHeight="false" outlineLevel="0" collapsed="false">
      <c r="A627" s="2" t="s">
        <v>755</v>
      </c>
      <c r="B627" s="13" t="n">
        <v>46273</v>
      </c>
      <c r="C627" s="2" t="s">
        <v>101</v>
      </c>
      <c r="D627" s="2" t="n">
        <v>1</v>
      </c>
      <c r="E627" s="15" t="n">
        <v>0.811805555555556</v>
      </c>
      <c r="F627" s="7" t="n">
        <v>18000</v>
      </c>
      <c r="G627" s="7" t="n">
        <f aca="false">D627*F627</f>
        <v>18000</v>
      </c>
      <c r="H627" s="2" t="str">
        <f aca="false">INDEX(Daftar_Menu!$B$2:$B$13,MATCH(C627,Daftar_Menu!$A$2:$A$13,0))</f>
        <v>Makanan</v>
      </c>
      <c r="I627" s="2" t="str">
        <f aca="false">CHOOSE(WEEKDAY(B627,2),"Senin","Selasa","Rabu","Kamis","Jumat","Sabtu","Minggu")</f>
        <v>Selasa</v>
      </c>
      <c r="J627" s="2" t="n">
        <f aca="false">HOUR(E627)</f>
        <v>19</v>
      </c>
      <c r="K627" s="2" t="str">
        <f aca="false">IF(J627&lt;11,"Pagi",IF(J627&lt;17,"Siang","Malam"))</f>
        <v>Malam</v>
      </c>
      <c r="L627" s="2" t="n">
        <f aca="false">IF(A627&lt;&gt;A626,1,0)</f>
        <v>0</v>
      </c>
    </row>
    <row r="628" customFormat="false" ht="15" hidden="false" customHeight="false" outlineLevel="0" collapsed="false">
      <c r="A628" s="2" t="s">
        <v>755</v>
      </c>
      <c r="B628" s="13" t="n">
        <v>46273</v>
      </c>
      <c r="C628" s="2" t="s">
        <v>92</v>
      </c>
      <c r="D628" s="2" t="n">
        <v>1</v>
      </c>
      <c r="E628" s="15" t="n">
        <v>0.811805555555556</v>
      </c>
      <c r="F628" s="7" t="n">
        <v>4000</v>
      </c>
      <c r="G628" s="7" t="n">
        <f aca="false">D628*F628</f>
        <v>4000</v>
      </c>
      <c r="H628" s="2" t="str">
        <f aca="false">INDEX(Daftar_Menu!$B$2:$B$13,MATCH(C628,Daftar_Menu!$A$2:$A$13,0))</f>
        <v>Minuman</v>
      </c>
      <c r="I628" s="2" t="str">
        <f aca="false">CHOOSE(WEEKDAY(B628,2),"Senin","Selasa","Rabu","Kamis","Jumat","Sabtu","Minggu")</f>
        <v>Selasa</v>
      </c>
      <c r="J628" s="2" t="n">
        <f aca="false">HOUR(E628)</f>
        <v>19</v>
      </c>
      <c r="K628" s="2" t="str">
        <f aca="false">IF(J628&lt;11,"Pagi",IF(J628&lt;17,"Siang","Malam"))</f>
        <v>Malam</v>
      </c>
      <c r="L628" s="2" t="n">
        <f aca="false">IF(A628&lt;&gt;A627,1,0)</f>
        <v>0</v>
      </c>
    </row>
    <row r="629" customFormat="false" ht="15" hidden="false" customHeight="false" outlineLevel="0" collapsed="false">
      <c r="A629" s="2" t="s">
        <v>756</v>
      </c>
      <c r="B629" s="13" t="n">
        <v>46273</v>
      </c>
      <c r="C629" s="2" t="s">
        <v>108</v>
      </c>
      <c r="D629" s="2" t="n">
        <v>2</v>
      </c>
      <c r="E629" s="15" t="n">
        <v>0.813194444444444</v>
      </c>
      <c r="F629" s="7" t="n">
        <v>20000</v>
      </c>
      <c r="G629" s="7" t="n">
        <f aca="false">D629*F629</f>
        <v>40000</v>
      </c>
      <c r="H629" s="2" t="str">
        <f aca="false">INDEX(Daftar_Menu!$B$2:$B$13,MATCH(C629,Daftar_Menu!$A$2:$A$13,0))</f>
        <v>Makanan</v>
      </c>
      <c r="I629" s="2" t="str">
        <f aca="false">CHOOSE(WEEKDAY(B629,2),"Senin","Selasa","Rabu","Kamis","Jumat","Sabtu","Minggu")</f>
        <v>Selasa</v>
      </c>
      <c r="J629" s="2" t="n">
        <f aca="false">HOUR(E629)</f>
        <v>19</v>
      </c>
      <c r="K629" s="2" t="str">
        <f aca="false">IF(J629&lt;11,"Pagi",IF(J629&lt;17,"Siang","Malam"))</f>
        <v>Malam</v>
      </c>
      <c r="L629" s="2" t="n">
        <f aca="false">IF(A629&lt;&gt;A628,1,0)</f>
        <v>1</v>
      </c>
    </row>
    <row r="630" customFormat="false" ht="15" hidden="false" customHeight="false" outlineLevel="0" collapsed="false">
      <c r="A630" s="2" t="s">
        <v>756</v>
      </c>
      <c r="B630" s="13" t="n">
        <v>46273</v>
      </c>
      <c r="C630" s="2" t="s">
        <v>101</v>
      </c>
      <c r="D630" s="2" t="n">
        <v>1</v>
      </c>
      <c r="E630" s="15" t="n">
        <v>0.813194444444444</v>
      </c>
      <c r="F630" s="7" t="n">
        <v>18000</v>
      </c>
      <c r="G630" s="7" t="n">
        <f aca="false">D630*F630</f>
        <v>18000</v>
      </c>
      <c r="H630" s="2" t="str">
        <f aca="false">INDEX(Daftar_Menu!$B$2:$B$13,MATCH(C630,Daftar_Menu!$A$2:$A$13,0))</f>
        <v>Makanan</v>
      </c>
      <c r="I630" s="2" t="str">
        <f aca="false">CHOOSE(WEEKDAY(B630,2),"Senin","Selasa","Rabu","Kamis","Jumat","Sabtu","Minggu")</f>
        <v>Selasa</v>
      </c>
      <c r="J630" s="2" t="n">
        <f aca="false">HOUR(E630)</f>
        <v>19</v>
      </c>
      <c r="K630" s="2" t="str">
        <f aca="false">IF(J630&lt;11,"Pagi",IF(J630&lt;17,"Siang","Malam"))</f>
        <v>Malam</v>
      </c>
      <c r="L630" s="2" t="n">
        <f aca="false">IF(A630&lt;&gt;A629,1,0)</f>
        <v>0</v>
      </c>
    </row>
    <row r="631" customFormat="false" ht="15" hidden="false" customHeight="false" outlineLevel="0" collapsed="false">
      <c r="A631" s="2" t="s">
        <v>757</v>
      </c>
      <c r="B631" s="13" t="n">
        <v>46273</v>
      </c>
      <c r="C631" s="2" t="s">
        <v>89</v>
      </c>
      <c r="D631" s="2" t="n">
        <v>1</v>
      </c>
      <c r="E631" s="15" t="n">
        <v>0.825694444444444</v>
      </c>
      <c r="F631" s="7" t="n">
        <v>14000</v>
      </c>
      <c r="G631" s="7" t="n">
        <f aca="false">D631*F631</f>
        <v>14000</v>
      </c>
      <c r="H631" s="2" t="str">
        <f aca="false">INDEX(Daftar_Menu!$B$2:$B$13,MATCH(C631,Daftar_Menu!$A$2:$A$13,0))</f>
        <v>Makanan</v>
      </c>
      <c r="I631" s="2" t="str">
        <f aca="false">CHOOSE(WEEKDAY(B631,2),"Senin","Selasa","Rabu","Kamis","Jumat","Sabtu","Minggu")</f>
        <v>Selasa</v>
      </c>
      <c r="J631" s="2" t="n">
        <f aca="false">HOUR(E631)</f>
        <v>19</v>
      </c>
      <c r="K631" s="2" t="str">
        <f aca="false">IF(J631&lt;11,"Pagi",IF(J631&lt;17,"Siang","Malam"))</f>
        <v>Malam</v>
      </c>
      <c r="L631" s="2" t="n">
        <f aca="false">IF(A631&lt;&gt;A630,1,0)</f>
        <v>1</v>
      </c>
    </row>
    <row r="632" customFormat="false" ht="15" hidden="false" customHeight="false" outlineLevel="0" collapsed="false">
      <c r="A632" s="2" t="s">
        <v>757</v>
      </c>
      <c r="B632" s="13" t="n">
        <v>46273</v>
      </c>
      <c r="C632" s="2" t="s">
        <v>84</v>
      </c>
      <c r="D632" s="2" t="n">
        <v>2</v>
      </c>
      <c r="E632" s="15" t="n">
        <v>0.825694444444444</v>
      </c>
      <c r="F632" s="7" t="n">
        <v>5000</v>
      </c>
      <c r="G632" s="7" t="n">
        <f aca="false">D632*F632</f>
        <v>10000</v>
      </c>
      <c r="H632" s="2" t="str">
        <f aca="false">INDEX(Daftar_Menu!$B$2:$B$13,MATCH(C632,Daftar_Menu!$A$2:$A$13,0))</f>
        <v>Minuman</v>
      </c>
      <c r="I632" s="2" t="str">
        <f aca="false">CHOOSE(WEEKDAY(B632,2),"Senin","Selasa","Rabu","Kamis","Jumat","Sabtu","Minggu")</f>
        <v>Selasa</v>
      </c>
      <c r="J632" s="2" t="n">
        <f aca="false">HOUR(E632)</f>
        <v>19</v>
      </c>
      <c r="K632" s="2" t="str">
        <f aca="false">IF(J632&lt;11,"Pagi",IF(J632&lt;17,"Siang","Malam"))</f>
        <v>Malam</v>
      </c>
      <c r="L632" s="2" t="n">
        <f aca="false">IF(A632&lt;&gt;A631,1,0)</f>
        <v>0</v>
      </c>
    </row>
    <row r="633" customFormat="false" ht="15" hidden="false" customHeight="false" outlineLevel="0" collapsed="false">
      <c r="A633" s="2" t="s">
        <v>757</v>
      </c>
      <c r="B633" s="13" t="n">
        <v>46273</v>
      </c>
      <c r="C633" s="2" t="s">
        <v>79</v>
      </c>
      <c r="D633" s="2" t="n">
        <v>1</v>
      </c>
      <c r="E633" s="15" t="n">
        <v>0.825694444444444</v>
      </c>
      <c r="F633" s="7" t="n">
        <v>16000</v>
      </c>
      <c r="G633" s="7" t="n">
        <f aca="false">D633*F633</f>
        <v>16000</v>
      </c>
      <c r="H633" s="2" t="str">
        <f aca="false">INDEX(Daftar_Menu!$B$2:$B$13,MATCH(C633,Daftar_Menu!$A$2:$A$13,0))</f>
        <v>Makanan</v>
      </c>
      <c r="I633" s="2" t="str">
        <f aca="false">CHOOSE(WEEKDAY(B633,2),"Senin","Selasa","Rabu","Kamis","Jumat","Sabtu","Minggu")</f>
        <v>Selasa</v>
      </c>
      <c r="J633" s="2" t="n">
        <f aca="false">HOUR(E633)</f>
        <v>19</v>
      </c>
      <c r="K633" s="2" t="str">
        <f aca="false">IF(J633&lt;11,"Pagi",IF(J633&lt;17,"Siang","Malam"))</f>
        <v>Malam</v>
      </c>
      <c r="L633" s="2" t="n">
        <f aca="false">IF(A633&lt;&gt;A632,1,0)</f>
        <v>0</v>
      </c>
    </row>
    <row r="634" customFormat="false" ht="15" hidden="false" customHeight="false" outlineLevel="0" collapsed="false">
      <c r="A634" s="2" t="s">
        <v>759</v>
      </c>
      <c r="B634" s="13" t="n">
        <v>46273</v>
      </c>
      <c r="C634" s="2" t="s">
        <v>82</v>
      </c>
      <c r="D634" s="2" t="n">
        <v>1</v>
      </c>
      <c r="E634" s="15" t="n">
        <v>0.842361111111111</v>
      </c>
      <c r="F634" s="7" t="n">
        <v>13000</v>
      </c>
      <c r="G634" s="7" t="n">
        <f aca="false">D634*F634</f>
        <v>13000</v>
      </c>
      <c r="H634" s="2" t="str">
        <f aca="false">INDEX(Daftar_Menu!$B$2:$B$13,MATCH(C634,Daftar_Menu!$A$2:$A$13,0))</f>
        <v>Makanan</v>
      </c>
      <c r="I634" s="2" t="str">
        <f aca="false">CHOOSE(WEEKDAY(B634,2),"Senin","Selasa","Rabu","Kamis","Jumat","Sabtu","Minggu")</f>
        <v>Selasa</v>
      </c>
      <c r="J634" s="2" t="n">
        <f aca="false">HOUR(E634)</f>
        <v>20</v>
      </c>
      <c r="K634" s="2" t="str">
        <f aca="false">IF(J634&lt;11,"Pagi",IF(J634&lt;17,"Siang","Malam"))</f>
        <v>Malam</v>
      </c>
      <c r="L634" s="2" t="n">
        <f aca="false">IF(A634&lt;&gt;A633,1,0)</f>
        <v>1</v>
      </c>
    </row>
    <row r="635" customFormat="false" ht="15" hidden="false" customHeight="false" outlineLevel="0" collapsed="false">
      <c r="A635" s="2" t="s">
        <v>761</v>
      </c>
      <c r="B635" s="13" t="n">
        <v>46273</v>
      </c>
      <c r="C635" s="2" t="s">
        <v>79</v>
      </c>
      <c r="D635" s="2" t="n">
        <v>1</v>
      </c>
      <c r="E635" s="15" t="n">
        <v>0.871527777777778</v>
      </c>
      <c r="F635" s="7" t="n">
        <v>16000</v>
      </c>
      <c r="G635" s="7" t="n">
        <f aca="false">D635*F635</f>
        <v>16000</v>
      </c>
      <c r="H635" s="2" t="str">
        <f aca="false">INDEX(Daftar_Menu!$B$2:$B$13,MATCH(C635,Daftar_Menu!$A$2:$A$13,0))</f>
        <v>Makanan</v>
      </c>
      <c r="I635" s="2" t="str">
        <f aca="false">CHOOSE(WEEKDAY(B635,2),"Senin","Selasa","Rabu","Kamis","Jumat","Sabtu","Minggu")</f>
        <v>Selasa</v>
      </c>
      <c r="J635" s="2" t="n">
        <f aca="false">HOUR(E635)</f>
        <v>20</v>
      </c>
      <c r="K635" s="2" t="str">
        <f aca="false">IF(J635&lt;11,"Pagi",IF(J635&lt;17,"Siang","Malam"))</f>
        <v>Malam</v>
      </c>
      <c r="L635" s="2" t="n">
        <f aca="false">IF(A635&lt;&gt;A634,1,0)</f>
        <v>1</v>
      </c>
    </row>
    <row r="636" customFormat="false" ht="15" hidden="false" customHeight="false" outlineLevel="0" collapsed="false">
      <c r="A636" s="2" t="s">
        <v>761</v>
      </c>
      <c r="B636" s="13" t="n">
        <v>46273</v>
      </c>
      <c r="C636" s="2" t="s">
        <v>89</v>
      </c>
      <c r="D636" s="2" t="n">
        <v>1</v>
      </c>
      <c r="E636" s="15" t="n">
        <v>0.871527777777778</v>
      </c>
      <c r="F636" s="7" t="n">
        <v>14000</v>
      </c>
      <c r="G636" s="7" t="n">
        <f aca="false">D636*F636</f>
        <v>14000</v>
      </c>
      <c r="H636" s="2" t="str">
        <f aca="false">INDEX(Daftar_Menu!$B$2:$B$13,MATCH(C636,Daftar_Menu!$A$2:$A$13,0))</f>
        <v>Makanan</v>
      </c>
      <c r="I636" s="2" t="str">
        <f aca="false">CHOOSE(WEEKDAY(B636,2),"Senin","Selasa","Rabu","Kamis","Jumat","Sabtu","Minggu")</f>
        <v>Selasa</v>
      </c>
      <c r="J636" s="2" t="n">
        <f aca="false">HOUR(E636)</f>
        <v>20</v>
      </c>
      <c r="K636" s="2" t="str">
        <f aca="false">IF(J636&lt;11,"Pagi",IF(J636&lt;17,"Siang","Malam"))</f>
        <v>Malam</v>
      </c>
      <c r="L636" s="2" t="n">
        <f aca="false">IF(A636&lt;&gt;A635,1,0)</f>
        <v>0</v>
      </c>
    </row>
    <row r="637" customFormat="false" ht="15" hidden="false" customHeight="false" outlineLevel="0" collapsed="false">
      <c r="A637" s="2" t="s">
        <v>763</v>
      </c>
      <c r="B637" s="13" t="n">
        <v>46273</v>
      </c>
      <c r="C637" s="2" t="s">
        <v>82</v>
      </c>
      <c r="D637" s="2" t="n">
        <v>1</v>
      </c>
      <c r="E637" s="15" t="n">
        <v>0.873611111111111</v>
      </c>
      <c r="F637" s="7" t="n">
        <v>13000</v>
      </c>
      <c r="G637" s="7" t="n">
        <f aca="false">D637*F637</f>
        <v>13000</v>
      </c>
      <c r="H637" s="2" t="str">
        <f aca="false">INDEX(Daftar_Menu!$B$2:$B$13,MATCH(C637,Daftar_Menu!$A$2:$A$13,0))</f>
        <v>Makanan</v>
      </c>
      <c r="I637" s="2" t="str">
        <f aca="false">CHOOSE(WEEKDAY(B637,2),"Senin","Selasa","Rabu","Kamis","Jumat","Sabtu","Minggu")</f>
        <v>Selasa</v>
      </c>
      <c r="J637" s="2" t="n">
        <f aca="false">HOUR(E637)</f>
        <v>20</v>
      </c>
      <c r="K637" s="2" t="str">
        <f aca="false">IF(J637&lt;11,"Pagi",IF(J637&lt;17,"Siang","Malam"))</f>
        <v>Malam</v>
      </c>
      <c r="L637" s="2" t="n">
        <f aca="false">IF(A637&lt;&gt;A636,1,0)</f>
        <v>1</v>
      </c>
    </row>
    <row r="638" customFormat="false" ht="15" hidden="false" customHeight="false" outlineLevel="0" collapsed="false">
      <c r="A638" s="2" t="s">
        <v>763</v>
      </c>
      <c r="B638" s="13" t="n">
        <v>46273</v>
      </c>
      <c r="C638" s="2" t="s">
        <v>126</v>
      </c>
      <c r="D638" s="2" t="n">
        <v>2</v>
      </c>
      <c r="E638" s="15" t="n">
        <v>0.873611111111111</v>
      </c>
      <c r="F638" s="7" t="n">
        <v>3000</v>
      </c>
      <c r="G638" s="7" t="n">
        <f aca="false">D638*F638</f>
        <v>6000</v>
      </c>
      <c r="H638" s="2" t="str">
        <f aca="false">INDEX(Daftar_Menu!$B$2:$B$13,MATCH(C638,Daftar_Menu!$A$2:$A$13,0))</f>
        <v>Minuman</v>
      </c>
      <c r="I638" s="2" t="str">
        <f aca="false">CHOOSE(WEEKDAY(B638,2),"Senin","Selasa","Rabu","Kamis","Jumat","Sabtu","Minggu")</f>
        <v>Selasa</v>
      </c>
      <c r="J638" s="2" t="n">
        <f aca="false">HOUR(E638)</f>
        <v>20</v>
      </c>
      <c r="K638" s="2" t="str">
        <f aca="false">IF(J638&lt;11,"Pagi",IF(J638&lt;17,"Siang","Malam"))</f>
        <v>Malam</v>
      </c>
      <c r="L638" s="2" t="n">
        <f aca="false">IF(A638&lt;&gt;A637,1,0)</f>
        <v>0</v>
      </c>
    </row>
    <row r="639" customFormat="false" ht="15" hidden="false" customHeight="false" outlineLevel="0" collapsed="false">
      <c r="A639" s="2" t="s">
        <v>765</v>
      </c>
      <c r="B639" s="13" t="n">
        <v>46274</v>
      </c>
      <c r="C639" s="2" t="s">
        <v>186</v>
      </c>
      <c r="D639" s="2" t="n">
        <v>1</v>
      </c>
      <c r="E639" s="15" t="n">
        <v>0.382638888888889</v>
      </c>
      <c r="F639" s="7" t="n">
        <v>7000</v>
      </c>
      <c r="G639" s="7" t="n">
        <f aca="false">D639*F639</f>
        <v>7000</v>
      </c>
      <c r="H639" s="2" t="str">
        <f aca="false">INDEX(Daftar_Menu!$B$2:$B$13,MATCH(C639,Daftar_Menu!$A$2:$A$13,0))</f>
        <v>Minuman</v>
      </c>
      <c r="I639" s="2" t="str">
        <f aca="false">CHOOSE(WEEKDAY(B639,2),"Senin","Selasa","Rabu","Kamis","Jumat","Sabtu","Minggu")</f>
        <v>Rabu</v>
      </c>
      <c r="J639" s="2" t="n">
        <f aca="false">HOUR(E639)</f>
        <v>9</v>
      </c>
      <c r="K639" s="2" t="str">
        <f aca="false">IF(J639&lt;11,"Pagi",IF(J639&lt;17,"Siang","Malam"))</f>
        <v>Pagi</v>
      </c>
      <c r="L639" s="2" t="n">
        <f aca="false">IF(A639&lt;&gt;A638,1,0)</f>
        <v>1</v>
      </c>
    </row>
    <row r="640" customFormat="false" ht="15" hidden="false" customHeight="false" outlineLevel="0" collapsed="false">
      <c r="A640" s="2" t="s">
        <v>766</v>
      </c>
      <c r="B640" s="13" t="n">
        <v>46274</v>
      </c>
      <c r="C640" s="2" t="s">
        <v>84</v>
      </c>
      <c r="D640" s="2" t="n">
        <v>1</v>
      </c>
      <c r="E640" s="15" t="n">
        <v>0.409722222222222</v>
      </c>
      <c r="F640" s="7" t="n">
        <v>5000</v>
      </c>
      <c r="G640" s="7" t="n">
        <f aca="false">D640*F640</f>
        <v>5000</v>
      </c>
      <c r="H640" s="2" t="str">
        <f aca="false">INDEX(Daftar_Menu!$B$2:$B$13,MATCH(C640,Daftar_Menu!$A$2:$A$13,0))</f>
        <v>Minuman</v>
      </c>
      <c r="I640" s="2" t="str">
        <f aca="false">CHOOSE(WEEKDAY(B640,2),"Senin","Selasa","Rabu","Kamis","Jumat","Sabtu","Minggu")</f>
        <v>Rabu</v>
      </c>
      <c r="J640" s="2" t="n">
        <f aca="false">HOUR(E640)</f>
        <v>9</v>
      </c>
      <c r="K640" s="2" t="str">
        <f aca="false">IF(J640&lt;11,"Pagi",IF(J640&lt;17,"Siang","Malam"))</f>
        <v>Pagi</v>
      </c>
      <c r="L640" s="2" t="n">
        <f aca="false">IF(A640&lt;&gt;A639,1,0)</f>
        <v>1</v>
      </c>
    </row>
    <row r="641" customFormat="false" ht="15" hidden="false" customHeight="false" outlineLevel="0" collapsed="false">
      <c r="A641" s="2" t="s">
        <v>766</v>
      </c>
      <c r="B641" s="13" t="n">
        <v>46274</v>
      </c>
      <c r="C641" s="2" t="s">
        <v>101</v>
      </c>
      <c r="D641" s="2" t="n">
        <v>1</v>
      </c>
      <c r="E641" s="15" t="n">
        <v>0.409722222222222</v>
      </c>
      <c r="F641" s="7" t="n">
        <v>18000</v>
      </c>
      <c r="G641" s="7" t="n">
        <f aca="false">D641*F641</f>
        <v>18000</v>
      </c>
      <c r="H641" s="2" t="str">
        <f aca="false">INDEX(Daftar_Menu!$B$2:$B$13,MATCH(C641,Daftar_Menu!$A$2:$A$13,0))</f>
        <v>Makanan</v>
      </c>
      <c r="I641" s="2" t="str">
        <f aca="false">CHOOSE(WEEKDAY(B641,2),"Senin","Selasa","Rabu","Kamis","Jumat","Sabtu","Minggu")</f>
        <v>Rabu</v>
      </c>
      <c r="J641" s="2" t="n">
        <f aca="false">HOUR(E641)</f>
        <v>9</v>
      </c>
      <c r="K641" s="2" t="str">
        <f aca="false">IF(J641&lt;11,"Pagi",IF(J641&lt;17,"Siang","Malam"))</f>
        <v>Pagi</v>
      </c>
      <c r="L641" s="2" t="n">
        <f aca="false">IF(A641&lt;&gt;A640,1,0)</f>
        <v>0</v>
      </c>
    </row>
    <row r="642" customFormat="false" ht="15" hidden="false" customHeight="false" outlineLevel="0" collapsed="false">
      <c r="A642" s="2" t="s">
        <v>768</v>
      </c>
      <c r="B642" s="13" t="n">
        <v>46274</v>
      </c>
      <c r="C642" s="2" t="s">
        <v>112</v>
      </c>
      <c r="D642" s="2" t="n">
        <v>1</v>
      </c>
      <c r="E642" s="15" t="n">
        <v>0.442361111111111</v>
      </c>
      <c r="F642" s="7" t="n">
        <v>10000</v>
      </c>
      <c r="G642" s="7" t="n">
        <f aca="false">D642*F642</f>
        <v>10000</v>
      </c>
      <c r="H642" s="2" t="str">
        <f aca="false">INDEX(Daftar_Menu!$B$2:$B$13,MATCH(C642,Daftar_Menu!$A$2:$A$13,0))</f>
        <v>Minuman</v>
      </c>
      <c r="I642" s="2" t="str">
        <f aca="false">CHOOSE(WEEKDAY(B642,2),"Senin","Selasa","Rabu","Kamis","Jumat","Sabtu","Minggu")</f>
        <v>Rabu</v>
      </c>
      <c r="J642" s="2" t="n">
        <f aca="false">HOUR(E642)</f>
        <v>10</v>
      </c>
      <c r="K642" s="2" t="str">
        <f aca="false">IF(J642&lt;11,"Pagi",IF(J642&lt;17,"Siang","Malam"))</f>
        <v>Pagi</v>
      </c>
      <c r="L642" s="2" t="n">
        <f aca="false">IF(A642&lt;&gt;A641,1,0)</f>
        <v>1</v>
      </c>
    </row>
    <row r="643" customFormat="false" ht="15" hidden="false" customHeight="false" outlineLevel="0" collapsed="false">
      <c r="A643" s="2" t="s">
        <v>768</v>
      </c>
      <c r="B643" s="13" t="n">
        <v>46274</v>
      </c>
      <c r="C643" s="2" t="s">
        <v>79</v>
      </c>
      <c r="D643" s="2" t="n">
        <v>2</v>
      </c>
      <c r="E643" s="15" t="n">
        <v>0.442361111111111</v>
      </c>
      <c r="F643" s="7" t="n">
        <v>16000</v>
      </c>
      <c r="G643" s="7" t="n">
        <f aca="false">D643*F643</f>
        <v>32000</v>
      </c>
      <c r="H643" s="2" t="str">
        <f aca="false">INDEX(Daftar_Menu!$B$2:$B$13,MATCH(C643,Daftar_Menu!$A$2:$A$13,0))</f>
        <v>Makanan</v>
      </c>
      <c r="I643" s="2" t="str">
        <f aca="false">CHOOSE(WEEKDAY(B643,2),"Senin","Selasa","Rabu","Kamis","Jumat","Sabtu","Minggu")</f>
        <v>Rabu</v>
      </c>
      <c r="J643" s="2" t="n">
        <f aca="false">HOUR(E643)</f>
        <v>10</v>
      </c>
      <c r="K643" s="2" t="str">
        <f aca="false">IF(J643&lt;11,"Pagi",IF(J643&lt;17,"Siang","Malam"))</f>
        <v>Pagi</v>
      </c>
      <c r="L643" s="2" t="n">
        <f aca="false">IF(A643&lt;&gt;A642,1,0)</f>
        <v>0</v>
      </c>
    </row>
    <row r="644" customFormat="false" ht="15" hidden="false" customHeight="false" outlineLevel="0" collapsed="false">
      <c r="A644" s="2" t="s">
        <v>771</v>
      </c>
      <c r="B644" s="13" t="n">
        <v>46274</v>
      </c>
      <c r="C644" s="2" t="s">
        <v>84</v>
      </c>
      <c r="D644" s="2" t="n">
        <v>1</v>
      </c>
      <c r="E644" s="15" t="n">
        <v>0.446527777777778</v>
      </c>
      <c r="F644" s="7" t="n">
        <v>5000</v>
      </c>
      <c r="G644" s="7" t="n">
        <f aca="false">D644*F644</f>
        <v>5000</v>
      </c>
      <c r="H644" s="2" t="str">
        <f aca="false">INDEX(Daftar_Menu!$B$2:$B$13,MATCH(C644,Daftar_Menu!$A$2:$A$13,0))</f>
        <v>Minuman</v>
      </c>
      <c r="I644" s="2" t="str">
        <f aca="false">CHOOSE(WEEKDAY(B644,2),"Senin","Selasa","Rabu","Kamis","Jumat","Sabtu","Minggu")</f>
        <v>Rabu</v>
      </c>
      <c r="J644" s="2" t="n">
        <f aca="false">HOUR(E644)</f>
        <v>10</v>
      </c>
      <c r="K644" s="2" t="str">
        <f aca="false">IF(J644&lt;11,"Pagi",IF(J644&lt;17,"Siang","Malam"))</f>
        <v>Pagi</v>
      </c>
      <c r="L644" s="2" t="n">
        <f aca="false">IF(A644&lt;&gt;A643,1,0)</f>
        <v>1</v>
      </c>
    </row>
    <row r="645" customFormat="false" ht="15" hidden="false" customHeight="false" outlineLevel="0" collapsed="false">
      <c r="A645" s="2" t="s">
        <v>773</v>
      </c>
      <c r="B645" s="13" t="n">
        <v>46274</v>
      </c>
      <c r="C645" s="2" t="s">
        <v>101</v>
      </c>
      <c r="D645" s="2" t="n">
        <v>1</v>
      </c>
      <c r="E645" s="15" t="n">
        <v>0.466666666666667</v>
      </c>
      <c r="F645" s="7" t="n">
        <v>18000</v>
      </c>
      <c r="G645" s="7" t="n">
        <f aca="false">D645*F645</f>
        <v>18000</v>
      </c>
      <c r="H645" s="2" t="str">
        <f aca="false">INDEX(Daftar_Menu!$B$2:$B$13,MATCH(C645,Daftar_Menu!$A$2:$A$13,0))</f>
        <v>Makanan</v>
      </c>
      <c r="I645" s="2" t="str">
        <f aca="false">CHOOSE(WEEKDAY(B645,2),"Senin","Selasa","Rabu","Kamis","Jumat","Sabtu","Minggu")</f>
        <v>Rabu</v>
      </c>
      <c r="J645" s="2" t="n">
        <f aca="false">HOUR(E645)</f>
        <v>11</v>
      </c>
      <c r="K645" s="2" t="str">
        <f aca="false">IF(J645&lt;11,"Pagi",IF(J645&lt;17,"Siang","Malam"))</f>
        <v>Siang</v>
      </c>
      <c r="L645" s="2" t="n">
        <f aca="false">IF(A645&lt;&gt;A644,1,0)</f>
        <v>1</v>
      </c>
    </row>
    <row r="646" customFormat="false" ht="15" hidden="false" customHeight="false" outlineLevel="0" collapsed="false">
      <c r="A646" s="2" t="s">
        <v>773</v>
      </c>
      <c r="B646" s="13" t="n">
        <v>46274</v>
      </c>
      <c r="C646" s="2" t="s">
        <v>81</v>
      </c>
      <c r="D646" s="2" t="n">
        <v>1</v>
      </c>
      <c r="E646" s="15" t="n">
        <v>0.466666666666667</v>
      </c>
      <c r="F646" s="7" t="n">
        <v>15000</v>
      </c>
      <c r="G646" s="7" t="n">
        <f aca="false">D646*F646</f>
        <v>15000</v>
      </c>
      <c r="H646" s="2" t="str">
        <f aca="false">INDEX(Daftar_Menu!$B$2:$B$13,MATCH(C646,Daftar_Menu!$A$2:$A$13,0))</f>
        <v>Makanan</v>
      </c>
      <c r="I646" s="2" t="str">
        <f aca="false">CHOOSE(WEEKDAY(B646,2),"Senin","Selasa","Rabu","Kamis","Jumat","Sabtu","Minggu")</f>
        <v>Rabu</v>
      </c>
      <c r="J646" s="2" t="n">
        <f aca="false">HOUR(E646)</f>
        <v>11</v>
      </c>
      <c r="K646" s="2" t="str">
        <f aca="false">IF(J646&lt;11,"Pagi",IF(J646&lt;17,"Siang","Malam"))</f>
        <v>Siang</v>
      </c>
      <c r="L646" s="2" t="n">
        <f aca="false">IF(A646&lt;&gt;A645,1,0)</f>
        <v>0</v>
      </c>
    </row>
    <row r="647" customFormat="false" ht="15" hidden="false" customHeight="false" outlineLevel="0" collapsed="false">
      <c r="A647" s="2" t="s">
        <v>773</v>
      </c>
      <c r="B647" s="13" t="n">
        <v>46274</v>
      </c>
      <c r="C647" s="2" t="s">
        <v>92</v>
      </c>
      <c r="D647" s="2" t="n">
        <v>1</v>
      </c>
      <c r="E647" s="15" t="n">
        <v>0.466666666666667</v>
      </c>
      <c r="F647" s="7" t="n">
        <v>4000</v>
      </c>
      <c r="G647" s="7" t="n">
        <f aca="false">D647*F647</f>
        <v>4000</v>
      </c>
      <c r="H647" s="2" t="str">
        <f aca="false">INDEX(Daftar_Menu!$B$2:$B$13,MATCH(C647,Daftar_Menu!$A$2:$A$13,0))</f>
        <v>Minuman</v>
      </c>
      <c r="I647" s="2" t="str">
        <f aca="false">CHOOSE(WEEKDAY(B647,2),"Senin","Selasa","Rabu","Kamis","Jumat","Sabtu","Minggu")</f>
        <v>Rabu</v>
      </c>
      <c r="J647" s="2" t="n">
        <f aca="false">HOUR(E647)</f>
        <v>11</v>
      </c>
      <c r="K647" s="2" t="str">
        <f aca="false">IF(J647&lt;11,"Pagi",IF(J647&lt;17,"Siang","Malam"))</f>
        <v>Siang</v>
      </c>
      <c r="L647" s="2" t="n">
        <f aca="false">IF(A647&lt;&gt;A646,1,0)</f>
        <v>0</v>
      </c>
    </row>
    <row r="648" customFormat="false" ht="15" hidden="false" customHeight="false" outlineLevel="0" collapsed="false">
      <c r="A648" s="2" t="s">
        <v>775</v>
      </c>
      <c r="B648" s="13" t="n">
        <v>46274</v>
      </c>
      <c r="C648" s="2" t="s">
        <v>84</v>
      </c>
      <c r="D648" s="2" t="n">
        <v>1</v>
      </c>
      <c r="E648" s="15" t="n">
        <v>0.468055555555556</v>
      </c>
      <c r="F648" s="7" t="n">
        <v>5000</v>
      </c>
      <c r="G648" s="7" t="n">
        <f aca="false">D648*F648</f>
        <v>5000</v>
      </c>
      <c r="H648" s="2" t="str">
        <f aca="false">INDEX(Daftar_Menu!$B$2:$B$13,MATCH(C648,Daftar_Menu!$A$2:$A$13,0))</f>
        <v>Minuman</v>
      </c>
      <c r="I648" s="2" t="str">
        <f aca="false">CHOOSE(WEEKDAY(B648,2),"Senin","Selasa","Rabu","Kamis","Jumat","Sabtu","Minggu")</f>
        <v>Rabu</v>
      </c>
      <c r="J648" s="2" t="n">
        <f aca="false">HOUR(E648)</f>
        <v>11</v>
      </c>
      <c r="K648" s="2" t="str">
        <f aca="false">IF(J648&lt;11,"Pagi",IF(J648&lt;17,"Siang","Malam"))</f>
        <v>Siang</v>
      </c>
      <c r="L648" s="2" t="n">
        <f aca="false">IF(A648&lt;&gt;A647,1,0)</f>
        <v>1</v>
      </c>
    </row>
    <row r="649" customFormat="false" ht="15" hidden="false" customHeight="false" outlineLevel="0" collapsed="false">
      <c r="A649" s="2" t="s">
        <v>776</v>
      </c>
      <c r="B649" s="13" t="n">
        <v>46274</v>
      </c>
      <c r="C649" s="2" t="s">
        <v>132</v>
      </c>
      <c r="D649" s="2" t="n">
        <v>1</v>
      </c>
      <c r="E649" s="15" t="n">
        <v>0.470138888888889</v>
      </c>
      <c r="F649" s="7" t="n">
        <v>15000</v>
      </c>
      <c r="G649" s="7" t="n">
        <f aca="false">D649*F649</f>
        <v>15000</v>
      </c>
      <c r="H649" s="2" t="str">
        <f aca="false">INDEX(Daftar_Menu!$B$2:$B$13,MATCH(C649,Daftar_Menu!$A$2:$A$13,0))</f>
        <v>Makanan</v>
      </c>
      <c r="I649" s="2" t="str">
        <f aca="false">CHOOSE(WEEKDAY(B649,2),"Senin","Selasa","Rabu","Kamis","Jumat","Sabtu","Minggu")</f>
        <v>Rabu</v>
      </c>
      <c r="J649" s="2" t="n">
        <f aca="false">HOUR(E649)</f>
        <v>11</v>
      </c>
      <c r="K649" s="2" t="str">
        <f aca="false">IF(J649&lt;11,"Pagi",IF(J649&lt;17,"Siang","Malam"))</f>
        <v>Siang</v>
      </c>
      <c r="L649" s="2" t="n">
        <f aca="false">IF(A649&lt;&gt;A648,1,0)</f>
        <v>1</v>
      </c>
    </row>
    <row r="650" customFormat="false" ht="15" hidden="false" customHeight="false" outlineLevel="0" collapsed="false">
      <c r="A650" s="2" t="s">
        <v>776</v>
      </c>
      <c r="B650" s="13" t="n">
        <v>46274</v>
      </c>
      <c r="C650" s="2" t="s">
        <v>112</v>
      </c>
      <c r="D650" s="2" t="n">
        <v>1</v>
      </c>
      <c r="E650" s="15" t="n">
        <v>0.470138888888889</v>
      </c>
      <c r="F650" s="7" t="n">
        <v>10000</v>
      </c>
      <c r="G650" s="7" t="n">
        <f aca="false">D650*F650</f>
        <v>10000</v>
      </c>
      <c r="H650" s="2" t="str">
        <f aca="false">INDEX(Daftar_Menu!$B$2:$B$13,MATCH(C650,Daftar_Menu!$A$2:$A$13,0))</f>
        <v>Minuman</v>
      </c>
      <c r="I650" s="2" t="str">
        <f aca="false">CHOOSE(WEEKDAY(B650,2),"Senin","Selasa","Rabu","Kamis","Jumat","Sabtu","Minggu")</f>
        <v>Rabu</v>
      </c>
      <c r="J650" s="2" t="n">
        <f aca="false">HOUR(E650)</f>
        <v>11</v>
      </c>
      <c r="K650" s="2" t="str">
        <f aca="false">IF(J650&lt;11,"Pagi",IF(J650&lt;17,"Siang","Malam"))</f>
        <v>Siang</v>
      </c>
      <c r="L650" s="2" t="n">
        <f aca="false">IF(A650&lt;&gt;A649,1,0)</f>
        <v>0</v>
      </c>
    </row>
    <row r="651" customFormat="false" ht="15" hidden="false" customHeight="false" outlineLevel="0" collapsed="false">
      <c r="A651" s="2" t="s">
        <v>776</v>
      </c>
      <c r="B651" s="13" t="n">
        <v>46274</v>
      </c>
      <c r="C651" s="2" t="s">
        <v>82</v>
      </c>
      <c r="D651" s="2" t="n">
        <v>2</v>
      </c>
      <c r="E651" s="15" t="n">
        <v>0.470138888888889</v>
      </c>
      <c r="F651" s="7" t="n">
        <v>13000</v>
      </c>
      <c r="G651" s="7" t="n">
        <f aca="false">D651*F651</f>
        <v>26000</v>
      </c>
      <c r="H651" s="2" t="str">
        <f aca="false">INDEX(Daftar_Menu!$B$2:$B$13,MATCH(C651,Daftar_Menu!$A$2:$A$13,0))</f>
        <v>Makanan</v>
      </c>
      <c r="I651" s="2" t="str">
        <f aca="false">CHOOSE(WEEKDAY(B651,2),"Senin","Selasa","Rabu","Kamis","Jumat","Sabtu","Minggu")</f>
        <v>Rabu</v>
      </c>
      <c r="J651" s="2" t="n">
        <f aca="false">HOUR(E651)</f>
        <v>11</v>
      </c>
      <c r="K651" s="2" t="str">
        <f aca="false">IF(J651&lt;11,"Pagi",IF(J651&lt;17,"Siang","Malam"))</f>
        <v>Siang</v>
      </c>
      <c r="L651" s="2" t="n">
        <f aca="false">IF(A651&lt;&gt;A650,1,0)</f>
        <v>0</v>
      </c>
    </row>
    <row r="652" customFormat="false" ht="15" hidden="false" customHeight="false" outlineLevel="0" collapsed="false">
      <c r="A652" s="2" t="s">
        <v>777</v>
      </c>
      <c r="B652" s="13" t="n">
        <v>46274</v>
      </c>
      <c r="C652" s="2" t="s">
        <v>101</v>
      </c>
      <c r="D652" s="2" t="n">
        <v>1</v>
      </c>
      <c r="E652" s="15" t="n">
        <v>0.482638888888889</v>
      </c>
      <c r="F652" s="7" t="n">
        <v>18000</v>
      </c>
      <c r="G652" s="7" t="n">
        <f aca="false">D652*F652</f>
        <v>18000</v>
      </c>
      <c r="H652" s="2" t="str">
        <f aca="false">INDEX(Daftar_Menu!$B$2:$B$13,MATCH(C652,Daftar_Menu!$A$2:$A$13,0))</f>
        <v>Makanan</v>
      </c>
      <c r="I652" s="2" t="str">
        <f aca="false">CHOOSE(WEEKDAY(B652,2),"Senin","Selasa","Rabu","Kamis","Jumat","Sabtu","Minggu")</f>
        <v>Rabu</v>
      </c>
      <c r="J652" s="2" t="n">
        <f aca="false">HOUR(E652)</f>
        <v>11</v>
      </c>
      <c r="K652" s="2" t="str">
        <f aca="false">IF(J652&lt;11,"Pagi",IF(J652&lt;17,"Siang","Malam"))</f>
        <v>Siang</v>
      </c>
      <c r="L652" s="2" t="n">
        <f aca="false">IF(A652&lt;&gt;A651,1,0)</f>
        <v>1</v>
      </c>
    </row>
    <row r="653" customFormat="false" ht="15" hidden="false" customHeight="false" outlineLevel="0" collapsed="false">
      <c r="A653" s="2" t="s">
        <v>777</v>
      </c>
      <c r="B653" s="13" t="n">
        <v>46274</v>
      </c>
      <c r="C653" s="2" t="s">
        <v>84</v>
      </c>
      <c r="D653" s="2" t="n">
        <v>2</v>
      </c>
      <c r="E653" s="15" t="n">
        <v>0.482638888888889</v>
      </c>
      <c r="F653" s="7" t="n">
        <v>5000</v>
      </c>
      <c r="G653" s="7" t="n">
        <f aca="false">D653*F653</f>
        <v>10000</v>
      </c>
      <c r="H653" s="2" t="str">
        <f aca="false">INDEX(Daftar_Menu!$B$2:$B$13,MATCH(C653,Daftar_Menu!$A$2:$A$13,0))</f>
        <v>Minuman</v>
      </c>
      <c r="I653" s="2" t="str">
        <f aca="false">CHOOSE(WEEKDAY(B653,2),"Senin","Selasa","Rabu","Kamis","Jumat","Sabtu","Minggu")</f>
        <v>Rabu</v>
      </c>
      <c r="J653" s="2" t="n">
        <f aca="false">HOUR(E653)</f>
        <v>11</v>
      </c>
      <c r="K653" s="2" t="str">
        <f aca="false">IF(J653&lt;11,"Pagi",IF(J653&lt;17,"Siang","Malam"))</f>
        <v>Siang</v>
      </c>
      <c r="L653" s="2" t="n">
        <f aca="false">IF(A653&lt;&gt;A652,1,0)</f>
        <v>0</v>
      </c>
    </row>
    <row r="654" customFormat="false" ht="15" hidden="false" customHeight="false" outlineLevel="0" collapsed="false">
      <c r="A654" s="2" t="s">
        <v>779</v>
      </c>
      <c r="B654" s="13" t="n">
        <v>46274</v>
      </c>
      <c r="C654" s="2" t="s">
        <v>79</v>
      </c>
      <c r="D654" s="2" t="n">
        <v>1</v>
      </c>
      <c r="E654" s="15" t="n">
        <v>0.488888888888889</v>
      </c>
      <c r="F654" s="7" t="n">
        <v>16000</v>
      </c>
      <c r="G654" s="7" t="n">
        <f aca="false">D654*F654</f>
        <v>16000</v>
      </c>
      <c r="H654" s="2" t="str">
        <f aca="false">INDEX(Daftar_Menu!$B$2:$B$13,MATCH(C654,Daftar_Menu!$A$2:$A$13,0))</f>
        <v>Makanan</v>
      </c>
      <c r="I654" s="2" t="str">
        <f aca="false">CHOOSE(WEEKDAY(B654,2),"Senin","Selasa","Rabu","Kamis","Jumat","Sabtu","Minggu")</f>
        <v>Rabu</v>
      </c>
      <c r="J654" s="2" t="n">
        <f aca="false">HOUR(E654)</f>
        <v>11</v>
      </c>
      <c r="K654" s="2" t="str">
        <f aca="false">IF(J654&lt;11,"Pagi",IF(J654&lt;17,"Siang","Malam"))</f>
        <v>Siang</v>
      </c>
      <c r="L654" s="2" t="n">
        <f aca="false">IF(A654&lt;&gt;A653,1,0)</f>
        <v>1</v>
      </c>
    </row>
    <row r="655" customFormat="false" ht="15" hidden="false" customHeight="false" outlineLevel="0" collapsed="false">
      <c r="A655" s="2" t="s">
        <v>780</v>
      </c>
      <c r="B655" s="13" t="n">
        <v>46274</v>
      </c>
      <c r="C655" s="2" t="s">
        <v>84</v>
      </c>
      <c r="D655" s="2" t="n">
        <v>1</v>
      </c>
      <c r="E655" s="15" t="n">
        <v>0.495138888888889</v>
      </c>
      <c r="F655" s="7" t="n">
        <v>5000</v>
      </c>
      <c r="G655" s="7" t="n">
        <f aca="false">D655*F655</f>
        <v>5000</v>
      </c>
      <c r="H655" s="2" t="str">
        <f aca="false">INDEX(Daftar_Menu!$B$2:$B$13,MATCH(C655,Daftar_Menu!$A$2:$A$13,0))</f>
        <v>Minuman</v>
      </c>
      <c r="I655" s="2" t="str">
        <f aca="false">CHOOSE(WEEKDAY(B655,2),"Senin","Selasa","Rabu","Kamis","Jumat","Sabtu","Minggu")</f>
        <v>Rabu</v>
      </c>
      <c r="J655" s="2" t="n">
        <f aca="false">HOUR(E655)</f>
        <v>11</v>
      </c>
      <c r="K655" s="2" t="str">
        <f aca="false">IF(J655&lt;11,"Pagi",IF(J655&lt;17,"Siang","Malam"))</f>
        <v>Siang</v>
      </c>
      <c r="L655" s="2" t="n">
        <f aca="false">IF(A655&lt;&gt;A654,1,0)</f>
        <v>1</v>
      </c>
    </row>
    <row r="656" customFormat="false" ht="15" hidden="false" customHeight="false" outlineLevel="0" collapsed="false">
      <c r="A656" s="2" t="s">
        <v>782</v>
      </c>
      <c r="B656" s="13" t="n">
        <v>46274</v>
      </c>
      <c r="C656" s="2" t="s">
        <v>112</v>
      </c>
      <c r="D656" s="2" t="n">
        <v>2</v>
      </c>
      <c r="E656" s="15" t="n">
        <v>0.500694444444444</v>
      </c>
      <c r="F656" s="7" t="n">
        <v>10000</v>
      </c>
      <c r="G656" s="7" t="n">
        <f aca="false">D656*F656</f>
        <v>20000</v>
      </c>
      <c r="H656" s="2" t="str">
        <f aca="false">INDEX(Daftar_Menu!$B$2:$B$13,MATCH(C656,Daftar_Menu!$A$2:$A$13,0))</f>
        <v>Minuman</v>
      </c>
      <c r="I656" s="2" t="str">
        <f aca="false">CHOOSE(WEEKDAY(B656,2),"Senin","Selasa","Rabu","Kamis","Jumat","Sabtu","Minggu")</f>
        <v>Rabu</v>
      </c>
      <c r="J656" s="2" t="n">
        <f aca="false">HOUR(E656)</f>
        <v>12</v>
      </c>
      <c r="K656" s="2" t="str">
        <f aca="false">IF(J656&lt;11,"Pagi",IF(J656&lt;17,"Siang","Malam"))</f>
        <v>Siang</v>
      </c>
      <c r="L656" s="2" t="n">
        <f aca="false">IF(A656&lt;&gt;A655,1,0)</f>
        <v>1</v>
      </c>
    </row>
    <row r="657" customFormat="false" ht="15" hidden="false" customHeight="false" outlineLevel="0" collapsed="false">
      <c r="A657" s="2" t="s">
        <v>783</v>
      </c>
      <c r="B657" s="13" t="n">
        <v>46274</v>
      </c>
      <c r="C657" s="2" t="s">
        <v>112</v>
      </c>
      <c r="D657" s="2" t="n">
        <v>1</v>
      </c>
      <c r="E657" s="15" t="n">
        <v>0.506944444444444</v>
      </c>
      <c r="F657" s="7" t="n">
        <v>10000</v>
      </c>
      <c r="G657" s="7" t="n">
        <f aca="false">D657*F657</f>
        <v>10000</v>
      </c>
      <c r="H657" s="2" t="str">
        <f aca="false">INDEX(Daftar_Menu!$B$2:$B$13,MATCH(C657,Daftar_Menu!$A$2:$A$13,0))</f>
        <v>Minuman</v>
      </c>
      <c r="I657" s="2" t="str">
        <f aca="false">CHOOSE(WEEKDAY(B657,2),"Senin","Selasa","Rabu","Kamis","Jumat","Sabtu","Minggu")</f>
        <v>Rabu</v>
      </c>
      <c r="J657" s="2" t="n">
        <f aca="false">HOUR(E657)</f>
        <v>12</v>
      </c>
      <c r="K657" s="2" t="str">
        <f aca="false">IF(J657&lt;11,"Pagi",IF(J657&lt;17,"Siang","Malam"))</f>
        <v>Siang</v>
      </c>
      <c r="L657" s="2" t="n">
        <f aca="false">IF(A657&lt;&gt;A656,1,0)</f>
        <v>1</v>
      </c>
    </row>
    <row r="658" customFormat="false" ht="15" hidden="false" customHeight="false" outlineLevel="0" collapsed="false">
      <c r="A658" s="2" t="s">
        <v>783</v>
      </c>
      <c r="B658" s="13" t="n">
        <v>46274</v>
      </c>
      <c r="C658" s="2" t="s">
        <v>92</v>
      </c>
      <c r="D658" s="2" t="n">
        <v>2</v>
      </c>
      <c r="E658" s="15" t="n">
        <v>0.506944444444444</v>
      </c>
      <c r="F658" s="7" t="n">
        <v>4000</v>
      </c>
      <c r="G658" s="7" t="n">
        <f aca="false">D658*F658</f>
        <v>8000</v>
      </c>
      <c r="H658" s="2" t="str">
        <f aca="false">INDEX(Daftar_Menu!$B$2:$B$13,MATCH(C658,Daftar_Menu!$A$2:$A$13,0))</f>
        <v>Minuman</v>
      </c>
      <c r="I658" s="2" t="str">
        <f aca="false">CHOOSE(WEEKDAY(B658,2),"Senin","Selasa","Rabu","Kamis","Jumat","Sabtu","Minggu")</f>
        <v>Rabu</v>
      </c>
      <c r="J658" s="2" t="n">
        <f aca="false">HOUR(E658)</f>
        <v>12</v>
      </c>
      <c r="K658" s="2" t="str">
        <f aca="false">IF(J658&lt;11,"Pagi",IF(J658&lt;17,"Siang","Malam"))</f>
        <v>Siang</v>
      </c>
      <c r="L658" s="2" t="n">
        <f aca="false">IF(A658&lt;&gt;A657,1,0)</f>
        <v>0</v>
      </c>
    </row>
    <row r="659" customFormat="false" ht="15" hidden="false" customHeight="false" outlineLevel="0" collapsed="false">
      <c r="A659" s="2" t="s">
        <v>784</v>
      </c>
      <c r="B659" s="13" t="n">
        <v>46274</v>
      </c>
      <c r="C659" s="2" t="s">
        <v>126</v>
      </c>
      <c r="D659" s="2" t="n">
        <v>1</v>
      </c>
      <c r="E659" s="15" t="n">
        <v>0.522222222222222</v>
      </c>
      <c r="F659" s="7" t="n">
        <v>3000</v>
      </c>
      <c r="G659" s="7" t="n">
        <f aca="false">D659*F659</f>
        <v>3000</v>
      </c>
      <c r="H659" s="2" t="str">
        <f aca="false">INDEX(Daftar_Menu!$B$2:$B$13,MATCH(C659,Daftar_Menu!$A$2:$A$13,0))</f>
        <v>Minuman</v>
      </c>
      <c r="I659" s="2" t="str">
        <f aca="false">CHOOSE(WEEKDAY(B659,2),"Senin","Selasa","Rabu","Kamis","Jumat","Sabtu","Minggu")</f>
        <v>Rabu</v>
      </c>
      <c r="J659" s="2" t="n">
        <f aca="false">HOUR(E659)</f>
        <v>12</v>
      </c>
      <c r="K659" s="2" t="str">
        <f aca="false">IF(J659&lt;11,"Pagi",IF(J659&lt;17,"Siang","Malam"))</f>
        <v>Siang</v>
      </c>
      <c r="L659" s="2" t="n">
        <f aca="false">IF(A659&lt;&gt;A658,1,0)</f>
        <v>1</v>
      </c>
    </row>
    <row r="660" customFormat="false" ht="15" hidden="false" customHeight="false" outlineLevel="0" collapsed="false">
      <c r="A660" s="2" t="s">
        <v>784</v>
      </c>
      <c r="B660" s="13" t="n">
        <v>46274</v>
      </c>
      <c r="C660" s="2" t="s">
        <v>101</v>
      </c>
      <c r="D660" s="2" t="n">
        <v>1</v>
      </c>
      <c r="E660" s="15" t="n">
        <v>0.522222222222222</v>
      </c>
      <c r="F660" s="7" t="n">
        <v>18000</v>
      </c>
      <c r="G660" s="7" t="n">
        <f aca="false">D660*F660</f>
        <v>18000</v>
      </c>
      <c r="H660" s="2" t="str">
        <f aca="false">INDEX(Daftar_Menu!$B$2:$B$13,MATCH(C660,Daftar_Menu!$A$2:$A$13,0))</f>
        <v>Makanan</v>
      </c>
      <c r="I660" s="2" t="str">
        <f aca="false">CHOOSE(WEEKDAY(B660,2),"Senin","Selasa","Rabu","Kamis","Jumat","Sabtu","Minggu")</f>
        <v>Rabu</v>
      </c>
      <c r="J660" s="2" t="n">
        <f aca="false">HOUR(E660)</f>
        <v>12</v>
      </c>
      <c r="K660" s="2" t="str">
        <f aca="false">IF(J660&lt;11,"Pagi",IF(J660&lt;17,"Siang","Malam"))</f>
        <v>Siang</v>
      </c>
      <c r="L660" s="2" t="n">
        <f aca="false">IF(A660&lt;&gt;A659,1,0)</f>
        <v>0</v>
      </c>
    </row>
    <row r="661" customFormat="false" ht="15" hidden="false" customHeight="false" outlineLevel="0" collapsed="false">
      <c r="A661" s="2" t="s">
        <v>785</v>
      </c>
      <c r="B661" s="13" t="n">
        <v>46274</v>
      </c>
      <c r="C661" s="2" t="s">
        <v>108</v>
      </c>
      <c r="D661" s="2" t="n">
        <v>2</v>
      </c>
      <c r="E661" s="15" t="n">
        <v>0.536111111111111</v>
      </c>
      <c r="F661" s="7" t="n">
        <v>20000</v>
      </c>
      <c r="G661" s="7" t="n">
        <f aca="false">D661*F661</f>
        <v>40000</v>
      </c>
      <c r="H661" s="2" t="str">
        <f aca="false">INDEX(Daftar_Menu!$B$2:$B$13,MATCH(C661,Daftar_Menu!$A$2:$A$13,0))</f>
        <v>Makanan</v>
      </c>
      <c r="I661" s="2" t="str">
        <f aca="false">CHOOSE(WEEKDAY(B661,2),"Senin","Selasa","Rabu","Kamis","Jumat","Sabtu","Minggu")</f>
        <v>Rabu</v>
      </c>
      <c r="J661" s="2" t="n">
        <f aca="false">HOUR(E661)</f>
        <v>12</v>
      </c>
      <c r="K661" s="2" t="str">
        <f aca="false">IF(J661&lt;11,"Pagi",IF(J661&lt;17,"Siang","Malam"))</f>
        <v>Siang</v>
      </c>
      <c r="L661" s="2" t="n">
        <f aca="false">IF(A661&lt;&gt;A660,1,0)</f>
        <v>1</v>
      </c>
    </row>
    <row r="662" customFormat="false" ht="15" hidden="false" customHeight="false" outlineLevel="0" collapsed="false">
      <c r="A662" s="2" t="s">
        <v>787</v>
      </c>
      <c r="B662" s="13" t="n">
        <v>46274</v>
      </c>
      <c r="C662" s="2" t="s">
        <v>84</v>
      </c>
      <c r="D662" s="2" t="n">
        <v>1</v>
      </c>
      <c r="E662" s="15" t="n">
        <v>0.560416666666667</v>
      </c>
      <c r="F662" s="7" t="n">
        <v>5000</v>
      </c>
      <c r="G662" s="7" t="n">
        <f aca="false">D662*F662</f>
        <v>5000</v>
      </c>
      <c r="H662" s="2" t="str">
        <f aca="false">INDEX(Daftar_Menu!$B$2:$B$13,MATCH(C662,Daftar_Menu!$A$2:$A$13,0))</f>
        <v>Minuman</v>
      </c>
      <c r="I662" s="2" t="str">
        <f aca="false">CHOOSE(WEEKDAY(B662,2),"Senin","Selasa","Rabu","Kamis","Jumat","Sabtu","Minggu")</f>
        <v>Rabu</v>
      </c>
      <c r="J662" s="2" t="n">
        <f aca="false">HOUR(E662)</f>
        <v>13</v>
      </c>
      <c r="K662" s="2" t="str">
        <f aca="false">IF(J662&lt;11,"Pagi",IF(J662&lt;17,"Siang","Malam"))</f>
        <v>Siang</v>
      </c>
      <c r="L662" s="2" t="n">
        <f aca="false">IF(A662&lt;&gt;A661,1,0)</f>
        <v>1</v>
      </c>
    </row>
    <row r="663" customFormat="false" ht="15" hidden="false" customHeight="false" outlineLevel="0" collapsed="false">
      <c r="A663" s="2" t="s">
        <v>788</v>
      </c>
      <c r="B663" s="13" t="n">
        <v>46274</v>
      </c>
      <c r="C663" s="2" t="s">
        <v>108</v>
      </c>
      <c r="D663" s="2" t="n">
        <v>1</v>
      </c>
      <c r="E663" s="15" t="n">
        <v>0.560416666666667</v>
      </c>
      <c r="F663" s="7" t="n">
        <v>20000</v>
      </c>
      <c r="G663" s="7" t="n">
        <f aca="false">D663*F663</f>
        <v>20000</v>
      </c>
      <c r="H663" s="2" t="str">
        <f aca="false">INDEX(Daftar_Menu!$B$2:$B$13,MATCH(C663,Daftar_Menu!$A$2:$A$13,0))</f>
        <v>Makanan</v>
      </c>
      <c r="I663" s="2" t="str">
        <f aca="false">CHOOSE(WEEKDAY(B663,2),"Senin","Selasa","Rabu","Kamis","Jumat","Sabtu","Minggu")</f>
        <v>Rabu</v>
      </c>
      <c r="J663" s="2" t="n">
        <f aca="false">HOUR(E663)</f>
        <v>13</v>
      </c>
      <c r="K663" s="2" t="str">
        <f aca="false">IF(J663&lt;11,"Pagi",IF(J663&lt;17,"Siang","Malam"))</f>
        <v>Siang</v>
      </c>
      <c r="L663" s="2" t="n">
        <f aca="false">IF(A663&lt;&gt;A662,1,0)</f>
        <v>1</v>
      </c>
    </row>
    <row r="664" customFormat="false" ht="15" hidden="false" customHeight="false" outlineLevel="0" collapsed="false">
      <c r="A664" s="2" t="s">
        <v>789</v>
      </c>
      <c r="B664" s="13" t="n">
        <v>46274</v>
      </c>
      <c r="C664" s="2" t="s">
        <v>84</v>
      </c>
      <c r="D664" s="2" t="n">
        <v>1</v>
      </c>
      <c r="E664" s="15" t="n">
        <v>0.561805555555556</v>
      </c>
      <c r="F664" s="7" t="n">
        <v>5000</v>
      </c>
      <c r="G664" s="7" t="n">
        <f aca="false">D664*F664</f>
        <v>5000</v>
      </c>
      <c r="H664" s="2" t="str">
        <f aca="false">INDEX(Daftar_Menu!$B$2:$B$13,MATCH(C664,Daftar_Menu!$A$2:$A$13,0))</f>
        <v>Minuman</v>
      </c>
      <c r="I664" s="2" t="str">
        <f aca="false">CHOOSE(WEEKDAY(B664,2),"Senin","Selasa","Rabu","Kamis","Jumat","Sabtu","Minggu")</f>
        <v>Rabu</v>
      </c>
      <c r="J664" s="2" t="n">
        <f aca="false">HOUR(E664)</f>
        <v>13</v>
      </c>
      <c r="K664" s="2" t="str">
        <f aca="false">IF(J664&lt;11,"Pagi",IF(J664&lt;17,"Siang","Malam"))</f>
        <v>Siang</v>
      </c>
      <c r="L664" s="2" t="n">
        <f aca="false">IF(A664&lt;&gt;A663,1,0)</f>
        <v>1</v>
      </c>
    </row>
    <row r="665" customFormat="false" ht="15" hidden="false" customHeight="false" outlineLevel="0" collapsed="false">
      <c r="A665" s="2" t="s">
        <v>790</v>
      </c>
      <c r="B665" s="13" t="n">
        <v>46274</v>
      </c>
      <c r="C665" s="2" t="s">
        <v>81</v>
      </c>
      <c r="D665" s="2" t="n">
        <v>3</v>
      </c>
      <c r="E665" s="15" t="n">
        <v>0.565277777777778</v>
      </c>
      <c r="F665" s="7" t="n">
        <v>15000</v>
      </c>
      <c r="G665" s="7" t="n">
        <f aca="false">D665*F665</f>
        <v>45000</v>
      </c>
      <c r="H665" s="2" t="str">
        <f aca="false">INDEX(Daftar_Menu!$B$2:$B$13,MATCH(C665,Daftar_Menu!$A$2:$A$13,0))</f>
        <v>Makanan</v>
      </c>
      <c r="I665" s="2" t="str">
        <f aca="false">CHOOSE(WEEKDAY(B665,2),"Senin","Selasa","Rabu","Kamis","Jumat","Sabtu","Minggu")</f>
        <v>Rabu</v>
      </c>
      <c r="J665" s="2" t="n">
        <f aca="false">HOUR(E665)</f>
        <v>13</v>
      </c>
      <c r="K665" s="2" t="str">
        <f aca="false">IF(J665&lt;11,"Pagi",IF(J665&lt;17,"Siang","Malam"))</f>
        <v>Siang</v>
      </c>
      <c r="L665" s="2" t="n">
        <f aca="false">IF(A665&lt;&gt;A664,1,0)</f>
        <v>1</v>
      </c>
    </row>
    <row r="666" customFormat="false" ht="15" hidden="false" customHeight="false" outlineLevel="0" collapsed="false">
      <c r="A666" s="2" t="s">
        <v>790</v>
      </c>
      <c r="B666" s="13" t="n">
        <v>46274</v>
      </c>
      <c r="C666" s="2" t="s">
        <v>89</v>
      </c>
      <c r="D666" s="2" t="n">
        <v>2</v>
      </c>
      <c r="E666" s="15" t="n">
        <v>0.565277777777778</v>
      </c>
      <c r="F666" s="7" t="n">
        <v>14000</v>
      </c>
      <c r="G666" s="7" t="n">
        <f aca="false">D666*F666</f>
        <v>28000</v>
      </c>
      <c r="H666" s="2" t="str">
        <f aca="false">INDEX(Daftar_Menu!$B$2:$B$13,MATCH(C666,Daftar_Menu!$A$2:$A$13,0))</f>
        <v>Makanan</v>
      </c>
      <c r="I666" s="2" t="str">
        <f aca="false">CHOOSE(WEEKDAY(B666,2),"Senin","Selasa","Rabu","Kamis","Jumat","Sabtu","Minggu")</f>
        <v>Rabu</v>
      </c>
      <c r="J666" s="2" t="n">
        <f aca="false">HOUR(E666)</f>
        <v>13</v>
      </c>
      <c r="K666" s="2" t="str">
        <f aca="false">IF(J666&lt;11,"Pagi",IF(J666&lt;17,"Siang","Malam"))</f>
        <v>Siang</v>
      </c>
      <c r="L666" s="2" t="n">
        <f aca="false">IF(A666&lt;&gt;A665,1,0)</f>
        <v>0</v>
      </c>
    </row>
    <row r="667" customFormat="false" ht="15" hidden="false" customHeight="false" outlineLevel="0" collapsed="false">
      <c r="A667" s="2" t="s">
        <v>791</v>
      </c>
      <c r="B667" s="13" t="n">
        <v>46274</v>
      </c>
      <c r="C667" s="2" t="s">
        <v>82</v>
      </c>
      <c r="D667" s="2" t="n">
        <v>1</v>
      </c>
      <c r="E667" s="15" t="n">
        <v>0.56875</v>
      </c>
      <c r="F667" s="7" t="n">
        <v>13000</v>
      </c>
      <c r="G667" s="7" t="n">
        <f aca="false">D667*F667</f>
        <v>13000</v>
      </c>
      <c r="H667" s="2" t="str">
        <f aca="false">INDEX(Daftar_Menu!$B$2:$B$13,MATCH(C667,Daftar_Menu!$A$2:$A$13,0))</f>
        <v>Makanan</v>
      </c>
      <c r="I667" s="2" t="str">
        <f aca="false">CHOOSE(WEEKDAY(B667,2),"Senin","Selasa","Rabu","Kamis","Jumat","Sabtu","Minggu")</f>
        <v>Rabu</v>
      </c>
      <c r="J667" s="2" t="n">
        <f aca="false">HOUR(E667)</f>
        <v>13</v>
      </c>
      <c r="K667" s="2" t="str">
        <f aca="false">IF(J667&lt;11,"Pagi",IF(J667&lt;17,"Siang","Malam"))</f>
        <v>Siang</v>
      </c>
      <c r="L667" s="2" t="n">
        <f aca="false">IF(A667&lt;&gt;A666,1,0)</f>
        <v>1</v>
      </c>
    </row>
    <row r="668" customFormat="false" ht="15" hidden="false" customHeight="false" outlineLevel="0" collapsed="false">
      <c r="A668" s="2" t="s">
        <v>791</v>
      </c>
      <c r="B668" s="13" t="n">
        <v>46274</v>
      </c>
      <c r="C668" s="2" t="s">
        <v>81</v>
      </c>
      <c r="D668" s="2" t="n">
        <v>1</v>
      </c>
      <c r="E668" s="15" t="n">
        <v>0.56875</v>
      </c>
      <c r="F668" s="7" t="n">
        <v>15000</v>
      </c>
      <c r="G668" s="7" t="n">
        <f aca="false">D668*F668</f>
        <v>15000</v>
      </c>
      <c r="H668" s="2" t="str">
        <f aca="false">INDEX(Daftar_Menu!$B$2:$B$13,MATCH(C668,Daftar_Menu!$A$2:$A$13,0))</f>
        <v>Makanan</v>
      </c>
      <c r="I668" s="2" t="str">
        <f aca="false">CHOOSE(WEEKDAY(B668,2),"Senin","Selasa","Rabu","Kamis","Jumat","Sabtu","Minggu")</f>
        <v>Rabu</v>
      </c>
      <c r="J668" s="2" t="n">
        <f aca="false">HOUR(E668)</f>
        <v>13</v>
      </c>
      <c r="K668" s="2" t="str">
        <f aca="false">IF(J668&lt;11,"Pagi",IF(J668&lt;17,"Siang","Malam"))</f>
        <v>Siang</v>
      </c>
      <c r="L668" s="2" t="n">
        <f aca="false">IF(A668&lt;&gt;A667,1,0)</f>
        <v>0</v>
      </c>
    </row>
    <row r="669" customFormat="false" ht="15" hidden="false" customHeight="false" outlineLevel="0" collapsed="false">
      <c r="A669" s="2" t="s">
        <v>793</v>
      </c>
      <c r="B669" s="13" t="n">
        <v>46274</v>
      </c>
      <c r="C669" s="2" t="s">
        <v>81</v>
      </c>
      <c r="D669" s="2" t="n">
        <v>2</v>
      </c>
      <c r="E669" s="15" t="n">
        <v>0.570138888888889</v>
      </c>
      <c r="F669" s="7" t="n">
        <v>15000</v>
      </c>
      <c r="G669" s="7" t="n">
        <f aca="false">D669*F669</f>
        <v>30000</v>
      </c>
      <c r="H669" s="2" t="str">
        <f aca="false">INDEX(Daftar_Menu!$B$2:$B$13,MATCH(C669,Daftar_Menu!$A$2:$A$13,0))</f>
        <v>Makanan</v>
      </c>
      <c r="I669" s="2" t="str">
        <f aca="false">CHOOSE(WEEKDAY(B669,2),"Senin","Selasa","Rabu","Kamis","Jumat","Sabtu","Minggu")</f>
        <v>Rabu</v>
      </c>
      <c r="J669" s="2" t="n">
        <f aca="false">HOUR(E669)</f>
        <v>13</v>
      </c>
      <c r="K669" s="2" t="str">
        <f aca="false">IF(J669&lt;11,"Pagi",IF(J669&lt;17,"Siang","Malam"))</f>
        <v>Siang</v>
      </c>
      <c r="L669" s="2" t="n">
        <f aca="false">IF(A669&lt;&gt;A668,1,0)</f>
        <v>1</v>
      </c>
    </row>
    <row r="670" customFormat="false" ht="15" hidden="false" customHeight="false" outlineLevel="0" collapsed="false">
      <c r="A670" s="2" t="s">
        <v>795</v>
      </c>
      <c r="B670" s="13" t="n">
        <v>46274</v>
      </c>
      <c r="C670" s="2" t="s">
        <v>132</v>
      </c>
      <c r="D670" s="2" t="n">
        <v>1</v>
      </c>
      <c r="E670" s="15" t="n">
        <v>0.585416666666667</v>
      </c>
      <c r="F670" s="7" t="n">
        <v>15000</v>
      </c>
      <c r="G670" s="7" t="n">
        <f aca="false">D670*F670</f>
        <v>15000</v>
      </c>
      <c r="H670" s="2" t="str">
        <f aca="false">INDEX(Daftar_Menu!$B$2:$B$13,MATCH(C670,Daftar_Menu!$A$2:$A$13,0))</f>
        <v>Makanan</v>
      </c>
      <c r="I670" s="2" t="str">
        <f aca="false">CHOOSE(WEEKDAY(B670,2),"Senin","Selasa","Rabu","Kamis","Jumat","Sabtu","Minggu")</f>
        <v>Rabu</v>
      </c>
      <c r="J670" s="2" t="n">
        <f aca="false">HOUR(E670)</f>
        <v>14</v>
      </c>
      <c r="K670" s="2" t="str">
        <f aca="false">IF(J670&lt;11,"Pagi",IF(J670&lt;17,"Siang","Malam"))</f>
        <v>Siang</v>
      </c>
      <c r="L670" s="2" t="n">
        <f aca="false">IF(A670&lt;&gt;A669,1,0)</f>
        <v>1</v>
      </c>
    </row>
    <row r="671" customFormat="false" ht="15" hidden="false" customHeight="false" outlineLevel="0" collapsed="false">
      <c r="A671" s="2" t="s">
        <v>797</v>
      </c>
      <c r="B671" s="13" t="n">
        <v>46274</v>
      </c>
      <c r="C671" s="2" t="s">
        <v>108</v>
      </c>
      <c r="D671" s="2" t="n">
        <v>3</v>
      </c>
      <c r="E671" s="15" t="n">
        <v>0.599305555555556</v>
      </c>
      <c r="F671" s="7" t="n">
        <v>20000</v>
      </c>
      <c r="G671" s="7" t="n">
        <f aca="false">D671*F671</f>
        <v>60000</v>
      </c>
      <c r="H671" s="2" t="str">
        <f aca="false">INDEX(Daftar_Menu!$B$2:$B$13,MATCH(C671,Daftar_Menu!$A$2:$A$13,0))</f>
        <v>Makanan</v>
      </c>
      <c r="I671" s="2" t="str">
        <f aca="false">CHOOSE(WEEKDAY(B671,2),"Senin","Selasa","Rabu","Kamis","Jumat","Sabtu","Minggu")</f>
        <v>Rabu</v>
      </c>
      <c r="J671" s="2" t="n">
        <f aca="false">HOUR(E671)</f>
        <v>14</v>
      </c>
      <c r="K671" s="2" t="str">
        <f aca="false">IF(J671&lt;11,"Pagi",IF(J671&lt;17,"Siang","Malam"))</f>
        <v>Siang</v>
      </c>
      <c r="L671" s="2" t="n">
        <f aca="false">IF(A671&lt;&gt;A670,1,0)</f>
        <v>1</v>
      </c>
    </row>
    <row r="672" customFormat="false" ht="15" hidden="false" customHeight="false" outlineLevel="0" collapsed="false">
      <c r="A672" s="2" t="s">
        <v>797</v>
      </c>
      <c r="B672" s="13" t="n">
        <v>46274</v>
      </c>
      <c r="C672" s="2" t="s">
        <v>81</v>
      </c>
      <c r="D672" s="2" t="n">
        <v>1</v>
      </c>
      <c r="E672" s="15" t="n">
        <v>0.599305555555556</v>
      </c>
      <c r="F672" s="7" t="n">
        <v>15000</v>
      </c>
      <c r="G672" s="7" t="n">
        <f aca="false">D672*F672</f>
        <v>15000</v>
      </c>
      <c r="H672" s="2" t="str">
        <f aca="false">INDEX(Daftar_Menu!$B$2:$B$13,MATCH(C672,Daftar_Menu!$A$2:$A$13,0))</f>
        <v>Makanan</v>
      </c>
      <c r="I672" s="2" t="str">
        <f aca="false">CHOOSE(WEEKDAY(B672,2),"Senin","Selasa","Rabu","Kamis","Jumat","Sabtu","Minggu")</f>
        <v>Rabu</v>
      </c>
      <c r="J672" s="2" t="n">
        <f aca="false">HOUR(E672)</f>
        <v>14</v>
      </c>
      <c r="K672" s="2" t="str">
        <f aca="false">IF(J672&lt;11,"Pagi",IF(J672&lt;17,"Siang","Malam"))</f>
        <v>Siang</v>
      </c>
      <c r="L672" s="2" t="n">
        <f aca="false">IF(A672&lt;&gt;A671,1,0)</f>
        <v>0</v>
      </c>
    </row>
    <row r="673" customFormat="false" ht="15" hidden="false" customHeight="false" outlineLevel="0" collapsed="false">
      <c r="A673" s="2" t="s">
        <v>799</v>
      </c>
      <c r="B673" s="13" t="n">
        <v>46274</v>
      </c>
      <c r="C673" s="2" t="s">
        <v>89</v>
      </c>
      <c r="D673" s="2" t="n">
        <v>1</v>
      </c>
      <c r="E673" s="15" t="n">
        <v>0.663194444444444</v>
      </c>
      <c r="F673" s="7" t="n">
        <v>14000</v>
      </c>
      <c r="G673" s="7" t="n">
        <f aca="false">D673*F673</f>
        <v>14000</v>
      </c>
      <c r="H673" s="2" t="str">
        <f aca="false">INDEX(Daftar_Menu!$B$2:$B$13,MATCH(C673,Daftar_Menu!$A$2:$A$13,0))</f>
        <v>Makanan</v>
      </c>
      <c r="I673" s="2" t="str">
        <f aca="false">CHOOSE(WEEKDAY(B673,2),"Senin","Selasa","Rabu","Kamis","Jumat","Sabtu","Minggu")</f>
        <v>Rabu</v>
      </c>
      <c r="J673" s="2" t="n">
        <f aca="false">HOUR(E673)</f>
        <v>15</v>
      </c>
      <c r="K673" s="2" t="str">
        <f aca="false">IF(J673&lt;11,"Pagi",IF(J673&lt;17,"Siang","Malam"))</f>
        <v>Siang</v>
      </c>
      <c r="L673" s="2" t="n">
        <f aca="false">IF(A673&lt;&gt;A672,1,0)</f>
        <v>1</v>
      </c>
    </row>
    <row r="674" customFormat="false" ht="15" hidden="false" customHeight="false" outlineLevel="0" collapsed="false">
      <c r="A674" s="2" t="s">
        <v>799</v>
      </c>
      <c r="B674" s="13" t="n">
        <v>46274</v>
      </c>
      <c r="C674" s="2" t="s">
        <v>186</v>
      </c>
      <c r="D674" s="2" t="n">
        <v>1</v>
      </c>
      <c r="E674" s="15" t="n">
        <v>0.663194444444444</v>
      </c>
      <c r="F674" s="7" t="n">
        <v>7000</v>
      </c>
      <c r="G674" s="7" t="n">
        <f aca="false">D674*F674</f>
        <v>7000</v>
      </c>
      <c r="H674" s="2" t="str">
        <f aca="false">INDEX(Daftar_Menu!$B$2:$B$13,MATCH(C674,Daftar_Menu!$A$2:$A$13,0))</f>
        <v>Minuman</v>
      </c>
      <c r="I674" s="2" t="str">
        <f aca="false">CHOOSE(WEEKDAY(B674,2),"Senin","Selasa","Rabu","Kamis","Jumat","Sabtu","Minggu")</f>
        <v>Rabu</v>
      </c>
      <c r="J674" s="2" t="n">
        <f aca="false">HOUR(E674)</f>
        <v>15</v>
      </c>
      <c r="K674" s="2" t="str">
        <f aca="false">IF(J674&lt;11,"Pagi",IF(J674&lt;17,"Siang","Malam"))</f>
        <v>Siang</v>
      </c>
      <c r="L674" s="2" t="n">
        <f aca="false">IF(A674&lt;&gt;A673,1,0)</f>
        <v>0</v>
      </c>
    </row>
    <row r="675" customFormat="false" ht="15" hidden="false" customHeight="false" outlineLevel="0" collapsed="false">
      <c r="A675" s="2" t="s">
        <v>799</v>
      </c>
      <c r="B675" s="13" t="n">
        <v>46274</v>
      </c>
      <c r="C675" s="2" t="s">
        <v>108</v>
      </c>
      <c r="D675" s="2" t="n">
        <v>1</v>
      </c>
      <c r="E675" s="15" t="n">
        <v>0.663194444444444</v>
      </c>
      <c r="F675" s="7" t="n">
        <v>20000</v>
      </c>
      <c r="G675" s="7" t="n">
        <f aca="false">D675*F675</f>
        <v>20000</v>
      </c>
      <c r="H675" s="2" t="str">
        <f aca="false">INDEX(Daftar_Menu!$B$2:$B$13,MATCH(C675,Daftar_Menu!$A$2:$A$13,0))</f>
        <v>Makanan</v>
      </c>
      <c r="I675" s="2" t="str">
        <f aca="false">CHOOSE(WEEKDAY(B675,2),"Senin","Selasa","Rabu","Kamis","Jumat","Sabtu","Minggu")</f>
        <v>Rabu</v>
      </c>
      <c r="J675" s="2" t="n">
        <f aca="false">HOUR(E675)</f>
        <v>15</v>
      </c>
      <c r="K675" s="2" t="str">
        <f aca="false">IF(J675&lt;11,"Pagi",IF(J675&lt;17,"Siang","Malam"))</f>
        <v>Siang</v>
      </c>
      <c r="L675" s="2" t="n">
        <f aca="false">IF(A675&lt;&gt;A674,1,0)</f>
        <v>0</v>
      </c>
    </row>
    <row r="676" customFormat="false" ht="15" hidden="false" customHeight="false" outlineLevel="0" collapsed="false">
      <c r="A676" s="2" t="s">
        <v>800</v>
      </c>
      <c r="B676" s="13" t="n">
        <v>46274</v>
      </c>
      <c r="C676" s="2" t="s">
        <v>89</v>
      </c>
      <c r="D676" s="2" t="n">
        <v>2</v>
      </c>
      <c r="E676" s="15" t="n">
        <v>0.710416666666667</v>
      </c>
      <c r="F676" s="7" t="n">
        <v>14000</v>
      </c>
      <c r="G676" s="7" t="n">
        <f aca="false">D676*F676</f>
        <v>28000</v>
      </c>
      <c r="H676" s="2" t="str">
        <f aca="false">INDEX(Daftar_Menu!$B$2:$B$13,MATCH(C676,Daftar_Menu!$A$2:$A$13,0))</f>
        <v>Makanan</v>
      </c>
      <c r="I676" s="2" t="str">
        <f aca="false">CHOOSE(WEEKDAY(B676,2),"Senin","Selasa","Rabu","Kamis","Jumat","Sabtu","Minggu")</f>
        <v>Rabu</v>
      </c>
      <c r="J676" s="2" t="n">
        <f aca="false">HOUR(E676)</f>
        <v>17</v>
      </c>
      <c r="K676" s="2" t="str">
        <f aca="false">IF(J676&lt;11,"Pagi",IF(J676&lt;17,"Siang","Malam"))</f>
        <v>Malam</v>
      </c>
      <c r="L676" s="2" t="n">
        <f aca="false">IF(A676&lt;&gt;A675,1,0)</f>
        <v>1</v>
      </c>
    </row>
    <row r="677" customFormat="false" ht="15" hidden="false" customHeight="false" outlineLevel="0" collapsed="false">
      <c r="A677" s="2" t="s">
        <v>802</v>
      </c>
      <c r="B677" s="13" t="n">
        <v>46274</v>
      </c>
      <c r="C677" s="2" t="s">
        <v>101</v>
      </c>
      <c r="D677" s="2" t="n">
        <v>1</v>
      </c>
      <c r="E677" s="15" t="n">
        <v>0.711805555555556</v>
      </c>
      <c r="F677" s="7" t="n">
        <v>18000</v>
      </c>
      <c r="G677" s="7" t="n">
        <f aca="false">D677*F677</f>
        <v>18000</v>
      </c>
      <c r="H677" s="2" t="str">
        <f aca="false">INDEX(Daftar_Menu!$B$2:$B$13,MATCH(C677,Daftar_Menu!$A$2:$A$13,0))</f>
        <v>Makanan</v>
      </c>
      <c r="I677" s="2" t="str">
        <f aca="false">CHOOSE(WEEKDAY(B677,2),"Senin","Selasa","Rabu","Kamis","Jumat","Sabtu","Minggu")</f>
        <v>Rabu</v>
      </c>
      <c r="J677" s="2" t="n">
        <f aca="false">HOUR(E677)</f>
        <v>17</v>
      </c>
      <c r="K677" s="2" t="str">
        <f aca="false">IF(J677&lt;11,"Pagi",IF(J677&lt;17,"Siang","Malam"))</f>
        <v>Malam</v>
      </c>
      <c r="L677" s="2" t="n">
        <f aca="false">IF(A677&lt;&gt;A676,1,0)</f>
        <v>1</v>
      </c>
    </row>
    <row r="678" customFormat="false" ht="15" hidden="false" customHeight="false" outlineLevel="0" collapsed="false">
      <c r="A678" s="2" t="s">
        <v>804</v>
      </c>
      <c r="B678" s="13" t="n">
        <v>46274</v>
      </c>
      <c r="C678" s="2" t="s">
        <v>126</v>
      </c>
      <c r="D678" s="2" t="n">
        <v>1</v>
      </c>
      <c r="E678" s="15" t="n">
        <v>0.726388888888889</v>
      </c>
      <c r="F678" s="7" t="n">
        <v>3000</v>
      </c>
      <c r="G678" s="7" t="n">
        <f aca="false">D678*F678</f>
        <v>3000</v>
      </c>
      <c r="H678" s="2" t="str">
        <f aca="false">INDEX(Daftar_Menu!$B$2:$B$13,MATCH(C678,Daftar_Menu!$A$2:$A$13,0))</f>
        <v>Minuman</v>
      </c>
      <c r="I678" s="2" t="str">
        <f aca="false">CHOOSE(WEEKDAY(B678,2),"Senin","Selasa","Rabu","Kamis","Jumat","Sabtu","Minggu")</f>
        <v>Rabu</v>
      </c>
      <c r="J678" s="2" t="n">
        <f aca="false">HOUR(E678)</f>
        <v>17</v>
      </c>
      <c r="K678" s="2" t="str">
        <f aca="false">IF(J678&lt;11,"Pagi",IF(J678&lt;17,"Siang","Malam"))</f>
        <v>Malam</v>
      </c>
      <c r="L678" s="2" t="n">
        <f aca="false">IF(A678&lt;&gt;A677,1,0)</f>
        <v>1</v>
      </c>
    </row>
    <row r="679" customFormat="false" ht="15" hidden="false" customHeight="false" outlineLevel="0" collapsed="false">
      <c r="A679" s="2" t="s">
        <v>804</v>
      </c>
      <c r="B679" s="13" t="n">
        <v>46274</v>
      </c>
      <c r="C679" s="2" t="s">
        <v>79</v>
      </c>
      <c r="D679" s="2" t="n">
        <v>1</v>
      </c>
      <c r="E679" s="15" t="n">
        <v>0.726388888888889</v>
      </c>
      <c r="F679" s="7" t="n">
        <v>16000</v>
      </c>
      <c r="G679" s="7" t="n">
        <f aca="false">D679*F679</f>
        <v>16000</v>
      </c>
      <c r="H679" s="2" t="str">
        <f aca="false">INDEX(Daftar_Menu!$B$2:$B$13,MATCH(C679,Daftar_Menu!$A$2:$A$13,0))</f>
        <v>Makanan</v>
      </c>
      <c r="I679" s="2" t="str">
        <f aca="false">CHOOSE(WEEKDAY(B679,2),"Senin","Selasa","Rabu","Kamis","Jumat","Sabtu","Minggu")</f>
        <v>Rabu</v>
      </c>
      <c r="J679" s="2" t="n">
        <f aca="false">HOUR(E679)</f>
        <v>17</v>
      </c>
      <c r="K679" s="2" t="str">
        <f aca="false">IF(J679&lt;11,"Pagi",IF(J679&lt;17,"Siang","Malam"))</f>
        <v>Malam</v>
      </c>
      <c r="L679" s="2" t="n">
        <f aca="false">IF(A679&lt;&gt;A678,1,0)</f>
        <v>0</v>
      </c>
    </row>
    <row r="680" customFormat="false" ht="15" hidden="false" customHeight="false" outlineLevel="0" collapsed="false">
      <c r="A680" s="2" t="s">
        <v>806</v>
      </c>
      <c r="B680" s="13" t="n">
        <v>46274</v>
      </c>
      <c r="C680" s="2" t="s">
        <v>132</v>
      </c>
      <c r="D680" s="2" t="n">
        <v>3</v>
      </c>
      <c r="E680" s="15" t="n">
        <v>0.727777777777778</v>
      </c>
      <c r="F680" s="7" t="n">
        <v>15000</v>
      </c>
      <c r="G680" s="7" t="n">
        <f aca="false">D680*F680</f>
        <v>45000</v>
      </c>
      <c r="H680" s="2" t="str">
        <f aca="false">INDEX(Daftar_Menu!$B$2:$B$13,MATCH(C680,Daftar_Menu!$A$2:$A$13,0))</f>
        <v>Makanan</v>
      </c>
      <c r="I680" s="2" t="str">
        <f aca="false">CHOOSE(WEEKDAY(B680,2),"Senin","Selasa","Rabu","Kamis","Jumat","Sabtu","Minggu")</f>
        <v>Rabu</v>
      </c>
      <c r="J680" s="2" t="n">
        <f aca="false">HOUR(E680)</f>
        <v>17</v>
      </c>
      <c r="K680" s="2" t="str">
        <f aca="false">IF(J680&lt;11,"Pagi",IF(J680&lt;17,"Siang","Malam"))</f>
        <v>Malam</v>
      </c>
      <c r="L680" s="2" t="n">
        <f aca="false">IF(A680&lt;&gt;A679,1,0)</f>
        <v>1</v>
      </c>
    </row>
    <row r="681" customFormat="false" ht="15" hidden="false" customHeight="false" outlineLevel="0" collapsed="false">
      <c r="A681" s="2" t="s">
        <v>808</v>
      </c>
      <c r="B681" s="13" t="n">
        <v>46274</v>
      </c>
      <c r="C681" s="2" t="s">
        <v>81</v>
      </c>
      <c r="D681" s="2" t="n">
        <v>1</v>
      </c>
      <c r="E681" s="15" t="n">
        <v>0.729861111111111</v>
      </c>
      <c r="F681" s="7" t="n">
        <v>15000</v>
      </c>
      <c r="G681" s="7" t="n">
        <f aca="false">D681*F681</f>
        <v>15000</v>
      </c>
      <c r="H681" s="2" t="str">
        <f aca="false">INDEX(Daftar_Menu!$B$2:$B$13,MATCH(C681,Daftar_Menu!$A$2:$A$13,0))</f>
        <v>Makanan</v>
      </c>
      <c r="I681" s="2" t="str">
        <f aca="false">CHOOSE(WEEKDAY(B681,2),"Senin","Selasa","Rabu","Kamis","Jumat","Sabtu","Minggu")</f>
        <v>Rabu</v>
      </c>
      <c r="J681" s="2" t="n">
        <f aca="false">HOUR(E681)</f>
        <v>17</v>
      </c>
      <c r="K681" s="2" t="str">
        <f aca="false">IF(J681&lt;11,"Pagi",IF(J681&lt;17,"Siang","Malam"))</f>
        <v>Malam</v>
      </c>
      <c r="L681" s="2" t="n">
        <f aca="false">IF(A681&lt;&gt;A680,1,0)</f>
        <v>1</v>
      </c>
    </row>
    <row r="682" customFormat="false" ht="15" hidden="false" customHeight="false" outlineLevel="0" collapsed="false">
      <c r="A682" s="2" t="s">
        <v>810</v>
      </c>
      <c r="B682" s="13" t="n">
        <v>46274</v>
      </c>
      <c r="C682" s="2" t="s">
        <v>79</v>
      </c>
      <c r="D682" s="2" t="n">
        <v>1</v>
      </c>
      <c r="E682" s="15" t="n">
        <v>0.729861111111111</v>
      </c>
      <c r="F682" s="7" t="n">
        <v>16000</v>
      </c>
      <c r="G682" s="7" t="n">
        <f aca="false">D682*F682</f>
        <v>16000</v>
      </c>
      <c r="H682" s="2" t="str">
        <f aca="false">INDEX(Daftar_Menu!$B$2:$B$13,MATCH(C682,Daftar_Menu!$A$2:$A$13,0))</f>
        <v>Makanan</v>
      </c>
      <c r="I682" s="2" t="str">
        <f aca="false">CHOOSE(WEEKDAY(B682,2),"Senin","Selasa","Rabu","Kamis","Jumat","Sabtu","Minggu")</f>
        <v>Rabu</v>
      </c>
      <c r="J682" s="2" t="n">
        <f aca="false">HOUR(E682)</f>
        <v>17</v>
      </c>
      <c r="K682" s="2" t="str">
        <f aca="false">IF(J682&lt;11,"Pagi",IF(J682&lt;17,"Siang","Malam"))</f>
        <v>Malam</v>
      </c>
      <c r="L682" s="2" t="n">
        <f aca="false">IF(A682&lt;&gt;A681,1,0)</f>
        <v>1</v>
      </c>
    </row>
    <row r="683" customFormat="false" ht="15" hidden="false" customHeight="false" outlineLevel="0" collapsed="false">
      <c r="A683" s="2" t="s">
        <v>811</v>
      </c>
      <c r="B683" s="13" t="n">
        <v>46274</v>
      </c>
      <c r="C683" s="2" t="s">
        <v>101</v>
      </c>
      <c r="D683" s="2" t="n">
        <v>1</v>
      </c>
      <c r="E683" s="15" t="n">
        <v>0.751388888888889</v>
      </c>
      <c r="F683" s="7" t="n">
        <v>18000</v>
      </c>
      <c r="G683" s="7" t="n">
        <f aca="false">D683*F683</f>
        <v>18000</v>
      </c>
      <c r="H683" s="2" t="str">
        <f aca="false">INDEX(Daftar_Menu!$B$2:$B$13,MATCH(C683,Daftar_Menu!$A$2:$A$13,0))</f>
        <v>Makanan</v>
      </c>
      <c r="I683" s="2" t="str">
        <f aca="false">CHOOSE(WEEKDAY(B683,2),"Senin","Selasa","Rabu","Kamis","Jumat","Sabtu","Minggu")</f>
        <v>Rabu</v>
      </c>
      <c r="J683" s="2" t="n">
        <f aca="false">HOUR(E683)</f>
        <v>18</v>
      </c>
      <c r="K683" s="2" t="str">
        <f aca="false">IF(J683&lt;11,"Pagi",IF(J683&lt;17,"Siang","Malam"))</f>
        <v>Malam</v>
      </c>
      <c r="L683" s="2" t="n">
        <f aca="false">IF(A683&lt;&gt;A682,1,0)</f>
        <v>1</v>
      </c>
    </row>
    <row r="684" customFormat="false" ht="15" hidden="false" customHeight="false" outlineLevel="0" collapsed="false">
      <c r="A684" s="2" t="s">
        <v>813</v>
      </c>
      <c r="B684" s="13" t="n">
        <v>46274</v>
      </c>
      <c r="C684" s="2" t="s">
        <v>101</v>
      </c>
      <c r="D684" s="2" t="n">
        <v>1</v>
      </c>
      <c r="E684" s="15" t="n">
        <v>0.755555555555556</v>
      </c>
      <c r="F684" s="7" t="n">
        <v>18000</v>
      </c>
      <c r="G684" s="7" t="n">
        <f aca="false">D684*F684</f>
        <v>18000</v>
      </c>
      <c r="H684" s="2" t="str">
        <f aca="false">INDEX(Daftar_Menu!$B$2:$B$13,MATCH(C684,Daftar_Menu!$A$2:$A$13,0))</f>
        <v>Makanan</v>
      </c>
      <c r="I684" s="2" t="str">
        <f aca="false">CHOOSE(WEEKDAY(B684,2),"Senin","Selasa","Rabu","Kamis","Jumat","Sabtu","Minggu")</f>
        <v>Rabu</v>
      </c>
      <c r="J684" s="2" t="n">
        <f aca="false">HOUR(E684)</f>
        <v>18</v>
      </c>
      <c r="K684" s="2" t="str">
        <f aca="false">IF(J684&lt;11,"Pagi",IF(J684&lt;17,"Siang","Malam"))</f>
        <v>Malam</v>
      </c>
      <c r="L684" s="2" t="n">
        <f aca="false">IF(A684&lt;&gt;A683,1,0)</f>
        <v>1</v>
      </c>
    </row>
    <row r="685" customFormat="false" ht="15" hidden="false" customHeight="false" outlineLevel="0" collapsed="false">
      <c r="A685" s="2" t="s">
        <v>814</v>
      </c>
      <c r="B685" s="13" t="n">
        <v>46274</v>
      </c>
      <c r="C685" s="2" t="s">
        <v>132</v>
      </c>
      <c r="D685" s="2" t="n">
        <v>2</v>
      </c>
      <c r="E685" s="15" t="n">
        <v>0.75625</v>
      </c>
      <c r="F685" s="7" t="n">
        <v>15000</v>
      </c>
      <c r="G685" s="7" t="n">
        <f aca="false">D685*F685</f>
        <v>30000</v>
      </c>
      <c r="H685" s="2" t="str">
        <f aca="false">INDEX(Daftar_Menu!$B$2:$B$13,MATCH(C685,Daftar_Menu!$A$2:$A$13,0))</f>
        <v>Makanan</v>
      </c>
      <c r="I685" s="2" t="str">
        <f aca="false">CHOOSE(WEEKDAY(B685,2),"Senin","Selasa","Rabu","Kamis","Jumat","Sabtu","Minggu")</f>
        <v>Rabu</v>
      </c>
      <c r="J685" s="2" t="n">
        <f aca="false">HOUR(E685)</f>
        <v>18</v>
      </c>
      <c r="K685" s="2" t="str">
        <f aca="false">IF(J685&lt;11,"Pagi",IF(J685&lt;17,"Siang","Malam"))</f>
        <v>Malam</v>
      </c>
      <c r="L685" s="2" t="n">
        <f aca="false">IF(A685&lt;&gt;A684,1,0)</f>
        <v>1</v>
      </c>
    </row>
    <row r="686" customFormat="false" ht="15" hidden="false" customHeight="false" outlineLevel="0" collapsed="false">
      <c r="A686" s="2" t="s">
        <v>814</v>
      </c>
      <c r="B686" s="13" t="n">
        <v>46274</v>
      </c>
      <c r="C686" s="2" t="s">
        <v>101</v>
      </c>
      <c r="D686" s="2" t="n">
        <v>1</v>
      </c>
      <c r="E686" s="15" t="n">
        <v>0.75625</v>
      </c>
      <c r="F686" s="7" t="n">
        <v>18000</v>
      </c>
      <c r="G686" s="7" t="n">
        <f aca="false">D686*F686</f>
        <v>18000</v>
      </c>
      <c r="H686" s="2" t="str">
        <f aca="false">INDEX(Daftar_Menu!$B$2:$B$13,MATCH(C686,Daftar_Menu!$A$2:$A$13,0))</f>
        <v>Makanan</v>
      </c>
      <c r="I686" s="2" t="str">
        <f aca="false">CHOOSE(WEEKDAY(B686,2),"Senin","Selasa","Rabu","Kamis","Jumat","Sabtu","Minggu")</f>
        <v>Rabu</v>
      </c>
      <c r="J686" s="2" t="n">
        <f aca="false">HOUR(E686)</f>
        <v>18</v>
      </c>
      <c r="K686" s="2" t="str">
        <f aca="false">IF(J686&lt;11,"Pagi",IF(J686&lt;17,"Siang","Malam"))</f>
        <v>Malam</v>
      </c>
      <c r="L686" s="2" t="n">
        <f aca="false">IF(A686&lt;&gt;A685,1,0)</f>
        <v>0</v>
      </c>
    </row>
    <row r="687" customFormat="false" ht="15" hidden="false" customHeight="false" outlineLevel="0" collapsed="false">
      <c r="A687" s="2" t="s">
        <v>814</v>
      </c>
      <c r="B687" s="13" t="n">
        <v>46274</v>
      </c>
      <c r="C687" s="2" t="s">
        <v>84</v>
      </c>
      <c r="D687" s="2" t="n">
        <v>1</v>
      </c>
      <c r="E687" s="15" t="n">
        <v>0.75625</v>
      </c>
      <c r="F687" s="7" t="n">
        <v>5000</v>
      </c>
      <c r="G687" s="7" t="n">
        <f aca="false">D687*F687</f>
        <v>5000</v>
      </c>
      <c r="H687" s="2" t="str">
        <f aca="false">INDEX(Daftar_Menu!$B$2:$B$13,MATCH(C687,Daftar_Menu!$A$2:$A$13,0))</f>
        <v>Minuman</v>
      </c>
      <c r="I687" s="2" t="str">
        <f aca="false">CHOOSE(WEEKDAY(B687,2),"Senin","Selasa","Rabu","Kamis","Jumat","Sabtu","Minggu")</f>
        <v>Rabu</v>
      </c>
      <c r="J687" s="2" t="n">
        <f aca="false">HOUR(E687)</f>
        <v>18</v>
      </c>
      <c r="K687" s="2" t="str">
        <f aca="false">IF(J687&lt;11,"Pagi",IF(J687&lt;17,"Siang","Malam"))</f>
        <v>Malam</v>
      </c>
      <c r="L687" s="2" t="n">
        <f aca="false">IF(A687&lt;&gt;A686,1,0)</f>
        <v>0</v>
      </c>
    </row>
    <row r="688" customFormat="false" ht="15" hidden="false" customHeight="false" outlineLevel="0" collapsed="false">
      <c r="A688" s="2" t="s">
        <v>816</v>
      </c>
      <c r="B688" s="13" t="n">
        <v>46274</v>
      </c>
      <c r="C688" s="2" t="s">
        <v>132</v>
      </c>
      <c r="D688" s="2" t="n">
        <v>1</v>
      </c>
      <c r="E688" s="15" t="n">
        <v>0.75625</v>
      </c>
      <c r="F688" s="7" t="n">
        <v>15000</v>
      </c>
      <c r="G688" s="7" t="n">
        <f aca="false">D688*F688</f>
        <v>15000</v>
      </c>
      <c r="H688" s="2" t="str">
        <f aca="false">INDEX(Daftar_Menu!$B$2:$B$13,MATCH(C688,Daftar_Menu!$A$2:$A$13,0))</f>
        <v>Makanan</v>
      </c>
      <c r="I688" s="2" t="str">
        <f aca="false">CHOOSE(WEEKDAY(B688,2),"Senin","Selasa","Rabu","Kamis","Jumat","Sabtu","Minggu")</f>
        <v>Rabu</v>
      </c>
      <c r="J688" s="2" t="n">
        <f aca="false">HOUR(E688)</f>
        <v>18</v>
      </c>
      <c r="K688" s="2" t="str">
        <f aca="false">IF(J688&lt;11,"Pagi",IF(J688&lt;17,"Siang","Malam"))</f>
        <v>Malam</v>
      </c>
      <c r="L688" s="2" t="n">
        <f aca="false">IF(A688&lt;&gt;A687,1,0)</f>
        <v>1</v>
      </c>
    </row>
    <row r="689" customFormat="false" ht="15" hidden="false" customHeight="false" outlineLevel="0" collapsed="false">
      <c r="A689" s="2" t="s">
        <v>816</v>
      </c>
      <c r="B689" s="13" t="n">
        <v>46274</v>
      </c>
      <c r="C689" s="2" t="s">
        <v>79</v>
      </c>
      <c r="D689" s="2" t="n">
        <v>1</v>
      </c>
      <c r="E689" s="15" t="n">
        <v>0.75625</v>
      </c>
      <c r="F689" s="7" t="n">
        <v>16000</v>
      </c>
      <c r="G689" s="7" t="n">
        <f aca="false">D689*F689</f>
        <v>16000</v>
      </c>
      <c r="H689" s="2" t="str">
        <f aca="false">INDEX(Daftar_Menu!$B$2:$B$13,MATCH(C689,Daftar_Menu!$A$2:$A$13,0))</f>
        <v>Makanan</v>
      </c>
      <c r="I689" s="2" t="str">
        <f aca="false">CHOOSE(WEEKDAY(B689,2),"Senin","Selasa","Rabu","Kamis","Jumat","Sabtu","Minggu")</f>
        <v>Rabu</v>
      </c>
      <c r="J689" s="2" t="n">
        <f aca="false">HOUR(E689)</f>
        <v>18</v>
      </c>
      <c r="K689" s="2" t="str">
        <f aca="false">IF(J689&lt;11,"Pagi",IF(J689&lt;17,"Siang","Malam"))</f>
        <v>Malam</v>
      </c>
      <c r="L689" s="2" t="n">
        <f aca="false">IF(A689&lt;&gt;A688,1,0)</f>
        <v>0</v>
      </c>
    </row>
    <row r="690" customFormat="false" ht="15" hidden="false" customHeight="false" outlineLevel="0" collapsed="false">
      <c r="A690" s="2" t="s">
        <v>817</v>
      </c>
      <c r="B690" s="13" t="n">
        <v>46274</v>
      </c>
      <c r="C690" s="2" t="s">
        <v>81</v>
      </c>
      <c r="D690" s="2" t="n">
        <v>1</v>
      </c>
      <c r="E690" s="15" t="n">
        <v>0.758333333333333</v>
      </c>
      <c r="F690" s="7" t="n">
        <v>15000</v>
      </c>
      <c r="G690" s="7" t="n">
        <f aca="false">D690*F690</f>
        <v>15000</v>
      </c>
      <c r="H690" s="2" t="str">
        <f aca="false">INDEX(Daftar_Menu!$B$2:$B$13,MATCH(C690,Daftar_Menu!$A$2:$A$13,0))</f>
        <v>Makanan</v>
      </c>
      <c r="I690" s="2" t="str">
        <f aca="false">CHOOSE(WEEKDAY(B690,2),"Senin","Selasa","Rabu","Kamis","Jumat","Sabtu","Minggu")</f>
        <v>Rabu</v>
      </c>
      <c r="J690" s="2" t="n">
        <f aca="false">HOUR(E690)</f>
        <v>18</v>
      </c>
      <c r="K690" s="2" t="str">
        <f aca="false">IF(J690&lt;11,"Pagi",IF(J690&lt;17,"Siang","Malam"))</f>
        <v>Malam</v>
      </c>
      <c r="L690" s="2" t="n">
        <f aca="false">IF(A690&lt;&gt;A689,1,0)</f>
        <v>1</v>
      </c>
    </row>
    <row r="691" customFormat="false" ht="15" hidden="false" customHeight="false" outlineLevel="0" collapsed="false">
      <c r="A691" s="2" t="s">
        <v>817</v>
      </c>
      <c r="B691" s="13" t="n">
        <v>46274</v>
      </c>
      <c r="C691" s="2" t="s">
        <v>89</v>
      </c>
      <c r="D691" s="2" t="n">
        <v>1</v>
      </c>
      <c r="E691" s="15" t="n">
        <v>0.758333333333333</v>
      </c>
      <c r="F691" s="7" t="n">
        <v>14000</v>
      </c>
      <c r="G691" s="7" t="n">
        <f aca="false">D691*F691</f>
        <v>14000</v>
      </c>
      <c r="H691" s="2" t="str">
        <f aca="false">INDEX(Daftar_Menu!$B$2:$B$13,MATCH(C691,Daftar_Menu!$A$2:$A$13,0))</f>
        <v>Makanan</v>
      </c>
      <c r="I691" s="2" t="str">
        <f aca="false">CHOOSE(WEEKDAY(B691,2),"Senin","Selasa","Rabu","Kamis","Jumat","Sabtu","Minggu")</f>
        <v>Rabu</v>
      </c>
      <c r="J691" s="2" t="n">
        <f aca="false">HOUR(E691)</f>
        <v>18</v>
      </c>
      <c r="K691" s="2" t="str">
        <f aca="false">IF(J691&lt;11,"Pagi",IF(J691&lt;17,"Siang","Malam"))</f>
        <v>Malam</v>
      </c>
      <c r="L691" s="2" t="n">
        <f aca="false">IF(A691&lt;&gt;A690,1,0)</f>
        <v>0</v>
      </c>
    </row>
    <row r="692" customFormat="false" ht="15" hidden="false" customHeight="false" outlineLevel="0" collapsed="false">
      <c r="A692" s="2" t="s">
        <v>819</v>
      </c>
      <c r="B692" s="13" t="n">
        <v>46274</v>
      </c>
      <c r="C692" s="2" t="s">
        <v>79</v>
      </c>
      <c r="D692" s="2" t="n">
        <v>1</v>
      </c>
      <c r="E692" s="15" t="n">
        <v>0.761111111111111</v>
      </c>
      <c r="F692" s="7" t="n">
        <v>16000</v>
      </c>
      <c r="G692" s="7" t="n">
        <f aca="false">D692*F692</f>
        <v>16000</v>
      </c>
      <c r="H692" s="2" t="str">
        <f aca="false">INDEX(Daftar_Menu!$B$2:$B$13,MATCH(C692,Daftar_Menu!$A$2:$A$13,0))</f>
        <v>Makanan</v>
      </c>
      <c r="I692" s="2" t="str">
        <f aca="false">CHOOSE(WEEKDAY(B692,2),"Senin","Selasa","Rabu","Kamis","Jumat","Sabtu","Minggu")</f>
        <v>Rabu</v>
      </c>
      <c r="J692" s="2" t="n">
        <f aca="false">HOUR(E692)</f>
        <v>18</v>
      </c>
      <c r="K692" s="2" t="str">
        <f aca="false">IF(J692&lt;11,"Pagi",IF(J692&lt;17,"Siang","Malam"))</f>
        <v>Malam</v>
      </c>
      <c r="L692" s="2" t="n">
        <f aca="false">IF(A692&lt;&gt;A691,1,0)</f>
        <v>1</v>
      </c>
    </row>
    <row r="693" customFormat="false" ht="15" hidden="false" customHeight="false" outlineLevel="0" collapsed="false">
      <c r="A693" s="2" t="s">
        <v>819</v>
      </c>
      <c r="B693" s="13" t="n">
        <v>46274</v>
      </c>
      <c r="C693" s="2" t="s">
        <v>108</v>
      </c>
      <c r="D693" s="2" t="n">
        <v>2</v>
      </c>
      <c r="E693" s="15" t="n">
        <v>0.761111111111111</v>
      </c>
      <c r="F693" s="7" t="n">
        <v>20000</v>
      </c>
      <c r="G693" s="7" t="n">
        <f aca="false">D693*F693</f>
        <v>40000</v>
      </c>
      <c r="H693" s="2" t="str">
        <f aca="false">INDEX(Daftar_Menu!$B$2:$B$13,MATCH(C693,Daftar_Menu!$A$2:$A$13,0))</f>
        <v>Makanan</v>
      </c>
      <c r="I693" s="2" t="str">
        <f aca="false">CHOOSE(WEEKDAY(B693,2),"Senin","Selasa","Rabu","Kamis","Jumat","Sabtu","Minggu")</f>
        <v>Rabu</v>
      </c>
      <c r="J693" s="2" t="n">
        <f aca="false">HOUR(E693)</f>
        <v>18</v>
      </c>
      <c r="K693" s="2" t="str">
        <f aca="false">IF(J693&lt;11,"Pagi",IF(J693&lt;17,"Siang","Malam"))</f>
        <v>Malam</v>
      </c>
      <c r="L693" s="2" t="n">
        <f aca="false">IF(A693&lt;&gt;A692,1,0)</f>
        <v>0</v>
      </c>
    </row>
    <row r="694" customFormat="false" ht="15" hidden="false" customHeight="false" outlineLevel="0" collapsed="false">
      <c r="A694" s="2" t="s">
        <v>820</v>
      </c>
      <c r="B694" s="13" t="n">
        <v>46274</v>
      </c>
      <c r="C694" s="2" t="s">
        <v>82</v>
      </c>
      <c r="D694" s="2" t="n">
        <v>1</v>
      </c>
      <c r="E694" s="15" t="n">
        <v>0.763194444444444</v>
      </c>
      <c r="F694" s="7" t="n">
        <v>13000</v>
      </c>
      <c r="G694" s="7" t="n">
        <f aca="false">D694*F694</f>
        <v>13000</v>
      </c>
      <c r="H694" s="2" t="str">
        <f aca="false">INDEX(Daftar_Menu!$B$2:$B$13,MATCH(C694,Daftar_Menu!$A$2:$A$13,0))</f>
        <v>Makanan</v>
      </c>
      <c r="I694" s="2" t="str">
        <f aca="false">CHOOSE(WEEKDAY(B694,2),"Senin","Selasa","Rabu","Kamis","Jumat","Sabtu","Minggu")</f>
        <v>Rabu</v>
      </c>
      <c r="J694" s="2" t="n">
        <f aca="false">HOUR(E694)</f>
        <v>18</v>
      </c>
      <c r="K694" s="2" t="str">
        <f aca="false">IF(J694&lt;11,"Pagi",IF(J694&lt;17,"Siang","Malam"))</f>
        <v>Malam</v>
      </c>
      <c r="L694" s="2" t="n">
        <f aca="false">IF(A694&lt;&gt;A693,1,0)</f>
        <v>1</v>
      </c>
    </row>
    <row r="695" customFormat="false" ht="15" hidden="false" customHeight="false" outlineLevel="0" collapsed="false">
      <c r="A695" s="2" t="s">
        <v>822</v>
      </c>
      <c r="B695" s="13" t="n">
        <v>46274</v>
      </c>
      <c r="C695" s="2" t="s">
        <v>79</v>
      </c>
      <c r="D695" s="2" t="n">
        <v>1</v>
      </c>
      <c r="E695" s="15" t="n">
        <v>0.785416666666667</v>
      </c>
      <c r="F695" s="7" t="n">
        <v>16000</v>
      </c>
      <c r="G695" s="7" t="n">
        <f aca="false">D695*F695</f>
        <v>16000</v>
      </c>
      <c r="H695" s="2" t="str">
        <f aca="false">INDEX(Daftar_Menu!$B$2:$B$13,MATCH(C695,Daftar_Menu!$A$2:$A$13,0))</f>
        <v>Makanan</v>
      </c>
      <c r="I695" s="2" t="str">
        <f aca="false">CHOOSE(WEEKDAY(B695,2),"Senin","Selasa","Rabu","Kamis","Jumat","Sabtu","Minggu")</f>
        <v>Rabu</v>
      </c>
      <c r="J695" s="2" t="n">
        <f aca="false">HOUR(E695)</f>
        <v>18</v>
      </c>
      <c r="K695" s="2" t="str">
        <f aca="false">IF(J695&lt;11,"Pagi",IF(J695&lt;17,"Siang","Malam"))</f>
        <v>Malam</v>
      </c>
      <c r="L695" s="2" t="n">
        <f aca="false">IF(A695&lt;&gt;A694,1,0)</f>
        <v>1</v>
      </c>
    </row>
    <row r="696" customFormat="false" ht="15" hidden="false" customHeight="false" outlineLevel="0" collapsed="false">
      <c r="A696" s="2" t="s">
        <v>824</v>
      </c>
      <c r="B696" s="13" t="n">
        <v>46274</v>
      </c>
      <c r="C696" s="2" t="s">
        <v>126</v>
      </c>
      <c r="D696" s="2" t="n">
        <v>1</v>
      </c>
      <c r="E696" s="15" t="n">
        <v>0.788194444444444</v>
      </c>
      <c r="F696" s="7" t="n">
        <v>3000</v>
      </c>
      <c r="G696" s="7" t="n">
        <f aca="false">D696*F696</f>
        <v>3000</v>
      </c>
      <c r="H696" s="2" t="str">
        <f aca="false">INDEX(Daftar_Menu!$B$2:$B$13,MATCH(C696,Daftar_Menu!$A$2:$A$13,0))</f>
        <v>Minuman</v>
      </c>
      <c r="I696" s="2" t="str">
        <f aca="false">CHOOSE(WEEKDAY(B696,2),"Senin","Selasa","Rabu","Kamis","Jumat","Sabtu","Minggu")</f>
        <v>Rabu</v>
      </c>
      <c r="J696" s="2" t="n">
        <f aca="false">HOUR(E696)</f>
        <v>18</v>
      </c>
      <c r="K696" s="2" t="str">
        <f aca="false">IF(J696&lt;11,"Pagi",IF(J696&lt;17,"Siang","Malam"))</f>
        <v>Malam</v>
      </c>
      <c r="L696" s="2" t="n">
        <f aca="false">IF(A696&lt;&gt;A695,1,0)</f>
        <v>1</v>
      </c>
    </row>
    <row r="697" customFormat="false" ht="15" hidden="false" customHeight="false" outlineLevel="0" collapsed="false">
      <c r="A697" s="2" t="s">
        <v>824</v>
      </c>
      <c r="B697" s="13" t="n">
        <v>46274</v>
      </c>
      <c r="C697" s="2" t="s">
        <v>79</v>
      </c>
      <c r="D697" s="2" t="n">
        <v>2</v>
      </c>
      <c r="E697" s="15" t="n">
        <v>0.788194444444444</v>
      </c>
      <c r="F697" s="7" t="n">
        <v>16000</v>
      </c>
      <c r="G697" s="7" t="n">
        <f aca="false">D697*F697</f>
        <v>32000</v>
      </c>
      <c r="H697" s="2" t="str">
        <f aca="false">INDEX(Daftar_Menu!$B$2:$B$13,MATCH(C697,Daftar_Menu!$A$2:$A$13,0))</f>
        <v>Makanan</v>
      </c>
      <c r="I697" s="2" t="str">
        <f aca="false">CHOOSE(WEEKDAY(B697,2),"Senin","Selasa","Rabu","Kamis","Jumat","Sabtu","Minggu")</f>
        <v>Rabu</v>
      </c>
      <c r="J697" s="2" t="n">
        <f aca="false">HOUR(E697)</f>
        <v>18</v>
      </c>
      <c r="K697" s="2" t="str">
        <f aca="false">IF(J697&lt;11,"Pagi",IF(J697&lt;17,"Siang","Malam"))</f>
        <v>Malam</v>
      </c>
      <c r="L697" s="2" t="n">
        <f aca="false">IF(A697&lt;&gt;A696,1,0)</f>
        <v>0</v>
      </c>
    </row>
    <row r="698" customFormat="false" ht="15" hidden="false" customHeight="false" outlineLevel="0" collapsed="false">
      <c r="A698" s="2" t="s">
        <v>825</v>
      </c>
      <c r="B698" s="13" t="n">
        <v>46274</v>
      </c>
      <c r="C698" s="2" t="s">
        <v>89</v>
      </c>
      <c r="D698" s="2" t="n">
        <v>1</v>
      </c>
      <c r="E698" s="15" t="n">
        <v>0.792361111111111</v>
      </c>
      <c r="F698" s="7" t="n">
        <v>14000</v>
      </c>
      <c r="G698" s="7" t="n">
        <f aca="false">D698*F698</f>
        <v>14000</v>
      </c>
      <c r="H698" s="2" t="str">
        <f aca="false">INDEX(Daftar_Menu!$B$2:$B$13,MATCH(C698,Daftar_Menu!$A$2:$A$13,0))</f>
        <v>Makanan</v>
      </c>
      <c r="I698" s="2" t="str">
        <f aca="false">CHOOSE(WEEKDAY(B698,2),"Senin","Selasa","Rabu","Kamis","Jumat","Sabtu","Minggu")</f>
        <v>Rabu</v>
      </c>
      <c r="J698" s="2" t="n">
        <f aca="false">HOUR(E698)</f>
        <v>19</v>
      </c>
      <c r="K698" s="2" t="str">
        <f aca="false">IF(J698&lt;11,"Pagi",IF(J698&lt;17,"Siang","Malam"))</f>
        <v>Malam</v>
      </c>
      <c r="L698" s="2" t="n">
        <f aca="false">IF(A698&lt;&gt;A697,1,0)</f>
        <v>1</v>
      </c>
    </row>
    <row r="699" customFormat="false" ht="15" hidden="false" customHeight="false" outlineLevel="0" collapsed="false">
      <c r="A699" s="2" t="s">
        <v>825</v>
      </c>
      <c r="B699" s="13" t="n">
        <v>46274</v>
      </c>
      <c r="C699" s="2" t="s">
        <v>79</v>
      </c>
      <c r="D699" s="2" t="n">
        <v>1</v>
      </c>
      <c r="E699" s="15" t="n">
        <v>0.792361111111111</v>
      </c>
      <c r="F699" s="7" t="n">
        <v>16000</v>
      </c>
      <c r="G699" s="7" t="n">
        <f aca="false">D699*F699</f>
        <v>16000</v>
      </c>
      <c r="H699" s="2" t="str">
        <f aca="false">INDEX(Daftar_Menu!$B$2:$B$13,MATCH(C699,Daftar_Menu!$A$2:$A$13,0))</f>
        <v>Makanan</v>
      </c>
      <c r="I699" s="2" t="str">
        <f aca="false">CHOOSE(WEEKDAY(B699,2),"Senin","Selasa","Rabu","Kamis","Jumat","Sabtu","Minggu")</f>
        <v>Rabu</v>
      </c>
      <c r="J699" s="2" t="n">
        <f aca="false">HOUR(E699)</f>
        <v>19</v>
      </c>
      <c r="K699" s="2" t="str">
        <f aca="false">IF(J699&lt;11,"Pagi",IF(J699&lt;17,"Siang","Malam"))</f>
        <v>Malam</v>
      </c>
      <c r="L699" s="2" t="n">
        <f aca="false">IF(A699&lt;&gt;A698,1,0)</f>
        <v>0</v>
      </c>
    </row>
    <row r="700" customFormat="false" ht="15" hidden="false" customHeight="false" outlineLevel="0" collapsed="false">
      <c r="A700" s="2" t="s">
        <v>825</v>
      </c>
      <c r="B700" s="13" t="n">
        <v>46274</v>
      </c>
      <c r="C700" s="2" t="s">
        <v>84</v>
      </c>
      <c r="D700" s="2" t="n">
        <v>1</v>
      </c>
      <c r="E700" s="15" t="n">
        <v>0.792361111111111</v>
      </c>
      <c r="F700" s="7" t="n">
        <v>5000</v>
      </c>
      <c r="G700" s="7" t="n">
        <f aca="false">D700*F700</f>
        <v>5000</v>
      </c>
      <c r="H700" s="2" t="str">
        <f aca="false">INDEX(Daftar_Menu!$B$2:$B$13,MATCH(C700,Daftar_Menu!$A$2:$A$13,0))</f>
        <v>Minuman</v>
      </c>
      <c r="I700" s="2" t="str">
        <f aca="false">CHOOSE(WEEKDAY(B700,2),"Senin","Selasa","Rabu","Kamis","Jumat","Sabtu","Minggu")</f>
        <v>Rabu</v>
      </c>
      <c r="J700" s="2" t="n">
        <f aca="false">HOUR(E700)</f>
        <v>19</v>
      </c>
      <c r="K700" s="2" t="str">
        <f aca="false">IF(J700&lt;11,"Pagi",IF(J700&lt;17,"Siang","Malam"))</f>
        <v>Malam</v>
      </c>
      <c r="L700" s="2" t="n">
        <f aca="false">IF(A700&lt;&gt;A699,1,0)</f>
        <v>0</v>
      </c>
    </row>
    <row r="701" customFormat="false" ht="15" hidden="false" customHeight="false" outlineLevel="0" collapsed="false">
      <c r="A701" s="2" t="s">
        <v>827</v>
      </c>
      <c r="B701" s="13" t="n">
        <v>46274</v>
      </c>
      <c r="C701" s="2" t="s">
        <v>79</v>
      </c>
      <c r="D701" s="2" t="n">
        <v>1</v>
      </c>
      <c r="E701" s="15" t="n">
        <v>0.795138888888889</v>
      </c>
      <c r="F701" s="7" t="n">
        <v>16000</v>
      </c>
      <c r="G701" s="7" t="n">
        <f aca="false">D701*F701</f>
        <v>16000</v>
      </c>
      <c r="H701" s="2" t="str">
        <f aca="false">INDEX(Daftar_Menu!$B$2:$B$13,MATCH(C701,Daftar_Menu!$A$2:$A$13,0))</f>
        <v>Makanan</v>
      </c>
      <c r="I701" s="2" t="str">
        <f aca="false">CHOOSE(WEEKDAY(B701,2),"Senin","Selasa","Rabu","Kamis","Jumat","Sabtu","Minggu")</f>
        <v>Rabu</v>
      </c>
      <c r="J701" s="2" t="n">
        <f aca="false">HOUR(E701)</f>
        <v>19</v>
      </c>
      <c r="K701" s="2" t="str">
        <f aca="false">IF(J701&lt;11,"Pagi",IF(J701&lt;17,"Siang","Malam"))</f>
        <v>Malam</v>
      </c>
      <c r="L701" s="2" t="n">
        <f aca="false">IF(A701&lt;&gt;A700,1,0)</f>
        <v>1</v>
      </c>
    </row>
    <row r="702" customFormat="false" ht="15" hidden="false" customHeight="false" outlineLevel="0" collapsed="false">
      <c r="A702" s="2" t="s">
        <v>827</v>
      </c>
      <c r="B702" s="13" t="n">
        <v>46274</v>
      </c>
      <c r="C702" s="2" t="s">
        <v>89</v>
      </c>
      <c r="D702" s="2" t="n">
        <v>1</v>
      </c>
      <c r="E702" s="15" t="n">
        <v>0.795138888888889</v>
      </c>
      <c r="F702" s="7" t="n">
        <v>14000</v>
      </c>
      <c r="G702" s="7" t="n">
        <f aca="false">D702*F702</f>
        <v>14000</v>
      </c>
      <c r="H702" s="2" t="str">
        <f aca="false">INDEX(Daftar_Menu!$B$2:$B$13,MATCH(C702,Daftar_Menu!$A$2:$A$13,0))</f>
        <v>Makanan</v>
      </c>
      <c r="I702" s="2" t="str">
        <f aca="false">CHOOSE(WEEKDAY(B702,2),"Senin","Selasa","Rabu","Kamis","Jumat","Sabtu","Minggu")</f>
        <v>Rabu</v>
      </c>
      <c r="J702" s="2" t="n">
        <f aca="false">HOUR(E702)</f>
        <v>19</v>
      </c>
      <c r="K702" s="2" t="str">
        <f aca="false">IF(J702&lt;11,"Pagi",IF(J702&lt;17,"Siang","Malam"))</f>
        <v>Malam</v>
      </c>
      <c r="L702" s="2" t="n">
        <f aca="false">IF(A702&lt;&gt;A701,1,0)</f>
        <v>0</v>
      </c>
    </row>
    <row r="703" customFormat="false" ht="15" hidden="false" customHeight="false" outlineLevel="0" collapsed="false">
      <c r="A703" s="2" t="s">
        <v>828</v>
      </c>
      <c r="B703" s="13" t="n">
        <v>46274</v>
      </c>
      <c r="C703" s="2" t="s">
        <v>81</v>
      </c>
      <c r="D703" s="2" t="n">
        <v>1</v>
      </c>
      <c r="E703" s="15" t="n">
        <v>0.797916666666667</v>
      </c>
      <c r="F703" s="7" t="n">
        <v>15000</v>
      </c>
      <c r="G703" s="7" t="n">
        <f aca="false">D703*F703</f>
        <v>15000</v>
      </c>
      <c r="H703" s="2" t="str">
        <f aca="false">INDEX(Daftar_Menu!$B$2:$B$13,MATCH(C703,Daftar_Menu!$A$2:$A$13,0))</f>
        <v>Makanan</v>
      </c>
      <c r="I703" s="2" t="str">
        <f aca="false">CHOOSE(WEEKDAY(B703,2),"Senin","Selasa","Rabu","Kamis","Jumat","Sabtu","Minggu")</f>
        <v>Rabu</v>
      </c>
      <c r="J703" s="2" t="n">
        <f aca="false">HOUR(E703)</f>
        <v>19</v>
      </c>
      <c r="K703" s="2" t="str">
        <f aca="false">IF(J703&lt;11,"Pagi",IF(J703&lt;17,"Siang","Malam"))</f>
        <v>Malam</v>
      </c>
      <c r="L703" s="2" t="n">
        <f aca="false">IF(A703&lt;&gt;A702,1,0)</f>
        <v>1</v>
      </c>
    </row>
    <row r="704" customFormat="false" ht="15" hidden="false" customHeight="false" outlineLevel="0" collapsed="false">
      <c r="A704" s="2" t="s">
        <v>830</v>
      </c>
      <c r="B704" s="13" t="n">
        <v>46274</v>
      </c>
      <c r="C704" s="2" t="s">
        <v>89</v>
      </c>
      <c r="D704" s="2" t="n">
        <v>1</v>
      </c>
      <c r="E704" s="15" t="n">
        <v>0.800694444444445</v>
      </c>
      <c r="F704" s="7" t="n">
        <v>14000</v>
      </c>
      <c r="G704" s="7" t="n">
        <f aca="false">D704*F704</f>
        <v>14000</v>
      </c>
      <c r="H704" s="2" t="str">
        <f aca="false">INDEX(Daftar_Menu!$B$2:$B$13,MATCH(C704,Daftar_Menu!$A$2:$A$13,0))</f>
        <v>Makanan</v>
      </c>
      <c r="I704" s="2" t="str">
        <f aca="false">CHOOSE(WEEKDAY(B704,2),"Senin","Selasa","Rabu","Kamis","Jumat","Sabtu","Minggu")</f>
        <v>Rabu</v>
      </c>
      <c r="J704" s="2" t="n">
        <f aca="false">HOUR(E704)</f>
        <v>19</v>
      </c>
      <c r="K704" s="2" t="str">
        <f aca="false">IF(J704&lt;11,"Pagi",IF(J704&lt;17,"Siang","Malam"))</f>
        <v>Malam</v>
      </c>
      <c r="L704" s="2" t="n">
        <f aca="false">IF(A704&lt;&gt;A703,1,0)</f>
        <v>1</v>
      </c>
    </row>
    <row r="705" customFormat="false" ht="15" hidden="false" customHeight="false" outlineLevel="0" collapsed="false">
      <c r="A705" s="2" t="s">
        <v>830</v>
      </c>
      <c r="B705" s="13" t="n">
        <v>46274</v>
      </c>
      <c r="C705" s="2" t="s">
        <v>186</v>
      </c>
      <c r="D705" s="2" t="n">
        <v>3</v>
      </c>
      <c r="E705" s="15" t="n">
        <v>0.800694444444445</v>
      </c>
      <c r="F705" s="7" t="n">
        <v>7000</v>
      </c>
      <c r="G705" s="7" t="n">
        <f aca="false">D705*F705</f>
        <v>21000</v>
      </c>
      <c r="H705" s="2" t="str">
        <f aca="false">INDEX(Daftar_Menu!$B$2:$B$13,MATCH(C705,Daftar_Menu!$A$2:$A$13,0))</f>
        <v>Minuman</v>
      </c>
      <c r="I705" s="2" t="str">
        <f aca="false">CHOOSE(WEEKDAY(B705,2),"Senin","Selasa","Rabu","Kamis","Jumat","Sabtu","Minggu")</f>
        <v>Rabu</v>
      </c>
      <c r="J705" s="2" t="n">
        <f aca="false">HOUR(E705)</f>
        <v>19</v>
      </c>
      <c r="K705" s="2" t="str">
        <f aca="false">IF(J705&lt;11,"Pagi",IF(J705&lt;17,"Siang","Malam"))</f>
        <v>Malam</v>
      </c>
      <c r="L705" s="2" t="n">
        <f aca="false">IF(A705&lt;&gt;A704,1,0)</f>
        <v>0</v>
      </c>
    </row>
    <row r="706" customFormat="false" ht="15" hidden="false" customHeight="false" outlineLevel="0" collapsed="false">
      <c r="A706" s="2" t="s">
        <v>831</v>
      </c>
      <c r="B706" s="13" t="n">
        <v>46274</v>
      </c>
      <c r="C706" s="2" t="s">
        <v>84</v>
      </c>
      <c r="D706" s="2" t="n">
        <v>1</v>
      </c>
      <c r="E706" s="15" t="n">
        <v>0.815972222222222</v>
      </c>
      <c r="F706" s="7" t="n">
        <v>5000</v>
      </c>
      <c r="G706" s="7" t="n">
        <f aca="false">D706*F706</f>
        <v>5000</v>
      </c>
      <c r="H706" s="2" t="str">
        <f aca="false">INDEX(Daftar_Menu!$B$2:$B$13,MATCH(C706,Daftar_Menu!$A$2:$A$13,0))</f>
        <v>Minuman</v>
      </c>
      <c r="I706" s="2" t="str">
        <f aca="false">CHOOSE(WEEKDAY(B706,2),"Senin","Selasa","Rabu","Kamis","Jumat","Sabtu","Minggu")</f>
        <v>Rabu</v>
      </c>
      <c r="J706" s="2" t="n">
        <f aca="false">HOUR(E706)</f>
        <v>19</v>
      </c>
      <c r="K706" s="2" t="str">
        <f aca="false">IF(J706&lt;11,"Pagi",IF(J706&lt;17,"Siang","Malam"))</f>
        <v>Malam</v>
      </c>
      <c r="L706" s="2" t="n">
        <f aca="false">IF(A706&lt;&gt;A705,1,0)</f>
        <v>1</v>
      </c>
    </row>
    <row r="707" customFormat="false" ht="15" hidden="false" customHeight="false" outlineLevel="0" collapsed="false">
      <c r="A707" s="2" t="s">
        <v>833</v>
      </c>
      <c r="B707" s="13" t="n">
        <v>46274</v>
      </c>
      <c r="C707" s="2" t="s">
        <v>79</v>
      </c>
      <c r="D707" s="2" t="n">
        <v>1</v>
      </c>
      <c r="E707" s="15" t="n">
        <v>0.822222222222222</v>
      </c>
      <c r="F707" s="7" t="n">
        <v>16000</v>
      </c>
      <c r="G707" s="7" t="n">
        <f aca="false">D707*F707</f>
        <v>16000</v>
      </c>
      <c r="H707" s="2" t="str">
        <f aca="false">INDEX(Daftar_Menu!$B$2:$B$13,MATCH(C707,Daftar_Menu!$A$2:$A$13,0))</f>
        <v>Makanan</v>
      </c>
      <c r="I707" s="2" t="str">
        <f aca="false">CHOOSE(WEEKDAY(B707,2),"Senin","Selasa","Rabu","Kamis","Jumat","Sabtu","Minggu")</f>
        <v>Rabu</v>
      </c>
      <c r="J707" s="2" t="n">
        <f aca="false">HOUR(E707)</f>
        <v>19</v>
      </c>
      <c r="K707" s="2" t="str">
        <f aca="false">IF(J707&lt;11,"Pagi",IF(J707&lt;17,"Siang","Malam"))</f>
        <v>Malam</v>
      </c>
      <c r="L707" s="2" t="n">
        <f aca="false">IF(A707&lt;&gt;A706,1,0)</f>
        <v>1</v>
      </c>
    </row>
    <row r="708" customFormat="false" ht="15" hidden="false" customHeight="false" outlineLevel="0" collapsed="false">
      <c r="A708" s="2" t="s">
        <v>833</v>
      </c>
      <c r="B708" s="13" t="n">
        <v>46274</v>
      </c>
      <c r="C708" s="2" t="s">
        <v>132</v>
      </c>
      <c r="D708" s="2" t="n">
        <v>3</v>
      </c>
      <c r="E708" s="15" t="n">
        <v>0.822222222222222</v>
      </c>
      <c r="F708" s="7" t="n">
        <v>15000</v>
      </c>
      <c r="G708" s="7" t="n">
        <f aca="false">D708*F708</f>
        <v>45000</v>
      </c>
      <c r="H708" s="2" t="str">
        <f aca="false">INDEX(Daftar_Menu!$B$2:$B$13,MATCH(C708,Daftar_Menu!$A$2:$A$13,0))</f>
        <v>Makanan</v>
      </c>
      <c r="I708" s="2" t="str">
        <f aca="false">CHOOSE(WEEKDAY(B708,2),"Senin","Selasa","Rabu","Kamis","Jumat","Sabtu","Minggu")</f>
        <v>Rabu</v>
      </c>
      <c r="J708" s="2" t="n">
        <f aca="false">HOUR(E708)</f>
        <v>19</v>
      </c>
      <c r="K708" s="2" t="str">
        <f aca="false">IF(J708&lt;11,"Pagi",IF(J708&lt;17,"Siang","Malam"))</f>
        <v>Malam</v>
      </c>
      <c r="L708" s="2" t="n">
        <f aca="false">IF(A708&lt;&gt;A707,1,0)</f>
        <v>0</v>
      </c>
    </row>
    <row r="709" customFormat="false" ht="15" hidden="false" customHeight="false" outlineLevel="0" collapsed="false">
      <c r="A709" s="2" t="s">
        <v>835</v>
      </c>
      <c r="B709" s="13" t="n">
        <v>46274</v>
      </c>
      <c r="C709" s="2" t="s">
        <v>186</v>
      </c>
      <c r="D709" s="2" t="n">
        <v>1</v>
      </c>
      <c r="E709" s="15" t="n">
        <v>0.863888888888889</v>
      </c>
      <c r="F709" s="7" t="n">
        <v>7000</v>
      </c>
      <c r="G709" s="7" t="n">
        <f aca="false">D709*F709</f>
        <v>7000</v>
      </c>
      <c r="H709" s="2" t="str">
        <f aca="false">INDEX(Daftar_Menu!$B$2:$B$13,MATCH(C709,Daftar_Menu!$A$2:$A$13,0))</f>
        <v>Minuman</v>
      </c>
      <c r="I709" s="2" t="str">
        <f aca="false">CHOOSE(WEEKDAY(B709,2),"Senin","Selasa","Rabu","Kamis","Jumat","Sabtu","Minggu")</f>
        <v>Rabu</v>
      </c>
      <c r="J709" s="2" t="n">
        <f aca="false">HOUR(E709)</f>
        <v>20</v>
      </c>
      <c r="K709" s="2" t="str">
        <f aca="false">IF(J709&lt;11,"Pagi",IF(J709&lt;17,"Siang","Malam"))</f>
        <v>Malam</v>
      </c>
      <c r="L709" s="2" t="n">
        <f aca="false">IF(A709&lt;&gt;A708,1,0)</f>
        <v>1</v>
      </c>
    </row>
    <row r="710" customFormat="false" ht="15" hidden="false" customHeight="false" outlineLevel="0" collapsed="false">
      <c r="A710" s="2" t="s">
        <v>835</v>
      </c>
      <c r="B710" s="13" t="n">
        <v>46274</v>
      </c>
      <c r="C710" s="2" t="s">
        <v>89</v>
      </c>
      <c r="D710" s="2" t="n">
        <v>1</v>
      </c>
      <c r="E710" s="15" t="n">
        <v>0.863888888888889</v>
      </c>
      <c r="F710" s="7" t="n">
        <v>14000</v>
      </c>
      <c r="G710" s="7" t="n">
        <f aca="false">D710*F710</f>
        <v>14000</v>
      </c>
      <c r="H710" s="2" t="str">
        <f aca="false">INDEX(Daftar_Menu!$B$2:$B$13,MATCH(C710,Daftar_Menu!$A$2:$A$13,0))</f>
        <v>Makanan</v>
      </c>
      <c r="I710" s="2" t="str">
        <f aca="false">CHOOSE(WEEKDAY(B710,2),"Senin","Selasa","Rabu","Kamis","Jumat","Sabtu","Minggu")</f>
        <v>Rabu</v>
      </c>
      <c r="J710" s="2" t="n">
        <f aca="false">HOUR(E710)</f>
        <v>20</v>
      </c>
      <c r="K710" s="2" t="str">
        <f aca="false">IF(J710&lt;11,"Pagi",IF(J710&lt;17,"Siang","Malam"))</f>
        <v>Malam</v>
      </c>
      <c r="L710" s="2" t="n">
        <f aca="false">IF(A710&lt;&gt;A709,1,0)</f>
        <v>0</v>
      </c>
    </row>
    <row r="711" customFormat="false" ht="15" hidden="false" customHeight="false" outlineLevel="0" collapsed="false">
      <c r="A711" s="2" t="s">
        <v>838</v>
      </c>
      <c r="B711" s="13" t="n">
        <v>46275</v>
      </c>
      <c r="C711" s="2" t="s">
        <v>81</v>
      </c>
      <c r="D711" s="2" t="n">
        <v>3</v>
      </c>
      <c r="E711" s="15" t="n">
        <v>0.334722222222222</v>
      </c>
      <c r="F711" s="7" t="n">
        <v>15000</v>
      </c>
      <c r="G711" s="7" t="n">
        <f aca="false">D711*F711</f>
        <v>45000</v>
      </c>
      <c r="H711" s="2" t="str">
        <f aca="false">INDEX(Daftar_Menu!$B$2:$B$13,MATCH(C711,Daftar_Menu!$A$2:$A$13,0))</f>
        <v>Makanan</v>
      </c>
      <c r="I711" s="2" t="str">
        <f aca="false">CHOOSE(WEEKDAY(B711,2),"Senin","Selasa","Rabu","Kamis","Jumat","Sabtu","Minggu")</f>
        <v>Kamis</v>
      </c>
      <c r="J711" s="2" t="n">
        <f aca="false">HOUR(E711)</f>
        <v>8</v>
      </c>
      <c r="K711" s="2" t="str">
        <f aca="false">IF(J711&lt;11,"Pagi",IF(J711&lt;17,"Siang","Malam"))</f>
        <v>Pagi</v>
      </c>
      <c r="L711" s="2" t="n">
        <f aca="false">IF(A711&lt;&gt;A710,1,0)</f>
        <v>1</v>
      </c>
    </row>
    <row r="712" customFormat="false" ht="15" hidden="false" customHeight="false" outlineLevel="0" collapsed="false">
      <c r="A712" s="2" t="s">
        <v>838</v>
      </c>
      <c r="B712" s="13" t="n">
        <v>46275</v>
      </c>
      <c r="C712" s="2" t="s">
        <v>84</v>
      </c>
      <c r="D712" s="2" t="n">
        <v>1</v>
      </c>
      <c r="E712" s="15" t="n">
        <v>0.334722222222222</v>
      </c>
      <c r="F712" s="7" t="n">
        <v>5000</v>
      </c>
      <c r="G712" s="7" t="n">
        <f aca="false">D712*F712</f>
        <v>5000</v>
      </c>
      <c r="H712" s="2" t="str">
        <f aca="false">INDEX(Daftar_Menu!$B$2:$B$13,MATCH(C712,Daftar_Menu!$A$2:$A$13,0))</f>
        <v>Minuman</v>
      </c>
      <c r="I712" s="2" t="str">
        <f aca="false">CHOOSE(WEEKDAY(B712,2),"Senin","Selasa","Rabu","Kamis","Jumat","Sabtu","Minggu")</f>
        <v>Kamis</v>
      </c>
      <c r="J712" s="2" t="n">
        <f aca="false">HOUR(E712)</f>
        <v>8</v>
      </c>
      <c r="K712" s="2" t="str">
        <f aca="false">IF(J712&lt;11,"Pagi",IF(J712&lt;17,"Siang","Malam"))</f>
        <v>Pagi</v>
      </c>
      <c r="L712" s="2" t="n">
        <f aca="false">IF(A712&lt;&gt;A711,1,0)</f>
        <v>0</v>
      </c>
    </row>
    <row r="713" customFormat="false" ht="15" hidden="false" customHeight="false" outlineLevel="0" collapsed="false">
      <c r="A713" s="2" t="s">
        <v>840</v>
      </c>
      <c r="B713" s="13" t="n">
        <v>46275</v>
      </c>
      <c r="C713" s="2" t="s">
        <v>101</v>
      </c>
      <c r="D713" s="2" t="n">
        <v>2</v>
      </c>
      <c r="E713" s="15" t="n">
        <v>0.38125</v>
      </c>
      <c r="F713" s="7" t="n">
        <v>18000</v>
      </c>
      <c r="G713" s="7" t="n">
        <f aca="false">D713*F713</f>
        <v>36000</v>
      </c>
      <c r="H713" s="2" t="str">
        <f aca="false">INDEX(Daftar_Menu!$B$2:$B$13,MATCH(C713,Daftar_Menu!$A$2:$A$13,0))</f>
        <v>Makanan</v>
      </c>
      <c r="I713" s="2" t="str">
        <f aca="false">CHOOSE(WEEKDAY(B713,2),"Senin","Selasa","Rabu","Kamis","Jumat","Sabtu","Minggu")</f>
        <v>Kamis</v>
      </c>
      <c r="J713" s="2" t="n">
        <f aca="false">HOUR(E713)</f>
        <v>9</v>
      </c>
      <c r="K713" s="2" t="str">
        <f aca="false">IF(J713&lt;11,"Pagi",IF(J713&lt;17,"Siang","Malam"))</f>
        <v>Pagi</v>
      </c>
      <c r="L713" s="2" t="n">
        <f aca="false">IF(A713&lt;&gt;A712,1,0)</f>
        <v>1</v>
      </c>
    </row>
    <row r="714" customFormat="false" ht="15" hidden="false" customHeight="false" outlineLevel="0" collapsed="false">
      <c r="A714" s="2" t="s">
        <v>842</v>
      </c>
      <c r="B714" s="13" t="n">
        <v>46275</v>
      </c>
      <c r="C714" s="2" t="s">
        <v>101</v>
      </c>
      <c r="D714" s="2" t="n">
        <v>1</v>
      </c>
      <c r="E714" s="15" t="n">
        <v>0.397916666666667</v>
      </c>
      <c r="F714" s="7" t="n">
        <v>18000</v>
      </c>
      <c r="G714" s="7" t="n">
        <f aca="false">D714*F714</f>
        <v>18000</v>
      </c>
      <c r="H714" s="2" t="str">
        <f aca="false">INDEX(Daftar_Menu!$B$2:$B$13,MATCH(C714,Daftar_Menu!$A$2:$A$13,0))</f>
        <v>Makanan</v>
      </c>
      <c r="I714" s="2" t="str">
        <f aca="false">CHOOSE(WEEKDAY(B714,2),"Senin","Selasa","Rabu","Kamis","Jumat","Sabtu","Minggu")</f>
        <v>Kamis</v>
      </c>
      <c r="J714" s="2" t="n">
        <f aca="false">HOUR(E714)</f>
        <v>9</v>
      </c>
      <c r="K714" s="2" t="str">
        <f aca="false">IF(J714&lt;11,"Pagi",IF(J714&lt;17,"Siang","Malam"))</f>
        <v>Pagi</v>
      </c>
      <c r="L714" s="2" t="n">
        <f aca="false">IF(A714&lt;&gt;A713,1,0)</f>
        <v>1</v>
      </c>
    </row>
    <row r="715" customFormat="false" ht="15" hidden="false" customHeight="false" outlineLevel="0" collapsed="false">
      <c r="A715" s="2" t="s">
        <v>844</v>
      </c>
      <c r="B715" s="13" t="n">
        <v>46275</v>
      </c>
      <c r="C715" s="2" t="s">
        <v>89</v>
      </c>
      <c r="D715" s="2" t="n">
        <v>1</v>
      </c>
      <c r="E715" s="15" t="n">
        <v>0.400694444444445</v>
      </c>
      <c r="F715" s="7" t="n">
        <v>14000</v>
      </c>
      <c r="G715" s="7" t="n">
        <f aca="false">D715*F715</f>
        <v>14000</v>
      </c>
      <c r="H715" s="2" t="str">
        <f aca="false">INDEX(Daftar_Menu!$B$2:$B$13,MATCH(C715,Daftar_Menu!$A$2:$A$13,0))</f>
        <v>Makanan</v>
      </c>
      <c r="I715" s="2" t="str">
        <f aca="false">CHOOSE(WEEKDAY(B715,2),"Senin","Selasa","Rabu","Kamis","Jumat","Sabtu","Minggu")</f>
        <v>Kamis</v>
      </c>
      <c r="J715" s="2" t="n">
        <f aca="false">HOUR(E715)</f>
        <v>9</v>
      </c>
      <c r="K715" s="2" t="str">
        <f aca="false">IF(J715&lt;11,"Pagi",IF(J715&lt;17,"Siang","Malam"))</f>
        <v>Pagi</v>
      </c>
      <c r="L715" s="2" t="n">
        <f aca="false">IF(A715&lt;&gt;A714,1,0)</f>
        <v>1</v>
      </c>
    </row>
    <row r="716" customFormat="false" ht="15" hidden="false" customHeight="false" outlineLevel="0" collapsed="false">
      <c r="A716" s="2" t="s">
        <v>845</v>
      </c>
      <c r="B716" s="13" t="n">
        <v>46275</v>
      </c>
      <c r="C716" s="2" t="s">
        <v>132</v>
      </c>
      <c r="D716" s="2" t="n">
        <v>1</v>
      </c>
      <c r="E716" s="15" t="n">
        <v>0.436805555555556</v>
      </c>
      <c r="F716" s="7" t="n">
        <v>15000</v>
      </c>
      <c r="G716" s="7" t="n">
        <f aca="false">D716*F716</f>
        <v>15000</v>
      </c>
      <c r="H716" s="2" t="str">
        <f aca="false">INDEX(Daftar_Menu!$B$2:$B$13,MATCH(C716,Daftar_Menu!$A$2:$A$13,0))</f>
        <v>Makanan</v>
      </c>
      <c r="I716" s="2" t="str">
        <f aca="false">CHOOSE(WEEKDAY(B716,2),"Senin","Selasa","Rabu","Kamis","Jumat","Sabtu","Minggu")</f>
        <v>Kamis</v>
      </c>
      <c r="J716" s="2" t="n">
        <f aca="false">HOUR(E716)</f>
        <v>10</v>
      </c>
      <c r="K716" s="2" t="str">
        <f aca="false">IF(J716&lt;11,"Pagi",IF(J716&lt;17,"Siang","Malam"))</f>
        <v>Pagi</v>
      </c>
      <c r="L716" s="2" t="n">
        <f aca="false">IF(A716&lt;&gt;A715,1,0)</f>
        <v>1</v>
      </c>
    </row>
    <row r="717" customFormat="false" ht="15" hidden="false" customHeight="false" outlineLevel="0" collapsed="false">
      <c r="A717" s="2" t="s">
        <v>845</v>
      </c>
      <c r="B717" s="13" t="n">
        <v>46275</v>
      </c>
      <c r="C717" s="2" t="s">
        <v>112</v>
      </c>
      <c r="D717" s="2" t="n">
        <v>1</v>
      </c>
      <c r="E717" s="15" t="n">
        <v>0.436805555555556</v>
      </c>
      <c r="F717" s="7" t="n">
        <v>10000</v>
      </c>
      <c r="G717" s="7" t="n">
        <f aca="false">D717*F717</f>
        <v>10000</v>
      </c>
      <c r="H717" s="2" t="str">
        <f aca="false">INDEX(Daftar_Menu!$B$2:$B$13,MATCH(C717,Daftar_Menu!$A$2:$A$13,0))</f>
        <v>Minuman</v>
      </c>
      <c r="I717" s="2" t="str">
        <f aca="false">CHOOSE(WEEKDAY(B717,2),"Senin","Selasa","Rabu","Kamis","Jumat","Sabtu","Minggu")</f>
        <v>Kamis</v>
      </c>
      <c r="J717" s="2" t="n">
        <f aca="false">HOUR(E717)</f>
        <v>10</v>
      </c>
      <c r="K717" s="2" t="str">
        <f aca="false">IF(J717&lt;11,"Pagi",IF(J717&lt;17,"Siang","Malam"))</f>
        <v>Pagi</v>
      </c>
      <c r="L717" s="2" t="n">
        <f aca="false">IF(A717&lt;&gt;A716,1,0)</f>
        <v>0</v>
      </c>
    </row>
    <row r="718" customFormat="false" ht="15" hidden="false" customHeight="false" outlineLevel="0" collapsed="false">
      <c r="A718" s="2" t="s">
        <v>847</v>
      </c>
      <c r="B718" s="13" t="n">
        <v>46275</v>
      </c>
      <c r="C718" s="2" t="s">
        <v>81</v>
      </c>
      <c r="D718" s="2" t="n">
        <v>1</v>
      </c>
      <c r="E718" s="15" t="n">
        <v>0.447916666666667</v>
      </c>
      <c r="F718" s="7" t="n">
        <v>15000</v>
      </c>
      <c r="G718" s="7" t="n">
        <f aca="false">D718*F718</f>
        <v>15000</v>
      </c>
      <c r="H718" s="2" t="str">
        <f aca="false">INDEX(Daftar_Menu!$B$2:$B$13,MATCH(C718,Daftar_Menu!$A$2:$A$13,0))</f>
        <v>Makanan</v>
      </c>
      <c r="I718" s="2" t="str">
        <f aca="false">CHOOSE(WEEKDAY(B718,2),"Senin","Selasa","Rabu","Kamis","Jumat","Sabtu","Minggu")</f>
        <v>Kamis</v>
      </c>
      <c r="J718" s="2" t="n">
        <f aca="false">HOUR(E718)</f>
        <v>10</v>
      </c>
      <c r="K718" s="2" t="str">
        <f aca="false">IF(J718&lt;11,"Pagi",IF(J718&lt;17,"Siang","Malam"))</f>
        <v>Pagi</v>
      </c>
      <c r="L718" s="2" t="n">
        <f aca="false">IF(A718&lt;&gt;A717,1,0)</f>
        <v>1</v>
      </c>
    </row>
    <row r="719" customFormat="false" ht="15" hidden="false" customHeight="false" outlineLevel="0" collapsed="false">
      <c r="A719" s="2" t="s">
        <v>847</v>
      </c>
      <c r="B719" s="13" t="n">
        <v>46275</v>
      </c>
      <c r="C719" s="2" t="s">
        <v>112</v>
      </c>
      <c r="D719" s="2" t="n">
        <v>3</v>
      </c>
      <c r="E719" s="15" t="n">
        <v>0.447916666666667</v>
      </c>
      <c r="F719" s="7" t="n">
        <v>10000</v>
      </c>
      <c r="G719" s="7" t="n">
        <f aca="false">D719*F719</f>
        <v>30000</v>
      </c>
      <c r="H719" s="2" t="str">
        <f aca="false">INDEX(Daftar_Menu!$B$2:$B$13,MATCH(C719,Daftar_Menu!$A$2:$A$13,0))</f>
        <v>Minuman</v>
      </c>
      <c r="I719" s="2" t="str">
        <f aca="false">CHOOSE(WEEKDAY(B719,2),"Senin","Selasa","Rabu","Kamis","Jumat","Sabtu","Minggu")</f>
        <v>Kamis</v>
      </c>
      <c r="J719" s="2" t="n">
        <f aca="false">HOUR(E719)</f>
        <v>10</v>
      </c>
      <c r="K719" s="2" t="str">
        <f aca="false">IF(J719&lt;11,"Pagi",IF(J719&lt;17,"Siang","Malam"))</f>
        <v>Pagi</v>
      </c>
      <c r="L719" s="2" t="n">
        <f aca="false">IF(A719&lt;&gt;A718,1,0)</f>
        <v>0</v>
      </c>
    </row>
    <row r="720" customFormat="false" ht="15" hidden="false" customHeight="false" outlineLevel="0" collapsed="false">
      <c r="A720" s="2" t="s">
        <v>849</v>
      </c>
      <c r="B720" s="13" t="n">
        <v>46275</v>
      </c>
      <c r="C720" s="2" t="s">
        <v>81</v>
      </c>
      <c r="D720" s="2" t="n">
        <v>2</v>
      </c>
      <c r="E720" s="15" t="n">
        <v>0.4625</v>
      </c>
      <c r="F720" s="7" t="n">
        <v>15000</v>
      </c>
      <c r="G720" s="7" t="n">
        <f aca="false">D720*F720</f>
        <v>30000</v>
      </c>
      <c r="H720" s="2" t="str">
        <f aca="false">INDEX(Daftar_Menu!$B$2:$B$13,MATCH(C720,Daftar_Menu!$A$2:$A$13,0))</f>
        <v>Makanan</v>
      </c>
      <c r="I720" s="2" t="str">
        <f aca="false">CHOOSE(WEEKDAY(B720,2),"Senin","Selasa","Rabu","Kamis","Jumat","Sabtu","Minggu")</f>
        <v>Kamis</v>
      </c>
      <c r="J720" s="2" t="n">
        <f aca="false">HOUR(E720)</f>
        <v>11</v>
      </c>
      <c r="K720" s="2" t="str">
        <f aca="false">IF(J720&lt;11,"Pagi",IF(J720&lt;17,"Siang","Malam"))</f>
        <v>Siang</v>
      </c>
      <c r="L720" s="2" t="n">
        <f aca="false">IF(A720&lt;&gt;A719,1,0)</f>
        <v>1</v>
      </c>
    </row>
    <row r="721" customFormat="false" ht="15" hidden="false" customHeight="false" outlineLevel="0" collapsed="false">
      <c r="A721" s="2" t="s">
        <v>851</v>
      </c>
      <c r="B721" s="13" t="n">
        <v>46275</v>
      </c>
      <c r="C721" s="2" t="s">
        <v>81</v>
      </c>
      <c r="D721" s="2" t="n">
        <v>1</v>
      </c>
      <c r="E721" s="15" t="n">
        <v>0.464583333333333</v>
      </c>
      <c r="F721" s="7" t="n">
        <v>15000</v>
      </c>
      <c r="G721" s="7" t="n">
        <f aca="false">D721*F721</f>
        <v>15000</v>
      </c>
      <c r="H721" s="2" t="str">
        <f aca="false">INDEX(Daftar_Menu!$B$2:$B$13,MATCH(C721,Daftar_Menu!$A$2:$A$13,0))</f>
        <v>Makanan</v>
      </c>
      <c r="I721" s="2" t="str">
        <f aca="false">CHOOSE(WEEKDAY(B721,2),"Senin","Selasa","Rabu","Kamis","Jumat","Sabtu","Minggu")</f>
        <v>Kamis</v>
      </c>
      <c r="J721" s="2" t="n">
        <f aca="false">HOUR(E721)</f>
        <v>11</v>
      </c>
      <c r="K721" s="2" t="str">
        <f aca="false">IF(J721&lt;11,"Pagi",IF(J721&lt;17,"Siang","Malam"))</f>
        <v>Siang</v>
      </c>
      <c r="L721" s="2" t="n">
        <f aca="false">IF(A721&lt;&gt;A720,1,0)</f>
        <v>1</v>
      </c>
    </row>
    <row r="722" customFormat="false" ht="15" hidden="false" customHeight="false" outlineLevel="0" collapsed="false">
      <c r="A722" s="2" t="s">
        <v>853</v>
      </c>
      <c r="B722" s="13" t="n">
        <v>46275</v>
      </c>
      <c r="C722" s="2" t="s">
        <v>132</v>
      </c>
      <c r="D722" s="2" t="n">
        <v>1</v>
      </c>
      <c r="E722" s="15" t="n">
        <v>0.465972222222222</v>
      </c>
      <c r="F722" s="7" t="n">
        <v>15000</v>
      </c>
      <c r="G722" s="7" t="n">
        <f aca="false">D722*F722</f>
        <v>15000</v>
      </c>
      <c r="H722" s="2" t="str">
        <f aca="false">INDEX(Daftar_Menu!$B$2:$B$13,MATCH(C722,Daftar_Menu!$A$2:$A$13,0))</f>
        <v>Makanan</v>
      </c>
      <c r="I722" s="2" t="str">
        <f aca="false">CHOOSE(WEEKDAY(B722,2),"Senin","Selasa","Rabu","Kamis","Jumat","Sabtu","Minggu")</f>
        <v>Kamis</v>
      </c>
      <c r="J722" s="2" t="n">
        <f aca="false">HOUR(E722)</f>
        <v>11</v>
      </c>
      <c r="K722" s="2" t="str">
        <f aca="false">IF(J722&lt;11,"Pagi",IF(J722&lt;17,"Siang","Malam"))</f>
        <v>Siang</v>
      </c>
      <c r="L722" s="2" t="n">
        <f aca="false">IF(A722&lt;&gt;A721,1,0)</f>
        <v>1</v>
      </c>
    </row>
    <row r="723" customFormat="false" ht="15" hidden="false" customHeight="false" outlineLevel="0" collapsed="false">
      <c r="A723" s="2" t="s">
        <v>853</v>
      </c>
      <c r="B723" s="13" t="n">
        <v>46275</v>
      </c>
      <c r="C723" s="2" t="s">
        <v>108</v>
      </c>
      <c r="D723" s="2" t="n">
        <v>1</v>
      </c>
      <c r="E723" s="15" t="n">
        <v>0.465972222222222</v>
      </c>
      <c r="F723" s="7" t="n">
        <v>20000</v>
      </c>
      <c r="G723" s="7" t="n">
        <f aca="false">D723*F723</f>
        <v>20000</v>
      </c>
      <c r="H723" s="2" t="str">
        <f aca="false">INDEX(Daftar_Menu!$B$2:$B$13,MATCH(C723,Daftar_Menu!$A$2:$A$13,0))</f>
        <v>Makanan</v>
      </c>
      <c r="I723" s="2" t="str">
        <f aca="false">CHOOSE(WEEKDAY(B723,2),"Senin","Selasa","Rabu","Kamis","Jumat","Sabtu","Minggu")</f>
        <v>Kamis</v>
      </c>
      <c r="J723" s="2" t="n">
        <f aca="false">HOUR(E723)</f>
        <v>11</v>
      </c>
      <c r="K723" s="2" t="str">
        <f aca="false">IF(J723&lt;11,"Pagi",IF(J723&lt;17,"Siang","Malam"))</f>
        <v>Siang</v>
      </c>
      <c r="L723" s="2" t="n">
        <f aca="false">IF(A723&lt;&gt;A722,1,0)</f>
        <v>0</v>
      </c>
    </row>
    <row r="724" customFormat="false" ht="15" hidden="false" customHeight="false" outlineLevel="0" collapsed="false">
      <c r="A724" s="2" t="s">
        <v>854</v>
      </c>
      <c r="B724" s="13" t="n">
        <v>46275</v>
      </c>
      <c r="C724" s="2" t="s">
        <v>112</v>
      </c>
      <c r="D724" s="2" t="n">
        <v>2</v>
      </c>
      <c r="E724" s="15" t="n">
        <v>0.466666666666667</v>
      </c>
      <c r="F724" s="7" t="n">
        <v>10000</v>
      </c>
      <c r="G724" s="7" t="n">
        <f aca="false">D724*F724</f>
        <v>20000</v>
      </c>
      <c r="H724" s="2" t="str">
        <f aca="false">INDEX(Daftar_Menu!$B$2:$B$13,MATCH(C724,Daftar_Menu!$A$2:$A$13,0))</f>
        <v>Minuman</v>
      </c>
      <c r="I724" s="2" t="str">
        <f aca="false">CHOOSE(WEEKDAY(B724,2),"Senin","Selasa","Rabu","Kamis","Jumat","Sabtu","Minggu")</f>
        <v>Kamis</v>
      </c>
      <c r="J724" s="2" t="n">
        <f aca="false">HOUR(E724)</f>
        <v>11</v>
      </c>
      <c r="K724" s="2" t="str">
        <f aca="false">IF(J724&lt;11,"Pagi",IF(J724&lt;17,"Siang","Malam"))</f>
        <v>Siang</v>
      </c>
      <c r="L724" s="2" t="n">
        <f aca="false">IF(A724&lt;&gt;A723,1,0)</f>
        <v>1</v>
      </c>
    </row>
    <row r="725" customFormat="false" ht="15" hidden="false" customHeight="false" outlineLevel="0" collapsed="false">
      <c r="A725" s="2" t="s">
        <v>855</v>
      </c>
      <c r="B725" s="13" t="n">
        <v>46275</v>
      </c>
      <c r="C725" s="2" t="s">
        <v>84</v>
      </c>
      <c r="D725" s="2" t="n">
        <v>1</v>
      </c>
      <c r="E725" s="15" t="n">
        <v>0.472222222222222</v>
      </c>
      <c r="F725" s="7" t="n">
        <v>5000</v>
      </c>
      <c r="G725" s="7" t="n">
        <f aca="false">D725*F725</f>
        <v>5000</v>
      </c>
      <c r="H725" s="2" t="str">
        <f aca="false">INDEX(Daftar_Menu!$B$2:$B$13,MATCH(C725,Daftar_Menu!$A$2:$A$13,0))</f>
        <v>Minuman</v>
      </c>
      <c r="I725" s="2" t="str">
        <f aca="false">CHOOSE(WEEKDAY(B725,2),"Senin","Selasa","Rabu","Kamis","Jumat","Sabtu","Minggu")</f>
        <v>Kamis</v>
      </c>
      <c r="J725" s="2" t="n">
        <f aca="false">HOUR(E725)</f>
        <v>11</v>
      </c>
      <c r="K725" s="2" t="str">
        <f aca="false">IF(J725&lt;11,"Pagi",IF(J725&lt;17,"Siang","Malam"))</f>
        <v>Siang</v>
      </c>
      <c r="L725" s="2" t="n">
        <f aca="false">IF(A725&lt;&gt;A724,1,0)</f>
        <v>1</v>
      </c>
    </row>
    <row r="726" customFormat="false" ht="15" hidden="false" customHeight="false" outlineLevel="0" collapsed="false">
      <c r="A726" s="2" t="s">
        <v>855</v>
      </c>
      <c r="B726" s="13" t="n">
        <v>46275</v>
      </c>
      <c r="C726" s="2" t="s">
        <v>101</v>
      </c>
      <c r="D726" s="2" t="n">
        <v>2</v>
      </c>
      <c r="E726" s="15" t="n">
        <v>0.472222222222222</v>
      </c>
      <c r="F726" s="7" t="n">
        <v>18000</v>
      </c>
      <c r="G726" s="7" t="n">
        <f aca="false">D726*F726</f>
        <v>36000</v>
      </c>
      <c r="H726" s="2" t="str">
        <f aca="false">INDEX(Daftar_Menu!$B$2:$B$13,MATCH(C726,Daftar_Menu!$A$2:$A$13,0))</f>
        <v>Makanan</v>
      </c>
      <c r="I726" s="2" t="str">
        <f aca="false">CHOOSE(WEEKDAY(B726,2),"Senin","Selasa","Rabu","Kamis","Jumat","Sabtu","Minggu")</f>
        <v>Kamis</v>
      </c>
      <c r="J726" s="2" t="n">
        <f aca="false">HOUR(E726)</f>
        <v>11</v>
      </c>
      <c r="K726" s="2" t="str">
        <f aca="false">IF(J726&lt;11,"Pagi",IF(J726&lt;17,"Siang","Malam"))</f>
        <v>Siang</v>
      </c>
      <c r="L726" s="2" t="n">
        <f aca="false">IF(A726&lt;&gt;A725,1,0)</f>
        <v>0</v>
      </c>
    </row>
    <row r="727" customFormat="false" ht="15" hidden="false" customHeight="false" outlineLevel="0" collapsed="false">
      <c r="A727" s="2" t="s">
        <v>856</v>
      </c>
      <c r="B727" s="13" t="n">
        <v>46275</v>
      </c>
      <c r="C727" s="2" t="s">
        <v>132</v>
      </c>
      <c r="D727" s="2" t="n">
        <v>1</v>
      </c>
      <c r="E727" s="15" t="n">
        <v>0.477083333333333</v>
      </c>
      <c r="F727" s="7" t="n">
        <v>15000</v>
      </c>
      <c r="G727" s="7" t="n">
        <f aca="false">D727*F727</f>
        <v>15000</v>
      </c>
      <c r="H727" s="2" t="str">
        <f aca="false">INDEX(Daftar_Menu!$B$2:$B$13,MATCH(C727,Daftar_Menu!$A$2:$A$13,0))</f>
        <v>Makanan</v>
      </c>
      <c r="I727" s="2" t="str">
        <f aca="false">CHOOSE(WEEKDAY(B727,2),"Senin","Selasa","Rabu","Kamis","Jumat","Sabtu","Minggu")</f>
        <v>Kamis</v>
      </c>
      <c r="J727" s="2" t="n">
        <f aca="false">HOUR(E727)</f>
        <v>11</v>
      </c>
      <c r="K727" s="2" t="str">
        <f aca="false">IF(J727&lt;11,"Pagi",IF(J727&lt;17,"Siang","Malam"))</f>
        <v>Siang</v>
      </c>
      <c r="L727" s="2" t="n">
        <f aca="false">IF(A727&lt;&gt;A726,1,0)</f>
        <v>1</v>
      </c>
    </row>
    <row r="728" customFormat="false" ht="15" hidden="false" customHeight="false" outlineLevel="0" collapsed="false">
      <c r="A728" s="2" t="s">
        <v>858</v>
      </c>
      <c r="B728" s="13" t="n">
        <v>46275</v>
      </c>
      <c r="C728" s="2" t="s">
        <v>101</v>
      </c>
      <c r="D728" s="2" t="n">
        <v>1</v>
      </c>
      <c r="E728" s="15" t="n">
        <v>0.479166666666667</v>
      </c>
      <c r="F728" s="7" t="n">
        <v>18000</v>
      </c>
      <c r="G728" s="7" t="n">
        <f aca="false">D728*F728</f>
        <v>18000</v>
      </c>
      <c r="H728" s="2" t="str">
        <f aca="false">INDEX(Daftar_Menu!$B$2:$B$13,MATCH(C728,Daftar_Menu!$A$2:$A$13,0))</f>
        <v>Makanan</v>
      </c>
      <c r="I728" s="2" t="str">
        <f aca="false">CHOOSE(WEEKDAY(B728,2),"Senin","Selasa","Rabu","Kamis","Jumat","Sabtu","Minggu")</f>
        <v>Kamis</v>
      </c>
      <c r="J728" s="2" t="n">
        <f aca="false">HOUR(E728)</f>
        <v>11</v>
      </c>
      <c r="K728" s="2" t="str">
        <f aca="false">IF(J728&lt;11,"Pagi",IF(J728&lt;17,"Siang","Malam"))</f>
        <v>Siang</v>
      </c>
      <c r="L728" s="2" t="n">
        <f aca="false">IF(A728&lt;&gt;A727,1,0)</f>
        <v>1</v>
      </c>
    </row>
    <row r="729" customFormat="false" ht="15" hidden="false" customHeight="false" outlineLevel="0" collapsed="false">
      <c r="A729" s="2" t="s">
        <v>858</v>
      </c>
      <c r="B729" s="13" t="n">
        <v>46275</v>
      </c>
      <c r="C729" s="2" t="s">
        <v>81</v>
      </c>
      <c r="D729" s="2" t="n">
        <v>1</v>
      </c>
      <c r="E729" s="15" t="n">
        <v>0.479166666666667</v>
      </c>
      <c r="F729" s="7" t="n">
        <v>15000</v>
      </c>
      <c r="G729" s="7" t="n">
        <f aca="false">D729*F729</f>
        <v>15000</v>
      </c>
      <c r="H729" s="2" t="str">
        <f aca="false">INDEX(Daftar_Menu!$B$2:$B$13,MATCH(C729,Daftar_Menu!$A$2:$A$13,0))</f>
        <v>Makanan</v>
      </c>
      <c r="I729" s="2" t="str">
        <f aca="false">CHOOSE(WEEKDAY(B729,2),"Senin","Selasa","Rabu","Kamis","Jumat","Sabtu","Minggu")</f>
        <v>Kamis</v>
      </c>
      <c r="J729" s="2" t="n">
        <f aca="false">HOUR(E729)</f>
        <v>11</v>
      </c>
      <c r="K729" s="2" t="str">
        <f aca="false">IF(J729&lt;11,"Pagi",IF(J729&lt;17,"Siang","Malam"))</f>
        <v>Siang</v>
      </c>
      <c r="L729" s="2" t="n">
        <f aca="false">IF(A729&lt;&gt;A728,1,0)</f>
        <v>0</v>
      </c>
    </row>
    <row r="730" customFormat="false" ht="15" hidden="false" customHeight="false" outlineLevel="0" collapsed="false">
      <c r="A730" s="2" t="s">
        <v>858</v>
      </c>
      <c r="B730" s="13" t="n">
        <v>46275</v>
      </c>
      <c r="C730" s="2" t="s">
        <v>79</v>
      </c>
      <c r="D730" s="2" t="n">
        <v>1</v>
      </c>
      <c r="E730" s="15" t="n">
        <v>0.479166666666667</v>
      </c>
      <c r="F730" s="7" t="n">
        <v>16000</v>
      </c>
      <c r="G730" s="7" t="n">
        <f aca="false">D730*F730</f>
        <v>16000</v>
      </c>
      <c r="H730" s="2" t="str">
        <f aca="false">INDEX(Daftar_Menu!$B$2:$B$13,MATCH(C730,Daftar_Menu!$A$2:$A$13,0))</f>
        <v>Makanan</v>
      </c>
      <c r="I730" s="2" t="str">
        <f aca="false">CHOOSE(WEEKDAY(B730,2),"Senin","Selasa","Rabu","Kamis","Jumat","Sabtu","Minggu")</f>
        <v>Kamis</v>
      </c>
      <c r="J730" s="2" t="n">
        <f aca="false">HOUR(E730)</f>
        <v>11</v>
      </c>
      <c r="K730" s="2" t="str">
        <f aca="false">IF(J730&lt;11,"Pagi",IF(J730&lt;17,"Siang","Malam"))</f>
        <v>Siang</v>
      </c>
      <c r="L730" s="2" t="n">
        <f aca="false">IF(A730&lt;&gt;A729,1,0)</f>
        <v>0</v>
      </c>
    </row>
    <row r="731" customFormat="false" ht="15" hidden="false" customHeight="false" outlineLevel="0" collapsed="false">
      <c r="A731" s="2" t="s">
        <v>859</v>
      </c>
      <c r="B731" s="13" t="n">
        <v>46275</v>
      </c>
      <c r="C731" s="2" t="s">
        <v>79</v>
      </c>
      <c r="D731" s="2" t="n">
        <v>1</v>
      </c>
      <c r="E731" s="15" t="n">
        <v>0.491666666666667</v>
      </c>
      <c r="F731" s="7" t="n">
        <v>16000</v>
      </c>
      <c r="G731" s="7" t="n">
        <f aca="false">D731*F731</f>
        <v>16000</v>
      </c>
      <c r="H731" s="2" t="str">
        <f aca="false">INDEX(Daftar_Menu!$B$2:$B$13,MATCH(C731,Daftar_Menu!$A$2:$A$13,0))</f>
        <v>Makanan</v>
      </c>
      <c r="I731" s="2" t="str">
        <f aca="false">CHOOSE(WEEKDAY(B731,2),"Senin","Selasa","Rabu","Kamis","Jumat","Sabtu","Minggu")</f>
        <v>Kamis</v>
      </c>
      <c r="J731" s="2" t="n">
        <f aca="false">HOUR(E731)</f>
        <v>11</v>
      </c>
      <c r="K731" s="2" t="str">
        <f aca="false">IF(J731&lt;11,"Pagi",IF(J731&lt;17,"Siang","Malam"))</f>
        <v>Siang</v>
      </c>
      <c r="L731" s="2" t="n">
        <f aca="false">IF(A731&lt;&gt;A730,1,0)</f>
        <v>1</v>
      </c>
    </row>
    <row r="732" customFormat="false" ht="15" hidden="false" customHeight="false" outlineLevel="0" collapsed="false">
      <c r="A732" s="2" t="s">
        <v>861</v>
      </c>
      <c r="B732" s="13" t="n">
        <v>46275</v>
      </c>
      <c r="C732" s="2" t="s">
        <v>84</v>
      </c>
      <c r="D732" s="2" t="n">
        <v>1</v>
      </c>
      <c r="E732" s="15" t="n">
        <v>0.49375</v>
      </c>
      <c r="F732" s="7" t="n">
        <v>5000</v>
      </c>
      <c r="G732" s="7" t="n">
        <f aca="false">D732*F732</f>
        <v>5000</v>
      </c>
      <c r="H732" s="2" t="str">
        <f aca="false">INDEX(Daftar_Menu!$B$2:$B$13,MATCH(C732,Daftar_Menu!$A$2:$A$13,0))</f>
        <v>Minuman</v>
      </c>
      <c r="I732" s="2" t="str">
        <f aca="false">CHOOSE(WEEKDAY(B732,2),"Senin","Selasa","Rabu","Kamis","Jumat","Sabtu","Minggu")</f>
        <v>Kamis</v>
      </c>
      <c r="J732" s="2" t="n">
        <f aca="false">HOUR(E732)</f>
        <v>11</v>
      </c>
      <c r="K732" s="2" t="str">
        <f aca="false">IF(J732&lt;11,"Pagi",IF(J732&lt;17,"Siang","Malam"))</f>
        <v>Siang</v>
      </c>
      <c r="L732" s="2" t="n">
        <f aca="false">IF(A732&lt;&gt;A731,1,0)</f>
        <v>1</v>
      </c>
    </row>
    <row r="733" customFormat="false" ht="15" hidden="false" customHeight="false" outlineLevel="0" collapsed="false">
      <c r="A733" s="2" t="s">
        <v>861</v>
      </c>
      <c r="B733" s="13" t="n">
        <v>46275</v>
      </c>
      <c r="C733" s="2" t="s">
        <v>79</v>
      </c>
      <c r="D733" s="2" t="n">
        <v>1</v>
      </c>
      <c r="E733" s="15" t="n">
        <v>0.49375</v>
      </c>
      <c r="F733" s="7" t="n">
        <v>16000</v>
      </c>
      <c r="G733" s="7" t="n">
        <f aca="false">D733*F733</f>
        <v>16000</v>
      </c>
      <c r="H733" s="2" t="str">
        <f aca="false">INDEX(Daftar_Menu!$B$2:$B$13,MATCH(C733,Daftar_Menu!$A$2:$A$13,0))</f>
        <v>Makanan</v>
      </c>
      <c r="I733" s="2" t="str">
        <f aca="false">CHOOSE(WEEKDAY(B733,2),"Senin","Selasa","Rabu","Kamis","Jumat","Sabtu","Minggu")</f>
        <v>Kamis</v>
      </c>
      <c r="J733" s="2" t="n">
        <f aca="false">HOUR(E733)</f>
        <v>11</v>
      </c>
      <c r="K733" s="2" t="str">
        <f aca="false">IF(J733&lt;11,"Pagi",IF(J733&lt;17,"Siang","Malam"))</f>
        <v>Siang</v>
      </c>
      <c r="L733" s="2" t="n">
        <f aca="false">IF(A733&lt;&gt;A732,1,0)</f>
        <v>0</v>
      </c>
    </row>
    <row r="734" customFormat="false" ht="15" hidden="false" customHeight="false" outlineLevel="0" collapsed="false">
      <c r="A734" s="2" t="s">
        <v>862</v>
      </c>
      <c r="B734" s="13" t="n">
        <v>46275</v>
      </c>
      <c r="C734" s="2" t="s">
        <v>84</v>
      </c>
      <c r="D734" s="2" t="n">
        <v>1</v>
      </c>
      <c r="E734" s="15" t="n">
        <v>0.495833333333333</v>
      </c>
      <c r="F734" s="7" t="n">
        <v>5000</v>
      </c>
      <c r="G734" s="7" t="n">
        <f aca="false">D734*F734</f>
        <v>5000</v>
      </c>
      <c r="H734" s="2" t="str">
        <f aca="false">INDEX(Daftar_Menu!$B$2:$B$13,MATCH(C734,Daftar_Menu!$A$2:$A$13,0))</f>
        <v>Minuman</v>
      </c>
      <c r="I734" s="2" t="str">
        <f aca="false">CHOOSE(WEEKDAY(B734,2),"Senin","Selasa","Rabu","Kamis","Jumat","Sabtu","Minggu")</f>
        <v>Kamis</v>
      </c>
      <c r="J734" s="2" t="n">
        <f aca="false">HOUR(E734)</f>
        <v>11</v>
      </c>
      <c r="K734" s="2" t="str">
        <f aca="false">IF(J734&lt;11,"Pagi",IF(J734&lt;17,"Siang","Malam"))</f>
        <v>Siang</v>
      </c>
      <c r="L734" s="2" t="n">
        <f aca="false">IF(A734&lt;&gt;A733,1,0)</f>
        <v>1</v>
      </c>
    </row>
    <row r="735" customFormat="false" ht="15" hidden="false" customHeight="false" outlineLevel="0" collapsed="false">
      <c r="A735" s="2" t="s">
        <v>864</v>
      </c>
      <c r="B735" s="13" t="n">
        <v>46275</v>
      </c>
      <c r="C735" s="2" t="s">
        <v>132</v>
      </c>
      <c r="D735" s="2" t="n">
        <v>1</v>
      </c>
      <c r="E735" s="15" t="n">
        <v>0.501388888888889</v>
      </c>
      <c r="F735" s="7" t="n">
        <v>15000</v>
      </c>
      <c r="G735" s="7" t="n">
        <f aca="false">D735*F735</f>
        <v>15000</v>
      </c>
      <c r="H735" s="2" t="str">
        <f aca="false">INDEX(Daftar_Menu!$B$2:$B$13,MATCH(C735,Daftar_Menu!$A$2:$A$13,0))</f>
        <v>Makanan</v>
      </c>
      <c r="I735" s="2" t="str">
        <f aca="false">CHOOSE(WEEKDAY(B735,2),"Senin","Selasa","Rabu","Kamis","Jumat","Sabtu","Minggu")</f>
        <v>Kamis</v>
      </c>
      <c r="J735" s="2" t="n">
        <f aca="false">HOUR(E735)</f>
        <v>12</v>
      </c>
      <c r="K735" s="2" t="str">
        <f aca="false">IF(J735&lt;11,"Pagi",IF(J735&lt;17,"Siang","Malam"))</f>
        <v>Siang</v>
      </c>
      <c r="L735" s="2" t="n">
        <f aca="false">IF(A735&lt;&gt;A734,1,0)</f>
        <v>1</v>
      </c>
    </row>
    <row r="736" customFormat="false" ht="15" hidden="false" customHeight="false" outlineLevel="0" collapsed="false">
      <c r="A736" s="2" t="s">
        <v>865</v>
      </c>
      <c r="B736" s="13" t="n">
        <v>46275</v>
      </c>
      <c r="C736" s="2" t="s">
        <v>84</v>
      </c>
      <c r="D736" s="2" t="n">
        <v>3</v>
      </c>
      <c r="E736" s="15" t="n">
        <v>0.510416666666667</v>
      </c>
      <c r="F736" s="7" t="n">
        <v>5000</v>
      </c>
      <c r="G736" s="7" t="n">
        <f aca="false">D736*F736</f>
        <v>15000</v>
      </c>
      <c r="H736" s="2" t="str">
        <f aca="false">INDEX(Daftar_Menu!$B$2:$B$13,MATCH(C736,Daftar_Menu!$A$2:$A$13,0))</f>
        <v>Minuman</v>
      </c>
      <c r="I736" s="2" t="str">
        <f aca="false">CHOOSE(WEEKDAY(B736,2),"Senin","Selasa","Rabu","Kamis","Jumat","Sabtu","Minggu")</f>
        <v>Kamis</v>
      </c>
      <c r="J736" s="2" t="n">
        <f aca="false">HOUR(E736)</f>
        <v>12</v>
      </c>
      <c r="K736" s="2" t="str">
        <f aca="false">IF(J736&lt;11,"Pagi",IF(J736&lt;17,"Siang","Malam"))</f>
        <v>Siang</v>
      </c>
      <c r="L736" s="2" t="n">
        <f aca="false">IF(A736&lt;&gt;A735,1,0)</f>
        <v>1</v>
      </c>
    </row>
    <row r="737" customFormat="false" ht="15" hidden="false" customHeight="false" outlineLevel="0" collapsed="false">
      <c r="A737" s="2" t="s">
        <v>867</v>
      </c>
      <c r="B737" s="13" t="n">
        <v>46275</v>
      </c>
      <c r="C737" s="2" t="s">
        <v>108</v>
      </c>
      <c r="D737" s="2" t="n">
        <v>2</v>
      </c>
      <c r="E737" s="15" t="n">
        <v>0.515277777777778</v>
      </c>
      <c r="F737" s="7" t="n">
        <v>20000</v>
      </c>
      <c r="G737" s="7" t="n">
        <f aca="false">D737*F737</f>
        <v>40000</v>
      </c>
      <c r="H737" s="2" t="str">
        <f aca="false">INDEX(Daftar_Menu!$B$2:$B$13,MATCH(C737,Daftar_Menu!$A$2:$A$13,0))</f>
        <v>Makanan</v>
      </c>
      <c r="I737" s="2" t="str">
        <f aca="false">CHOOSE(WEEKDAY(B737,2),"Senin","Selasa","Rabu","Kamis","Jumat","Sabtu","Minggu")</f>
        <v>Kamis</v>
      </c>
      <c r="J737" s="2" t="n">
        <f aca="false">HOUR(E737)</f>
        <v>12</v>
      </c>
      <c r="K737" s="2" t="str">
        <f aca="false">IF(J737&lt;11,"Pagi",IF(J737&lt;17,"Siang","Malam"))</f>
        <v>Siang</v>
      </c>
      <c r="L737" s="2" t="n">
        <f aca="false">IF(A737&lt;&gt;A736,1,0)</f>
        <v>1</v>
      </c>
    </row>
    <row r="738" customFormat="false" ht="15" hidden="false" customHeight="false" outlineLevel="0" collapsed="false">
      <c r="A738" s="2" t="s">
        <v>867</v>
      </c>
      <c r="B738" s="13" t="n">
        <v>46275</v>
      </c>
      <c r="C738" s="2" t="s">
        <v>81</v>
      </c>
      <c r="D738" s="2" t="n">
        <v>1</v>
      </c>
      <c r="E738" s="15" t="n">
        <v>0.515277777777778</v>
      </c>
      <c r="F738" s="7" t="n">
        <v>15000</v>
      </c>
      <c r="G738" s="7" t="n">
        <f aca="false">D738*F738</f>
        <v>15000</v>
      </c>
      <c r="H738" s="2" t="str">
        <f aca="false">INDEX(Daftar_Menu!$B$2:$B$13,MATCH(C738,Daftar_Menu!$A$2:$A$13,0))</f>
        <v>Makanan</v>
      </c>
      <c r="I738" s="2" t="str">
        <f aca="false">CHOOSE(WEEKDAY(B738,2),"Senin","Selasa","Rabu","Kamis","Jumat","Sabtu","Minggu")</f>
        <v>Kamis</v>
      </c>
      <c r="J738" s="2" t="n">
        <f aca="false">HOUR(E738)</f>
        <v>12</v>
      </c>
      <c r="K738" s="2" t="str">
        <f aca="false">IF(J738&lt;11,"Pagi",IF(J738&lt;17,"Siang","Malam"))</f>
        <v>Siang</v>
      </c>
      <c r="L738" s="2" t="n">
        <f aca="false">IF(A738&lt;&gt;A737,1,0)</f>
        <v>0</v>
      </c>
    </row>
    <row r="739" customFormat="false" ht="15" hidden="false" customHeight="false" outlineLevel="0" collapsed="false">
      <c r="A739" s="2" t="s">
        <v>868</v>
      </c>
      <c r="B739" s="13" t="n">
        <v>46275</v>
      </c>
      <c r="C739" s="2" t="s">
        <v>84</v>
      </c>
      <c r="D739" s="2" t="n">
        <v>1</v>
      </c>
      <c r="E739" s="15" t="n">
        <v>0.515972222222222</v>
      </c>
      <c r="F739" s="7" t="n">
        <v>5000</v>
      </c>
      <c r="G739" s="7" t="n">
        <f aca="false">D739*F739</f>
        <v>5000</v>
      </c>
      <c r="H739" s="2" t="str">
        <f aca="false">INDEX(Daftar_Menu!$B$2:$B$13,MATCH(C739,Daftar_Menu!$A$2:$A$13,0))</f>
        <v>Minuman</v>
      </c>
      <c r="I739" s="2" t="str">
        <f aca="false">CHOOSE(WEEKDAY(B739,2),"Senin","Selasa","Rabu","Kamis","Jumat","Sabtu","Minggu")</f>
        <v>Kamis</v>
      </c>
      <c r="J739" s="2" t="n">
        <f aca="false">HOUR(E739)</f>
        <v>12</v>
      </c>
      <c r="K739" s="2" t="str">
        <f aca="false">IF(J739&lt;11,"Pagi",IF(J739&lt;17,"Siang","Malam"))</f>
        <v>Siang</v>
      </c>
      <c r="L739" s="2" t="n">
        <f aca="false">IF(A739&lt;&gt;A738,1,0)</f>
        <v>1</v>
      </c>
    </row>
    <row r="740" customFormat="false" ht="15" hidden="false" customHeight="false" outlineLevel="0" collapsed="false">
      <c r="A740" s="2" t="s">
        <v>868</v>
      </c>
      <c r="B740" s="13" t="n">
        <v>46275</v>
      </c>
      <c r="C740" s="2" t="s">
        <v>108</v>
      </c>
      <c r="D740" s="2" t="n">
        <v>1</v>
      </c>
      <c r="E740" s="15" t="n">
        <v>0.515972222222222</v>
      </c>
      <c r="F740" s="7" t="n">
        <v>20000</v>
      </c>
      <c r="G740" s="7" t="n">
        <f aca="false">D740*F740</f>
        <v>20000</v>
      </c>
      <c r="H740" s="2" t="str">
        <f aca="false">INDEX(Daftar_Menu!$B$2:$B$13,MATCH(C740,Daftar_Menu!$A$2:$A$13,0))</f>
        <v>Makanan</v>
      </c>
      <c r="I740" s="2" t="str">
        <f aca="false">CHOOSE(WEEKDAY(B740,2),"Senin","Selasa","Rabu","Kamis","Jumat","Sabtu","Minggu")</f>
        <v>Kamis</v>
      </c>
      <c r="J740" s="2" t="n">
        <f aca="false">HOUR(E740)</f>
        <v>12</v>
      </c>
      <c r="K740" s="2" t="str">
        <f aca="false">IF(J740&lt;11,"Pagi",IF(J740&lt;17,"Siang","Malam"))</f>
        <v>Siang</v>
      </c>
      <c r="L740" s="2" t="n">
        <f aca="false">IF(A740&lt;&gt;A739,1,0)</f>
        <v>0</v>
      </c>
    </row>
    <row r="741" customFormat="false" ht="15" hidden="false" customHeight="false" outlineLevel="0" collapsed="false">
      <c r="A741" s="2" t="s">
        <v>868</v>
      </c>
      <c r="B741" s="13" t="n">
        <v>46275</v>
      </c>
      <c r="C741" s="2" t="s">
        <v>92</v>
      </c>
      <c r="D741" s="2" t="n">
        <v>3</v>
      </c>
      <c r="E741" s="15" t="n">
        <v>0.515972222222222</v>
      </c>
      <c r="F741" s="7" t="n">
        <v>4000</v>
      </c>
      <c r="G741" s="7" t="n">
        <f aca="false">D741*F741</f>
        <v>12000</v>
      </c>
      <c r="H741" s="2" t="str">
        <f aca="false">INDEX(Daftar_Menu!$B$2:$B$13,MATCH(C741,Daftar_Menu!$A$2:$A$13,0))</f>
        <v>Minuman</v>
      </c>
      <c r="I741" s="2" t="str">
        <f aca="false">CHOOSE(WEEKDAY(B741,2),"Senin","Selasa","Rabu","Kamis","Jumat","Sabtu","Minggu")</f>
        <v>Kamis</v>
      </c>
      <c r="J741" s="2" t="n">
        <f aca="false">HOUR(E741)</f>
        <v>12</v>
      </c>
      <c r="K741" s="2" t="str">
        <f aca="false">IF(J741&lt;11,"Pagi",IF(J741&lt;17,"Siang","Malam"))</f>
        <v>Siang</v>
      </c>
      <c r="L741" s="2" t="n">
        <f aca="false">IF(A741&lt;&gt;A740,1,0)</f>
        <v>0</v>
      </c>
    </row>
    <row r="742" customFormat="false" ht="15" hidden="false" customHeight="false" outlineLevel="0" collapsed="false">
      <c r="A742" s="2" t="s">
        <v>870</v>
      </c>
      <c r="B742" s="13" t="n">
        <v>46275</v>
      </c>
      <c r="C742" s="2" t="s">
        <v>112</v>
      </c>
      <c r="D742" s="2" t="n">
        <v>1</v>
      </c>
      <c r="E742" s="15" t="n">
        <v>0.51875</v>
      </c>
      <c r="F742" s="7" t="n">
        <v>10000</v>
      </c>
      <c r="G742" s="7" t="n">
        <f aca="false">D742*F742</f>
        <v>10000</v>
      </c>
      <c r="H742" s="2" t="str">
        <f aca="false">INDEX(Daftar_Menu!$B$2:$B$13,MATCH(C742,Daftar_Menu!$A$2:$A$13,0))</f>
        <v>Minuman</v>
      </c>
      <c r="I742" s="2" t="str">
        <f aca="false">CHOOSE(WEEKDAY(B742,2),"Senin","Selasa","Rabu","Kamis","Jumat","Sabtu","Minggu")</f>
        <v>Kamis</v>
      </c>
      <c r="J742" s="2" t="n">
        <f aca="false">HOUR(E742)</f>
        <v>12</v>
      </c>
      <c r="K742" s="2" t="str">
        <f aca="false">IF(J742&lt;11,"Pagi",IF(J742&lt;17,"Siang","Malam"))</f>
        <v>Siang</v>
      </c>
      <c r="L742" s="2" t="n">
        <f aca="false">IF(A742&lt;&gt;A741,1,0)</f>
        <v>1</v>
      </c>
    </row>
    <row r="743" customFormat="false" ht="15" hidden="false" customHeight="false" outlineLevel="0" collapsed="false">
      <c r="A743" s="2" t="s">
        <v>870</v>
      </c>
      <c r="B743" s="13" t="n">
        <v>46275</v>
      </c>
      <c r="C743" s="2" t="s">
        <v>81</v>
      </c>
      <c r="D743" s="2" t="n">
        <v>2</v>
      </c>
      <c r="E743" s="15" t="n">
        <v>0.51875</v>
      </c>
      <c r="F743" s="7" t="n">
        <v>15000</v>
      </c>
      <c r="G743" s="7" t="n">
        <f aca="false">D743*F743</f>
        <v>30000</v>
      </c>
      <c r="H743" s="2" t="str">
        <f aca="false">INDEX(Daftar_Menu!$B$2:$B$13,MATCH(C743,Daftar_Menu!$A$2:$A$13,0))</f>
        <v>Makanan</v>
      </c>
      <c r="I743" s="2" t="str">
        <f aca="false">CHOOSE(WEEKDAY(B743,2),"Senin","Selasa","Rabu","Kamis","Jumat","Sabtu","Minggu")</f>
        <v>Kamis</v>
      </c>
      <c r="J743" s="2" t="n">
        <f aca="false">HOUR(E743)</f>
        <v>12</v>
      </c>
      <c r="K743" s="2" t="str">
        <f aca="false">IF(J743&lt;11,"Pagi",IF(J743&lt;17,"Siang","Malam"))</f>
        <v>Siang</v>
      </c>
      <c r="L743" s="2" t="n">
        <f aca="false">IF(A743&lt;&gt;A742,1,0)</f>
        <v>0</v>
      </c>
    </row>
    <row r="744" customFormat="false" ht="15" hidden="false" customHeight="false" outlineLevel="0" collapsed="false">
      <c r="A744" s="2" t="s">
        <v>870</v>
      </c>
      <c r="B744" s="13" t="n">
        <v>46275</v>
      </c>
      <c r="C744" s="2" t="s">
        <v>82</v>
      </c>
      <c r="D744" s="2" t="n">
        <v>1</v>
      </c>
      <c r="E744" s="15" t="n">
        <v>0.51875</v>
      </c>
      <c r="F744" s="7" t="n">
        <v>13000</v>
      </c>
      <c r="G744" s="7" t="n">
        <f aca="false">D744*F744</f>
        <v>13000</v>
      </c>
      <c r="H744" s="2" t="str">
        <f aca="false">INDEX(Daftar_Menu!$B$2:$B$13,MATCH(C744,Daftar_Menu!$A$2:$A$13,0))</f>
        <v>Makanan</v>
      </c>
      <c r="I744" s="2" t="str">
        <f aca="false">CHOOSE(WEEKDAY(B744,2),"Senin","Selasa","Rabu","Kamis","Jumat","Sabtu","Minggu")</f>
        <v>Kamis</v>
      </c>
      <c r="J744" s="2" t="n">
        <f aca="false">HOUR(E744)</f>
        <v>12</v>
      </c>
      <c r="K744" s="2" t="str">
        <f aca="false">IF(J744&lt;11,"Pagi",IF(J744&lt;17,"Siang","Malam"))</f>
        <v>Siang</v>
      </c>
      <c r="L744" s="2" t="n">
        <f aca="false">IF(A744&lt;&gt;A743,1,0)</f>
        <v>0</v>
      </c>
    </row>
    <row r="745" customFormat="false" ht="15" hidden="false" customHeight="false" outlineLevel="0" collapsed="false">
      <c r="A745" s="2" t="s">
        <v>871</v>
      </c>
      <c r="B745" s="13" t="n">
        <v>46275</v>
      </c>
      <c r="C745" s="2" t="s">
        <v>112</v>
      </c>
      <c r="D745" s="2" t="n">
        <v>1</v>
      </c>
      <c r="E745" s="15" t="n">
        <v>0.529861111111111</v>
      </c>
      <c r="F745" s="7" t="n">
        <v>10000</v>
      </c>
      <c r="G745" s="7" t="n">
        <f aca="false">D745*F745</f>
        <v>10000</v>
      </c>
      <c r="H745" s="2" t="str">
        <f aca="false">INDEX(Daftar_Menu!$B$2:$B$13,MATCH(C745,Daftar_Menu!$A$2:$A$13,0))</f>
        <v>Minuman</v>
      </c>
      <c r="I745" s="2" t="str">
        <f aca="false">CHOOSE(WEEKDAY(B745,2),"Senin","Selasa","Rabu","Kamis","Jumat","Sabtu","Minggu")</f>
        <v>Kamis</v>
      </c>
      <c r="J745" s="2" t="n">
        <f aca="false">HOUR(E745)</f>
        <v>12</v>
      </c>
      <c r="K745" s="2" t="str">
        <f aca="false">IF(J745&lt;11,"Pagi",IF(J745&lt;17,"Siang","Malam"))</f>
        <v>Siang</v>
      </c>
      <c r="L745" s="2" t="n">
        <f aca="false">IF(A745&lt;&gt;A744,1,0)</f>
        <v>1</v>
      </c>
    </row>
    <row r="746" customFormat="false" ht="15" hidden="false" customHeight="false" outlineLevel="0" collapsed="false">
      <c r="A746" s="2" t="s">
        <v>871</v>
      </c>
      <c r="B746" s="13" t="n">
        <v>46275</v>
      </c>
      <c r="C746" s="2" t="s">
        <v>132</v>
      </c>
      <c r="D746" s="2" t="n">
        <v>1</v>
      </c>
      <c r="E746" s="15" t="n">
        <v>0.529861111111111</v>
      </c>
      <c r="F746" s="7" t="n">
        <v>15000</v>
      </c>
      <c r="G746" s="7" t="n">
        <f aca="false">D746*F746</f>
        <v>15000</v>
      </c>
      <c r="H746" s="2" t="str">
        <f aca="false">INDEX(Daftar_Menu!$B$2:$B$13,MATCH(C746,Daftar_Menu!$A$2:$A$13,0))</f>
        <v>Makanan</v>
      </c>
      <c r="I746" s="2" t="str">
        <f aca="false">CHOOSE(WEEKDAY(B746,2),"Senin","Selasa","Rabu","Kamis","Jumat","Sabtu","Minggu")</f>
        <v>Kamis</v>
      </c>
      <c r="J746" s="2" t="n">
        <f aca="false">HOUR(E746)</f>
        <v>12</v>
      </c>
      <c r="K746" s="2" t="str">
        <f aca="false">IF(J746&lt;11,"Pagi",IF(J746&lt;17,"Siang","Malam"))</f>
        <v>Siang</v>
      </c>
      <c r="L746" s="2" t="n">
        <f aca="false">IF(A746&lt;&gt;A745,1,0)</f>
        <v>0</v>
      </c>
    </row>
    <row r="747" customFormat="false" ht="15" hidden="false" customHeight="false" outlineLevel="0" collapsed="false">
      <c r="A747" s="2" t="s">
        <v>873</v>
      </c>
      <c r="B747" s="13" t="n">
        <v>46275</v>
      </c>
      <c r="C747" s="2" t="s">
        <v>108</v>
      </c>
      <c r="D747" s="2" t="n">
        <v>1</v>
      </c>
      <c r="E747" s="15" t="n">
        <v>0.53125</v>
      </c>
      <c r="F747" s="7" t="n">
        <v>20000</v>
      </c>
      <c r="G747" s="7" t="n">
        <f aca="false">D747*F747</f>
        <v>20000</v>
      </c>
      <c r="H747" s="2" t="str">
        <f aca="false">INDEX(Daftar_Menu!$B$2:$B$13,MATCH(C747,Daftar_Menu!$A$2:$A$13,0))</f>
        <v>Makanan</v>
      </c>
      <c r="I747" s="2" t="str">
        <f aca="false">CHOOSE(WEEKDAY(B747,2),"Senin","Selasa","Rabu","Kamis","Jumat","Sabtu","Minggu")</f>
        <v>Kamis</v>
      </c>
      <c r="J747" s="2" t="n">
        <f aca="false">HOUR(E747)</f>
        <v>12</v>
      </c>
      <c r="K747" s="2" t="str">
        <f aca="false">IF(J747&lt;11,"Pagi",IF(J747&lt;17,"Siang","Malam"))</f>
        <v>Siang</v>
      </c>
      <c r="L747" s="2" t="n">
        <f aca="false">IF(A747&lt;&gt;A746,1,0)</f>
        <v>1</v>
      </c>
    </row>
    <row r="748" customFormat="false" ht="15" hidden="false" customHeight="false" outlineLevel="0" collapsed="false">
      <c r="A748" s="2" t="s">
        <v>875</v>
      </c>
      <c r="B748" s="13" t="n">
        <v>46275</v>
      </c>
      <c r="C748" s="2" t="s">
        <v>79</v>
      </c>
      <c r="D748" s="2" t="n">
        <v>1</v>
      </c>
      <c r="E748" s="15" t="n">
        <v>0.548611111111111</v>
      </c>
      <c r="F748" s="7" t="n">
        <v>16000</v>
      </c>
      <c r="G748" s="7" t="n">
        <f aca="false">D748*F748</f>
        <v>16000</v>
      </c>
      <c r="H748" s="2" t="str">
        <f aca="false">INDEX(Daftar_Menu!$B$2:$B$13,MATCH(C748,Daftar_Menu!$A$2:$A$13,0))</f>
        <v>Makanan</v>
      </c>
      <c r="I748" s="2" t="str">
        <f aca="false">CHOOSE(WEEKDAY(B748,2),"Senin","Selasa","Rabu","Kamis","Jumat","Sabtu","Minggu")</f>
        <v>Kamis</v>
      </c>
      <c r="J748" s="2" t="n">
        <f aca="false">HOUR(E748)</f>
        <v>13</v>
      </c>
      <c r="K748" s="2" t="str">
        <f aca="false">IF(J748&lt;11,"Pagi",IF(J748&lt;17,"Siang","Malam"))</f>
        <v>Siang</v>
      </c>
      <c r="L748" s="2" t="n">
        <f aca="false">IF(A748&lt;&gt;A747,1,0)</f>
        <v>1</v>
      </c>
    </row>
    <row r="749" customFormat="false" ht="15" hidden="false" customHeight="false" outlineLevel="0" collapsed="false">
      <c r="A749" s="2" t="s">
        <v>875</v>
      </c>
      <c r="B749" s="13" t="n">
        <v>46275</v>
      </c>
      <c r="C749" s="2" t="s">
        <v>84</v>
      </c>
      <c r="D749" s="2" t="n">
        <v>1</v>
      </c>
      <c r="E749" s="15" t="n">
        <v>0.548611111111111</v>
      </c>
      <c r="F749" s="7" t="n">
        <v>5000</v>
      </c>
      <c r="G749" s="7" t="n">
        <f aca="false">D749*F749</f>
        <v>5000</v>
      </c>
      <c r="H749" s="2" t="str">
        <f aca="false">INDEX(Daftar_Menu!$B$2:$B$13,MATCH(C749,Daftar_Menu!$A$2:$A$13,0))</f>
        <v>Minuman</v>
      </c>
      <c r="I749" s="2" t="str">
        <f aca="false">CHOOSE(WEEKDAY(B749,2),"Senin","Selasa","Rabu","Kamis","Jumat","Sabtu","Minggu")</f>
        <v>Kamis</v>
      </c>
      <c r="J749" s="2" t="n">
        <f aca="false">HOUR(E749)</f>
        <v>13</v>
      </c>
      <c r="K749" s="2" t="str">
        <f aca="false">IF(J749&lt;11,"Pagi",IF(J749&lt;17,"Siang","Malam"))</f>
        <v>Siang</v>
      </c>
      <c r="L749" s="2" t="n">
        <f aca="false">IF(A749&lt;&gt;A748,1,0)</f>
        <v>0</v>
      </c>
    </row>
    <row r="750" customFormat="false" ht="15" hidden="false" customHeight="false" outlineLevel="0" collapsed="false">
      <c r="A750" s="2" t="s">
        <v>875</v>
      </c>
      <c r="B750" s="13" t="n">
        <v>46275</v>
      </c>
      <c r="C750" s="2" t="s">
        <v>81</v>
      </c>
      <c r="D750" s="2" t="n">
        <v>1</v>
      </c>
      <c r="E750" s="15" t="n">
        <v>0.548611111111111</v>
      </c>
      <c r="F750" s="7" t="n">
        <v>15000</v>
      </c>
      <c r="G750" s="7" t="n">
        <f aca="false">D750*F750</f>
        <v>15000</v>
      </c>
      <c r="H750" s="2" t="str">
        <f aca="false">INDEX(Daftar_Menu!$B$2:$B$13,MATCH(C750,Daftar_Menu!$A$2:$A$13,0))</f>
        <v>Makanan</v>
      </c>
      <c r="I750" s="2" t="str">
        <f aca="false">CHOOSE(WEEKDAY(B750,2),"Senin","Selasa","Rabu","Kamis","Jumat","Sabtu","Minggu")</f>
        <v>Kamis</v>
      </c>
      <c r="J750" s="2" t="n">
        <f aca="false">HOUR(E750)</f>
        <v>13</v>
      </c>
      <c r="K750" s="2" t="str">
        <f aca="false">IF(J750&lt;11,"Pagi",IF(J750&lt;17,"Siang","Malam"))</f>
        <v>Siang</v>
      </c>
      <c r="L750" s="2" t="n">
        <f aca="false">IF(A750&lt;&gt;A749,1,0)</f>
        <v>0</v>
      </c>
    </row>
    <row r="751" customFormat="false" ht="15" hidden="false" customHeight="false" outlineLevel="0" collapsed="false">
      <c r="A751" s="2" t="s">
        <v>877</v>
      </c>
      <c r="B751" s="13" t="n">
        <v>46275</v>
      </c>
      <c r="C751" s="2" t="s">
        <v>81</v>
      </c>
      <c r="D751" s="2" t="n">
        <v>2</v>
      </c>
      <c r="E751" s="15" t="n">
        <v>0.5625</v>
      </c>
      <c r="F751" s="7" t="n">
        <v>15000</v>
      </c>
      <c r="G751" s="7" t="n">
        <f aca="false">D751*F751</f>
        <v>30000</v>
      </c>
      <c r="H751" s="2" t="str">
        <f aca="false">INDEX(Daftar_Menu!$B$2:$B$13,MATCH(C751,Daftar_Menu!$A$2:$A$13,0))</f>
        <v>Makanan</v>
      </c>
      <c r="I751" s="2" t="str">
        <f aca="false">CHOOSE(WEEKDAY(B751,2),"Senin","Selasa","Rabu","Kamis","Jumat","Sabtu","Minggu")</f>
        <v>Kamis</v>
      </c>
      <c r="J751" s="2" t="n">
        <f aca="false">HOUR(E751)</f>
        <v>13</v>
      </c>
      <c r="K751" s="2" t="str">
        <f aca="false">IF(J751&lt;11,"Pagi",IF(J751&lt;17,"Siang","Malam"))</f>
        <v>Siang</v>
      </c>
      <c r="L751" s="2" t="n">
        <f aca="false">IF(A751&lt;&gt;A750,1,0)</f>
        <v>1</v>
      </c>
    </row>
    <row r="752" customFormat="false" ht="15" hidden="false" customHeight="false" outlineLevel="0" collapsed="false">
      <c r="A752" s="2" t="s">
        <v>877</v>
      </c>
      <c r="B752" s="13" t="n">
        <v>46275</v>
      </c>
      <c r="C752" s="2" t="s">
        <v>84</v>
      </c>
      <c r="D752" s="2" t="n">
        <v>1</v>
      </c>
      <c r="E752" s="15" t="n">
        <v>0.5625</v>
      </c>
      <c r="F752" s="7" t="n">
        <v>5000</v>
      </c>
      <c r="G752" s="7" t="n">
        <f aca="false">D752*F752</f>
        <v>5000</v>
      </c>
      <c r="H752" s="2" t="str">
        <f aca="false">INDEX(Daftar_Menu!$B$2:$B$13,MATCH(C752,Daftar_Menu!$A$2:$A$13,0))</f>
        <v>Minuman</v>
      </c>
      <c r="I752" s="2" t="str">
        <f aca="false">CHOOSE(WEEKDAY(B752,2),"Senin","Selasa","Rabu","Kamis","Jumat","Sabtu","Minggu")</f>
        <v>Kamis</v>
      </c>
      <c r="J752" s="2" t="n">
        <f aca="false">HOUR(E752)</f>
        <v>13</v>
      </c>
      <c r="K752" s="2" t="str">
        <f aca="false">IF(J752&lt;11,"Pagi",IF(J752&lt;17,"Siang","Malam"))</f>
        <v>Siang</v>
      </c>
      <c r="L752" s="2" t="n">
        <f aca="false">IF(A752&lt;&gt;A751,1,0)</f>
        <v>0</v>
      </c>
    </row>
    <row r="753" customFormat="false" ht="15" hidden="false" customHeight="false" outlineLevel="0" collapsed="false">
      <c r="A753" s="2" t="s">
        <v>879</v>
      </c>
      <c r="B753" s="13" t="n">
        <v>46275</v>
      </c>
      <c r="C753" s="2" t="s">
        <v>89</v>
      </c>
      <c r="D753" s="2" t="n">
        <v>1</v>
      </c>
      <c r="E753" s="15" t="n">
        <v>0.577777777777778</v>
      </c>
      <c r="F753" s="7" t="n">
        <v>14000</v>
      </c>
      <c r="G753" s="7" t="n">
        <f aca="false">D753*F753</f>
        <v>14000</v>
      </c>
      <c r="H753" s="2" t="str">
        <f aca="false">INDEX(Daftar_Menu!$B$2:$B$13,MATCH(C753,Daftar_Menu!$A$2:$A$13,0))</f>
        <v>Makanan</v>
      </c>
      <c r="I753" s="2" t="str">
        <f aca="false">CHOOSE(WEEKDAY(B753,2),"Senin","Selasa","Rabu","Kamis","Jumat","Sabtu","Minggu")</f>
        <v>Kamis</v>
      </c>
      <c r="J753" s="2" t="n">
        <f aca="false">HOUR(E753)</f>
        <v>13</v>
      </c>
      <c r="K753" s="2" t="str">
        <f aca="false">IF(J753&lt;11,"Pagi",IF(J753&lt;17,"Siang","Malam"))</f>
        <v>Siang</v>
      </c>
      <c r="L753" s="2" t="n">
        <f aca="false">IF(A753&lt;&gt;A752,1,0)</f>
        <v>1</v>
      </c>
    </row>
    <row r="754" customFormat="false" ht="15" hidden="false" customHeight="false" outlineLevel="0" collapsed="false">
      <c r="A754" s="2" t="s">
        <v>880</v>
      </c>
      <c r="B754" s="13" t="n">
        <v>46275</v>
      </c>
      <c r="C754" s="2" t="s">
        <v>84</v>
      </c>
      <c r="D754" s="2" t="n">
        <v>1</v>
      </c>
      <c r="E754" s="15" t="n">
        <v>0.584027777777778</v>
      </c>
      <c r="F754" s="7" t="n">
        <v>5000</v>
      </c>
      <c r="G754" s="7" t="n">
        <f aca="false">D754*F754</f>
        <v>5000</v>
      </c>
      <c r="H754" s="2" t="str">
        <f aca="false">INDEX(Daftar_Menu!$B$2:$B$13,MATCH(C754,Daftar_Menu!$A$2:$A$13,0))</f>
        <v>Minuman</v>
      </c>
      <c r="I754" s="2" t="str">
        <f aca="false">CHOOSE(WEEKDAY(B754,2),"Senin","Selasa","Rabu","Kamis","Jumat","Sabtu","Minggu")</f>
        <v>Kamis</v>
      </c>
      <c r="J754" s="2" t="n">
        <f aca="false">HOUR(E754)</f>
        <v>14</v>
      </c>
      <c r="K754" s="2" t="str">
        <f aca="false">IF(J754&lt;11,"Pagi",IF(J754&lt;17,"Siang","Malam"))</f>
        <v>Siang</v>
      </c>
      <c r="L754" s="2" t="n">
        <f aca="false">IF(A754&lt;&gt;A753,1,0)</f>
        <v>1</v>
      </c>
    </row>
    <row r="755" customFormat="false" ht="15" hidden="false" customHeight="false" outlineLevel="0" collapsed="false">
      <c r="A755" s="2" t="s">
        <v>880</v>
      </c>
      <c r="B755" s="13" t="n">
        <v>46275</v>
      </c>
      <c r="C755" s="2" t="s">
        <v>79</v>
      </c>
      <c r="D755" s="2" t="n">
        <v>1</v>
      </c>
      <c r="E755" s="15" t="n">
        <v>0.584027777777778</v>
      </c>
      <c r="F755" s="7" t="n">
        <v>16000</v>
      </c>
      <c r="G755" s="7" t="n">
        <f aca="false">D755*F755</f>
        <v>16000</v>
      </c>
      <c r="H755" s="2" t="str">
        <f aca="false">INDEX(Daftar_Menu!$B$2:$B$13,MATCH(C755,Daftar_Menu!$A$2:$A$13,0))</f>
        <v>Makanan</v>
      </c>
      <c r="I755" s="2" t="str">
        <f aca="false">CHOOSE(WEEKDAY(B755,2),"Senin","Selasa","Rabu","Kamis","Jumat","Sabtu","Minggu")</f>
        <v>Kamis</v>
      </c>
      <c r="J755" s="2" t="n">
        <f aca="false">HOUR(E755)</f>
        <v>14</v>
      </c>
      <c r="K755" s="2" t="str">
        <f aca="false">IF(J755&lt;11,"Pagi",IF(J755&lt;17,"Siang","Malam"))</f>
        <v>Siang</v>
      </c>
      <c r="L755" s="2" t="n">
        <f aca="false">IF(A755&lt;&gt;A754,1,0)</f>
        <v>0</v>
      </c>
    </row>
    <row r="756" customFormat="false" ht="15" hidden="false" customHeight="false" outlineLevel="0" collapsed="false">
      <c r="A756" s="2" t="s">
        <v>882</v>
      </c>
      <c r="B756" s="13" t="n">
        <v>46275</v>
      </c>
      <c r="C756" s="2" t="s">
        <v>81</v>
      </c>
      <c r="D756" s="2" t="n">
        <v>2</v>
      </c>
      <c r="E756" s="15" t="n">
        <v>0.588888888888889</v>
      </c>
      <c r="F756" s="7" t="n">
        <v>15000</v>
      </c>
      <c r="G756" s="7" t="n">
        <f aca="false">D756*F756</f>
        <v>30000</v>
      </c>
      <c r="H756" s="2" t="str">
        <f aca="false">INDEX(Daftar_Menu!$B$2:$B$13,MATCH(C756,Daftar_Menu!$A$2:$A$13,0))</f>
        <v>Makanan</v>
      </c>
      <c r="I756" s="2" t="str">
        <f aca="false">CHOOSE(WEEKDAY(B756,2),"Senin","Selasa","Rabu","Kamis","Jumat","Sabtu","Minggu")</f>
        <v>Kamis</v>
      </c>
      <c r="J756" s="2" t="n">
        <f aca="false">HOUR(E756)</f>
        <v>14</v>
      </c>
      <c r="K756" s="2" t="str">
        <f aca="false">IF(J756&lt;11,"Pagi",IF(J756&lt;17,"Siang","Malam"))</f>
        <v>Siang</v>
      </c>
      <c r="L756" s="2" t="n">
        <f aca="false">IF(A756&lt;&gt;A755,1,0)</f>
        <v>1</v>
      </c>
    </row>
    <row r="757" customFormat="false" ht="15" hidden="false" customHeight="false" outlineLevel="0" collapsed="false">
      <c r="A757" s="2" t="s">
        <v>884</v>
      </c>
      <c r="B757" s="13" t="n">
        <v>46275</v>
      </c>
      <c r="C757" s="2" t="s">
        <v>81</v>
      </c>
      <c r="D757" s="2" t="n">
        <v>3</v>
      </c>
      <c r="E757" s="15" t="n">
        <v>0.609722222222222</v>
      </c>
      <c r="F757" s="7" t="n">
        <v>15000</v>
      </c>
      <c r="G757" s="7" t="n">
        <f aca="false">D757*F757</f>
        <v>45000</v>
      </c>
      <c r="H757" s="2" t="str">
        <f aca="false">INDEX(Daftar_Menu!$B$2:$B$13,MATCH(C757,Daftar_Menu!$A$2:$A$13,0))</f>
        <v>Makanan</v>
      </c>
      <c r="I757" s="2" t="str">
        <f aca="false">CHOOSE(WEEKDAY(B757,2),"Senin","Selasa","Rabu","Kamis","Jumat","Sabtu","Minggu")</f>
        <v>Kamis</v>
      </c>
      <c r="J757" s="2" t="n">
        <f aca="false">HOUR(E757)</f>
        <v>14</v>
      </c>
      <c r="K757" s="2" t="str">
        <f aca="false">IF(J757&lt;11,"Pagi",IF(J757&lt;17,"Siang","Malam"))</f>
        <v>Siang</v>
      </c>
      <c r="L757" s="2" t="n">
        <f aca="false">IF(A757&lt;&gt;A756,1,0)</f>
        <v>1</v>
      </c>
    </row>
    <row r="758" customFormat="false" ht="15" hidden="false" customHeight="false" outlineLevel="0" collapsed="false">
      <c r="A758" s="2" t="s">
        <v>884</v>
      </c>
      <c r="B758" s="13" t="n">
        <v>46275</v>
      </c>
      <c r="C758" s="2" t="s">
        <v>84</v>
      </c>
      <c r="D758" s="2" t="n">
        <v>1</v>
      </c>
      <c r="E758" s="15" t="n">
        <v>0.609722222222222</v>
      </c>
      <c r="F758" s="7" t="n">
        <v>5000</v>
      </c>
      <c r="G758" s="7" t="n">
        <f aca="false">D758*F758</f>
        <v>5000</v>
      </c>
      <c r="H758" s="2" t="str">
        <f aca="false">INDEX(Daftar_Menu!$B$2:$B$13,MATCH(C758,Daftar_Menu!$A$2:$A$13,0))</f>
        <v>Minuman</v>
      </c>
      <c r="I758" s="2" t="str">
        <f aca="false">CHOOSE(WEEKDAY(B758,2),"Senin","Selasa","Rabu","Kamis","Jumat","Sabtu","Minggu")</f>
        <v>Kamis</v>
      </c>
      <c r="J758" s="2" t="n">
        <f aca="false">HOUR(E758)</f>
        <v>14</v>
      </c>
      <c r="K758" s="2" t="str">
        <f aca="false">IF(J758&lt;11,"Pagi",IF(J758&lt;17,"Siang","Malam"))</f>
        <v>Siang</v>
      </c>
      <c r="L758" s="2" t="n">
        <f aca="false">IF(A758&lt;&gt;A757,1,0)</f>
        <v>0</v>
      </c>
    </row>
    <row r="759" customFormat="false" ht="15" hidden="false" customHeight="false" outlineLevel="0" collapsed="false">
      <c r="A759" s="2" t="s">
        <v>886</v>
      </c>
      <c r="B759" s="13" t="n">
        <v>46275</v>
      </c>
      <c r="C759" s="2" t="s">
        <v>81</v>
      </c>
      <c r="D759" s="2" t="n">
        <v>1</v>
      </c>
      <c r="E759" s="15" t="n">
        <v>0.609722222222222</v>
      </c>
      <c r="F759" s="7" t="n">
        <v>15000</v>
      </c>
      <c r="G759" s="7" t="n">
        <f aca="false">D759*F759</f>
        <v>15000</v>
      </c>
      <c r="H759" s="2" t="str">
        <f aca="false">INDEX(Daftar_Menu!$B$2:$B$13,MATCH(C759,Daftar_Menu!$A$2:$A$13,0))</f>
        <v>Makanan</v>
      </c>
      <c r="I759" s="2" t="str">
        <f aca="false">CHOOSE(WEEKDAY(B759,2),"Senin","Selasa","Rabu","Kamis","Jumat","Sabtu","Minggu")</f>
        <v>Kamis</v>
      </c>
      <c r="J759" s="2" t="n">
        <f aca="false">HOUR(E759)</f>
        <v>14</v>
      </c>
      <c r="K759" s="2" t="str">
        <f aca="false">IF(J759&lt;11,"Pagi",IF(J759&lt;17,"Siang","Malam"))</f>
        <v>Siang</v>
      </c>
      <c r="L759" s="2" t="n">
        <f aca="false">IF(A759&lt;&gt;A758,1,0)</f>
        <v>1</v>
      </c>
    </row>
    <row r="760" customFormat="false" ht="15" hidden="false" customHeight="false" outlineLevel="0" collapsed="false">
      <c r="A760" s="2" t="s">
        <v>887</v>
      </c>
      <c r="B760" s="13" t="n">
        <v>46275</v>
      </c>
      <c r="C760" s="2" t="s">
        <v>82</v>
      </c>
      <c r="D760" s="2" t="n">
        <v>1</v>
      </c>
      <c r="E760" s="15" t="n">
        <v>0.629166666666667</v>
      </c>
      <c r="F760" s="7" t="n">
        <v>13000</v>
      </c>
      <c r="G760" s="7" t="n">
        <f aca="false">D760*F760</f>
        <v>13000</v>
      </c>
      <c r="H760" s="2" t="str">
        <f aca="false">INDEX(Daftar_Menu!$B$2:$B$13,MATCH(C760,Daftar_Menu!$A$2:$A$13,0))</f>
        <v>Makanan</v>
      </c>
      <c r="I760" s="2" t="str">
        <f aca="false">CHOOSE(WEEKDAY(B760,2),"Senin","Selasa","Rabu","Kamis","Jumat","Sabtu","Minggu")</f>
        <v>Kamis</v>
      </c>
      <c r="J760" s="2" t="n">
        <f aca="false">HOUR(E760)</f>
        <v>15</v>
      </c>
      <c r="K760" s="2" t="str">
        <f aca="false">IF(J760&lt;11,"Pagi",IF(J760&lt;17,"Siang","Malam"))</f>
        <v>Siang</v>
      </c>
      <c r="L760" s="2" t="n">
        <f aca="false">IF(A760&lt;&gt;A759,1,0)</f>
        <v>1</v>
      </c>
    </row>
    <row r="761" customFormat="false" ht="15" hidden="false" customHeight="false" outlineLevel="0" collapsed="false">
      <c r="A761" s="2" t="s">
        <v>887</v>
      </c>
      <c r="B761" s="13" t="n">
        <v>46275</v>
      </c>
      <c r="C761" s="2" t="s">
        <v>81</v>
      </c>
      <c r="D761" s="2" t="n">
        <v>1</v>
      </c>
      <c r="E761" s="15" t="n">
        <v>0.629166666666667</v>
      </c>
      <c r="F761" s="7" t="n">
        <v>15000</v>
      </c>
      <c r="G761" s="7" t="n">
        <f aca="false">D761*F761</f>
        <v>15000</v>
      </c>
      <c r="H761" s="2" t="str">
        <f aca="false">INDEX(Daftar_Menu!$B$2:$B$13,MATCH(C761,Daftar_Menu!$A$2:$A$13,0))</f>
        <v>Makanan</v>
      </c>
      <c r="I761" s="2" t="str">
        <f aca="false">CHOOSE(WEEKDAY(B761,2),"Senin","Selasa","Rabu","Kamis","Jumat","Sabtu","Minggu")</f>
        <v>Kamis</v>
      </c>
      <c r="J761" s="2" t="n">
        <f aca="false">HOUR(E761)</f>
        <v>15</v>
      </c>
      <c r="K761" s="2" t="str">
        <f aca="false">IF(J761&lt;11,"Pagi",IF(J761&lt;17,"Siang","Malam"))</f>
        <v>Siang</v>
      </c>
      <c r="L761" s="2" t="n">
        <f aca="false">IF(A761&lt;&gt;A760,1,0)</f>
        <v>0</v>
      </c>
    </row>
    <row r="762" customFormat="false" ht="15" hidden="false" customHeight="false" outlineLevel="0" collapsed="false">
      <c r="A762" s="2" t="s">
        <v>887</v>
      </c>
      <c r="B762" s="13" t="n">
        <v>46275</v>
      </c>
      <c r="C762" s="2" t="s">
        <v>101</v>
      </c>
      <c r="D762" s="2" t="n">
        <v>1</v>
      </c>
      <c r="E762" s="15" t="n">
        <v>0.629166666666667</v>
      </c>
      <c r="F762" s="7" t="n">
        <v>18000</v>
      </c>
      <c r="G762" s="7" t="n">
        <f aca="false">D762*F762</f>
        <v>18000</v>
      </c>
      <c r="H762" s="2" t="str">
        <f aca="false">INDEX(Daftar_Menu!$B$2:$B$13,MATCH(C762,Daftar_Menu!$A$2:$A$13,0))</f>
        <v>Makanan</v>
      </c>
      <c r="I762" s="2" t="str">
        <f aca="false">CHOOSE(WEEKDAY(B762,2),"Senin","Selasa","Rabu","Kamis","Jumat","Sabtu","Minggu")</f>
        <v>Kamis</v>
      </c>
      <c r="J762" s="2" t="n">
        <f aca="false">HOUR(E762)</f>
        <v>15</v>
      </c>
      <c r="K762" s="2" t="str">
        <f aca="false">IF(J762&lt;11,"Pagi",IF(J762&lt;17,"Siang","Malam"))</f>
        <v>Siang</v>
      </c>
      <c r="L762" s="2" t="n">
        <f aca="false">IF(A762&lt;&gt;A761,1,0)</f>
        <v>0</v>
      </c>
    </row>
    <row r="763" customFormat="false" ht="15" hidden="false" customHeight="false" outlineLevel="0" collapsed="false">
      <c r="A763" s="2" t="s">
        <v>889</v>
      </c>
      <c r="B763" s="13" t="n">
        <v>46275</v>
      </c>
      <c r="C763" s="2" t="s">
        <v>84</v>
      </c>
      <c r="D763" s="2" t="n">
        <v>2</v>
      </c>
      <c r="E763" s="15" t="n">
        <v>0.636111111111111</v>
      </c>
      <c r="F763" s="7" t="n">
        <v>5000</v>
      </c>
      <c r="G763" s="7" t="n">
        <f aca="false">D763*F763</f>
        <v>10000</v>
      </c>
      <c r="H763" s="2" t="str">
        <f aca="false">INDEX(Daftar_Menu!$B$2:$B$13,MATCH(C763,Daftar_Menu!$A$2:$A$13,0))</f>
        <v>Minuman</v>
      </c>
      <c r="I763" s="2" t="str">
        <f aca="false">CHOOSE(WEEKDAY(B763,2),"Senin","Selasa","Rabu","Kamis","Jumat","Sabtu","Minggu")</f>
        <v>Kamis</v>
      </c>
      <c r="J763" s="2" t="n">
        <f aca="false">HOUR(E763)</f>
        <v>15</v>
      </c>
      <c r="K763" s="2" t="str">
        <f aca="false">IF(J763&lt;11,"Pagi",IF(J763&lt;17,"Siang","Malam"))</f>
        <v>Siang</v>
      </c>
      <c r="L763" s="2" t="n">
        <f aca="false">IF(A763&lt;&gt;A762,1,0)</f>
        <v>1</v>
      </c>
    </row>
    <row r="764" customFormat="false" ht="15" hidden="false" customHeight="false" outlineLevel="0" collapsed="false">
      <c r="A764" s="2" t="s">
        <v>890</v>
      </c>
      <c r="B764" s="13" t="n">
        <v>46275</v>
      </c>
      <c r="C764" s="2" t="s">
        <v>89</v>
      </c>
      <c r="D764" s="2" t="n">
        <v>2</v>
      </c>
      <c r="E764" s="15" t="n">
        <v>0.6625</v>
      </c>
      <c r="F764" s="7" t="n">
        <v>14000</v>
      </c>
      <c r="G764" s="7" t="n">
        <f aca="false">D764*F764</f>
        <v>28000</v>
      </c>
      <c r="H764" s="2" t="str">
        <f aca="false">INDEX(Daftar_Menu!$B$2:$B$13,MATCH(C764,Daftar_Menu!$A$2:$A$13,0))</f>
        <v>Makanan</v>
      </c>
      <c r="I764" s="2" t="str">
        <f aca="false">CHOOSE(WEEKDAY(B764,2),"Senin","Selasa","Rabu","Kamis","Jumat","Sabtu","Minggu")</f>
        <v>Kamis</v>
      </c>
      <c r="J764" s="2" t="n">
        <f aca="false">HOUR(E764)</f>
        <v>15</v>
      </c>
      <c r="K764" s="2" t="str">
        <f aca="false">IF(J764&lt;11,"Pagi",IF(J764&lt;17,"Siang","Malam"))</f>
        <v>Siang</v>
      </c>
      <c r="L764" s="2" t="n">
        <f aca="false">IF(A764&lt;&gt;A763,1,0)</f>
        <v>1</v>
      </c>
    </row>
    <row r="765" customFormat="false" ht="15" hidden="false" customHeight="false" outlineLevel="0" collapsed="false">
      <c r="A765" s="2" t="s">
        <v>890</v>
      </c>
      <c r="B765" s="13" t="n">
        <v>46275</v>
      </c>
      <c r="C765" s="2" t="s">
        <v>112</v>
      </c>
      <c r="D765" s="2" t="n">
        <v>2</v>
      </c>
      <c r="E765" s="15" t="n">
        <v>0.6625</v>
      </c>
      <c r="F765" s="7" t="n">
        <v>10000</v>
      </c>
      <c r="G765" s="7" t="n">
        <f aca="false">D765*F765</f>
        <v>20000</v>
      </c>
      <c r="H765" s="2" t="str">
        <f aca="false">INDEX(Daftar_Menu!$B$2:$B$13,MATCH(C765,Daftar_Menu!$A$2:$A$13,0))</f>
        <v>Minuman</v>
      </c>
      <c r="I765" s="2" t="str">
        <f aca="false">CHOOSE(WEEKDAY(B765,2),"Senin","Selasa","Rabu","Kamis","Jumat","Sabtu","Minggu")</f>
        <v>Kamis</v>
      </c>
      <c r="J765" s="2" t="n">
        <f aca="false">HOUR(E765)</f>
        <v>15</v>
      </c>
      <c r="K765" s="2" t="str">
        <f aca="false">IF(J765&lt;11,"Pagi",IF(J765&lt;17,"Siang","Malam"))</f>
        <v>Siang</v>
      </c>
      <c r="L765" s="2" t="n">
        <f aca="false">IF(A765&lt;&gt;A764,1,0)</f>
        <v>0</v>
      </c>
    </row>
    <row r="766" customFormat="false" ht="15" hidden="false" customHeight="false" outlineLevel="0" collapsed="false">
      <c r="A766" s="2" t="s">
        <v>891</v>
      </c>
      <c r="B766" s="13" t="n">
        <v>46275</v>
      </c>
      <c r="C766" s="2" t="s">
        <v>132</v>
      </c>
      <c r="D766" s="2" t="n">
        <v>2</v>
      </c>
      <c r="E766" s="15" t="n">
        <v>0.663888888888889</v>
      </c>
      <c r="F766" s="7" t="n">
        <v>15000</v>
      </c>
      <c r="G766" s="7" t="n">
        <f aca="false">D766*F766</f>
        <v>30000</v>
      </c>
      <c r="H766" s="2" t="str">
        <f aca="false">INDEX(Daftar_Menu!$B$2:$B$13,MATCH(C766,Daftar_Menu!$A$2:$A$13,0))</f>
        <v>Makanan</v>
      </c>
      <c r="I766" s="2" t="str">
        <f aca="false">CHOOSE(WEEKDAY(B766,2),"Senin","Selasa","Rabu","Kamis","Jumat","Sabtu","Minggu")</f>
        <v>Kamis</v>
      </c>
      <c r="J766" s="2" t="n">
        <f aca="false">HOUR(E766)</f>
        <v>15</v>
      </c>
      <c r="K766" s="2" t="str">
        <f aca="false">IF(J766&lt;11,"Pagi",IF(J766&lt;17,"Siang","Malam"))</f>
        <v>Siang</v>
      </c>
      <c r="L766" s="2" t="n">
        <f aca="false">IF(A766&lt;&gt;A765,1,0)</f>
        <v>1</v>
      </c>
    </row>
    <row r="767" customFormat="false" ht="15" hidden="false" customHeight="false" outlineLevel="0" collapsed="false">
      <c r="A767" s="2" t="s">
        <v>891</v>
      </c>
      <c r="B767" s="13" t="n">
        <v>46275</v>
      </c>
      <c r="C767" s="2" t="s">
        <v>79</v>
      </c>
      <c r="D767" s="2" t="n">
        <v>1</v>
      </c>
      <c r="E767" s="15" t="n">
        <v>0.663888888888889</v>
      </c>
      <c r="F767" s="7" t="n">
        <v>16000</v>
      </c>
      <c r="G767" s="7" t="n">
        <f aca="false">D767*F767</f>
        <v>16000</v>
      </c>
      <c r="H767" s="2" t="str">
        <f aca="false">INDEX(Daftar_Menu!$B$2:$B$13,MATCH(C767,Daftar_Menu!$A$2:$A$13,0))</f>
        <v>Makanan</v>
      </c>
      <c r="I767" s="2" t="str">
        <f aca="false">CHOOSE(WEEKDAY(B767,2),"Senin","Selasa","Rabu","Kamis","Jumat","Sabtu","Minggu")</f>
        <v>Kamis</v>
      </c>
      <c r="J767" s="2" t="n">
        <f aca="false">HOUR(E767)</f>
        <v>15</v>
      </c>
      <c r="K767" s="2" t="str">
        <f aca="false">IF(J767&lt;11,"Pagi",IF(J767&lt;17,"Siang","Malam"))</f>
        <v>Siang</v>
      </c>
      <c r="L767" s="2" t="n">
        <f aca="false">IF(A767&lt;&gt;A766,1,0)</f>
        <v>0</v>
      </c>
    </row>
    <row r="768" customFormat="false" ht="15" hidden="false" customHeight="false" outlineLevel="0" collapsed="false">
      <c r="A768" s="2" t="s">
        <v>893</v>
      </c>
      <c r="B768" s="13" t="n">
        <v>46275</v>
      </c>
      <c r="C768" s="2" t="s">
        <v>81</v>
      </c>
      <c r="D768" s="2" t="n">
        <v>1</v>
      </c>
      <c r="E768" s="15" t="n">
        <v>0.681944444444445</v>
      </c>
      <c r="F768" s="7" t="n">
        <v>15000</v>
      </c>
      <c r="G768" s="7" t="n">
        <f aca="false">D768*F768</f>
        <v>15000</v>
      </c>
      <c r="H768" s="2" t="str">
        <f aca="false">INDEX(Daftar_Menu!$B$2:$B$13,MATCH(C768,Daftar_Menu!$A$2:$A$13,0))</f>
        <v>Makanan</v>
      </c>
      <c r="I768" s="2" t="str">
        <f aca="false">CHOOSE(WEEKDAY(B768,2),"Senin","Selasa","Rabu","Kamis","Jumat","Sabtu","Minggu")</f>
        <v>Kamis</v>
      </c>
      <c r="J768" s="2" t="n">
        <f aca="false">HOUR(E768)</f>
        <v>16</v>
      </c>
      <c r="K768" s="2" t="str">
        <f aca="false">IF(J768&lt;11,"Pagi",IF(J768&lt;17,"Siang","Malam"))</f>
        <v>Siang</v>
      </c>
      <c r="L768" s="2" t="n">
        <f aca="false">IF(A768&lt;&gt;A767,1,0)</f>
        <v>1</v>
      </c>
    </row>
    <row r="769" customFormat="false" ht="15" hidden="false" customHeight="false" outlineLevel="0" collapsed="false">
      <c r="A769" s="2" t="s">
        <v>894</v>
      </c>
      <c r="B769" s="13" t="n">
        <v>46275</v>
      </c>
      <c r="C769" s="2" t="s">
        <v>108</v>
      </c>
      <c r="D769" s="2" t="n">
        <v>1</v>
      </c>
      <c r="E769" s="15" t="n">
        <v>0.7</v>
      </c>
      <c r="F769" s="7" t="n">
        <v>20000</v>
      </c>
      <c r="G769" s="7" t="n">
        <f aca="false">D769*F769</f>
        <v>20000</v>
      </c>
      <c r="H769" s="2" t="str">
        <f aca="false">INDEX(Daftar_Menu!$B$2:$B$13,MATCH(C769,Daftar_Menu!$A$2:$A$13,0))</f>
        <v>Makanan</v>
      </c>
      <c r="I769" s="2" t="str">
        <f aca="false">CHOOSE(WEEKDAY(B769,2),"Senin","Selasa","Rabu","Kamis","Jumat","Sabtu","Minggu")</f>
        <v>Kamis</v>
      </c>
      <c r="J769" s="2" t="n">
        <f aca="false">HOUR(E769)</f>
        <v>16</v>
      </c>
      <c r="K769" s="2" t="str">
        <f aca="false">IF(J769&lt;11,"Pagi",IF(J769&lt;17,"Siang","Malam"))</f>
        <v>Siang</v>
      </c>
      <c r="L769" s="2" t="n">
        <f aca="false">IF(A769&lt;&gt;A768,1,0)</f>
        <v>1</v>
      </c>
    </row>
    <row r="770" customFormat="false" ht="15" hidden="false" customHeight="false" outlineLevel="0" collapsed="false">
      <c r="A770" s="2" t="s">
        <v>894</v>
      </c>
      <c r="B770" s="13" t="n">
        <v>46275</v>
      </c>
      <c r="C770" s="2" t="s">
        <v>82</v>
      </c>
      <c r="D770" s="2" t="n">
        <v>2</v>
      </c>
      <c r="E770" s="15" t="n">
        <v>0.7</v>
      </c>
      <c r="F770" s="7" t="n">
        <v>13000</v>
      </c>
      <c r="G770" s="7" t="n">
        <f aca="false">D770*F770</f>
        <v>26000</v>
      </c>
      <c r="H770" s="2" t="str">
        <f aca="false">INDEX(Daftar_Menu!$B$2:$B$13,MATCH(C770,Daftar_Menu!$A$2:$A$13,0))</f>
        <v>Makanan</v>
      </c>
      <c r="I770" s="2" t="str">
        <f aca="false">CHOOSE(WEEKDAY(B770,2),"Senin","Selasa","Rabu","Kamis","Jumat","Sabtu","Minggu")</f>
        <v>Kamis</v>
      </c>
      <c r="J770" s="2" t="n">
        <f aca="false">HOUR(E770)</f>
        <v>16</v>
      </c>
      <c r="K770" s="2" t="str">
        <f aca="false">IF(J770&lt;11,"Pagi",IF(J770&lt;17,"Siang","Malam"))</f>
        <v>Siang</v>
      </c>
      <c r="L770" s="2" t="n">
        <f aca="false">IF(A770&lt;&gt;A769,1,0)</f>
        <v>0</v>
      </c>
    </row>
    <row r="771" customFormat="false" ht="15" hidden="false" customHeight="false" outlineLevel="0" collapsed="false">
      <c r="A771" s="2" t="s">
        <v>896</v>
      </c>
      <c r="B771" s="13" t="n">
        <v>46275</v>
      </c>
      <c r="C771" s="2" t="s">
        <v>186</v>
      </c>
      <c r="D771" s="2" t="n">
        <v>1</v>
      </c>
      <c r="E771" s="15" t="n">
        <v>0.710416666666667</v>
      </c>
      <c r="F771" s="7" t="n">
        <v>7000</v>
      </c>
      <c r="G771" s="7" t="n">
        <f aca="false">D771*F771</f>
        <v>7000</v>
      </c>
      <c r="H771" s="2" t="str">
        <f aca="false">INDEX(Daftar_Menu!$B$2:$B$13,MATCH(C771,Daftar_Menu!$A$2:$A$13,0))</f>
        <v>Minuman</v>
      </c>
      <c r="I771" s="2" t="str">
        <f aca="false">CHOOSE(WEEKDAY(B771,2),"Senin","Selasa","Rabu","Kamis","Jumat","Sabtu","Minggu")</f>
        <v>Kamis</v>
      </c>
      <c r="J771" s="2" t="n">
        <f aca="false">HOUR(E771)</f>
        <v>17</v>
      </c>
      <c r="K771" s="2" t="str">
        <f aca="false">IF(J771&lt;11,"Pagi",IF(J771&lt;17,"Siang","Malam"))</f>
        <v>Malam</v>
      </c>
      <c r="L771" s="2" t="n">
        <f aca="false">IF(A771&lt;&gt;A770,1,0)</f>
        <v>1</v>
      </c>
    </row>
    <row r="772" customFormat="false" ht="15" hidden="false" customHeight="false" outlineLevel="0" collapsed="false">
      <c r="A772" s="2" t="s">
        <v>897</v>
      </c>
      <c r="B772" s="13" t="n">
        <v>46275</v>
      </c>
      <c r="C772" s="2" t="s">
        <v>82</v>
      </c>
      <c r="D772" s="2" t="n">
        <v>3</v>
      </c>
      <c r="E772" s="15" t="n">
        <v>0.720138888888889</v>
      </c>
      <c r="F772" s="7" t="n">
        <v>13000</v>
      </c>
      <c r="G772" s="7" t="n">
        <f aca="false">D772*F772</f>
        <v>39000</v>
      </c>
      <c r="H772" s="2" t="str">
        <f aca="false">INDEX(Daftar_Menu!$B$2:$B$13,MATCH(C772,Daftar_Menu!$A$2:$A$13,0))</f>
        <v>Makanan</v>
      </c>
      <c r="I772" s="2" t="str">
        <f aca="false">CHOOSE(WEEKDAY(B772,2),"Senin","Selasa","Rabu","Kamis","Jumat","Sabtu","Minggu")</f>
        <v>Kamis</v>
      </c>
      <c r="J772" s="2" t="n">
        <f aca="false">HOUR(E772)</f>
        <v>17</v>
      </c>
      <c r="K772" s="2" t="str">
        <f aca="false">IF(J772&lt;11,"Pagi",IF(J772&lt;17,"Siang","Malam"))</f>
        <v>Malam</v>
      </c>
      <c r="L772" s="2" t="n">
        <f aca="false">IF(A772&lt;&gt;A771,1,0)</f>
        <v>1</v>
      </c>
    </row>
    <row r="773" customFormat="false" ht="15" hidden="false" customHeight="false" outlineLevel="0" collapsed="false">
      <c r="A773" s="2" t="s">
        <v>898</v>
      </c>
      <c r="B773" s="13" t="n">
        <v>46275</v>
      </c>
      <c r="C773" s="2" t="s">
        <v>79</v>
      </c>
      <c r="D773" s="2" t="n">
        <v>1</v>
      </c>
      <c r="E773" s="15" t="n">
        <v>0.733333333333333</v>
      </c>
      <c r="F773" s="7" t="n">
        <v>16000</v>
      </c>
      <c r="G773" s="7" t="n">
        <f aca="false">D773*F773</f>
        <v>16000</v>
      </c>
      <c r="H773" s="2" t="str">
        <f aca="false">INDEX(Daftar_Menu!$B$2:$B$13,MATCH(C773,Daftar_Menu!$A$2:$A$13,0))</f>
        <v>Makanan</v>
      </c>
      <c r="I773" s="2" t="str">
        <f aca="false">CHOOSE(WEEKDAY(B773,2),"Senin","Selasa","Rabu","Kamis","Jumat","Sabtu","Minggu")</f>
        <v>Kamis</v>
      </c>
      <c r="J773" s="2" t="n">
        <f aca="false">HOUR(E773)</f>
        <v>17</v>
      </c>
      <c r="K773" s="2" t="str">
        <f aca="false">IF(J773&lt;11,"Pagi",IF(J773&lt;17,"Siang","Malam"))</f>
        <v>Malam</v>
      </c>
      <c r="L773" s="2" t="n">
        <f aca="false">IF(A773&lt;&gt;A772,1,0)</f>
        <v>1</v>
      </c>
    </row>
    <row r="774" customFormat="false" ht="15" hidden="false" customHeight="false" outlineLevel="0" collapsed="false">
      <c r="A774" s="2" t="s">
        <v>899</v>
      </c>
      <c r="B774" s="13" t="n">
        <v>46275</v>
      </c>
      <c r="C774" s="2" t="s">
        <v>101</v>
      </c>
      <c r="D774" s="2" t="n">
        <v>2</v>
      </c>
      <c r="E774" s="15" t="n">
        <v>0.738888888888889</v>
      </c>
      <c r="F774" s="7" t="n">
        <v>18000</v>
      </c>
      <c r="G774" s="7" t="n">
        <f aca="false">D774*F774</f>
        <v>36000</v>
      </c>
      <c r="H774" s="2" t="str">
        <f aca="false">INDEX(Daftar_Menu!$B$2:$B$13,MATCH(C774,Daftar_Menu!$A$2:$A$13,0))</f>
        <v>Makanan</v>
      </c>
      <c r="I774" s="2" t="str">
        <f aca="false">CHOOSE(WEEKDAY(B774,2),"Senin","Selasa","Rabu","Kamis","Jumat","Sabtu","Minggu")</f>
        <v>Kamis</v>
      </c>
      <c r="J774" s="2" t="n">
        <f aca="false">HOUR(E774)</f>
        <v>17</v>
      </c>
      <c r="K774" s="2" t="str">
        <f aca="false">IF(J774&lt;11,"Pagi",IF(J774&lt;17,"Siang","Malam"))</f>
        <v>Malam</v>
      </c>
      <c r="L774" s="2" t="n">
        <f aca="false">IF(A774&lt;&gt;A773,1,0)</f>
        <v>1</v>
      </c>
    </row>
    <row r="775" customFormat="false" ht="15" hidden="false" customHeight="false" outlineLevel="0" collapsed="false">
      <c r="A775" s="2" t="s">
        <v>901</v>
      </c>
      <c r="B775" s="13" t="n">
        <v>46275</v>
      </c>
      <c r="C775" s="2" t="s">
        <v>81</v>
      </c>
      <c r="D775" s="2" t="n">
        <v>2</v>
      </c>
      <c r="E775" s="15" t="n">
        <v>0.748611111111111</v>
      </c>
      <c r="F775" s="7" t="n">
        <v>15000</v>
      </c>
      <c r="G775" s="7" t="n">
        <f aca="false">D775*F775</f>
        <v>30000</v>
      </c>
      <c r="H775" s="2" t="str">
        <f aca="false">INDEX(Daftar_Menu!$B$2:$B$13,MATCH(C775,Daftar_Menu!$A$2:$A$13,0))</f>
        <v>Makanan</v>
      </c>
      <c r="I775" s="2" t="str">
        <f aca="false">CHOOSE(WEEKDAY(B775,2),"Senin","Selasa","Rabu","Kamis","Jumat","Sabtu","Minggu")</f>
        <v>Kamis</v>
      </c>
      <c r="J775" s="2" t="n">
        <f aca="false">HOUR(E775)</f>
        <v>17</v>
      </c>
      <c r="K775" s="2" t="str">
        <f aca="false">IF(J775&lt;11,"Pagi",IF(J775&lt;17,"Siang","Malam"))</f>
        <v>Malam</v>
      </c>
      <c r="L775" s="2" t="n">
        <f aca="false">IF(A775&lt;&gt;A774,1,0)</f>
        <v>1</v>
      </c>
    </row>
    <row r="776" customFormat="false" ht="15" hidden="false" customHeight="false" outlineLevel="0" collapsed="false">
      <c r="A776" s="2" t="s">
        <v>901</v>
      </c>
      <c r="B776" s="13" t="n">
        <v>46275</v>
      </c>
      <c r="C776" s="2" t="s">
        <v>112</v>
      </c>
      <c r="D776" s="2" t="n">
        <v>1</v>
      </c>
      <c r="E776" s="15" t="n">
        <v>0.748611111111111</v>
      </c>
      <c r="F776" s="7" t="n">
        <v>10000</v>
      </c>
      <c r="G776" s="7" t="n">
        <f aca="false">D776*F776</f>
        <v>10000</v>
      </c>
      <c r="H776" s="2" t="str">
        <f aca="false">INDEX(Daftar_Menu!$B$2:$B$13,MATCH(C776,Daftar_Menu!$A$2:$A$13,0))</f>
        <v>Minuman</v>
      </c>
      <c r="I776" s="2" t="str">
        <f aca="false">CHOOSE(WEEKDAY(B776,2),"Senin","Selasa","Rabu","Kamis","Jumat","Sabtu","Minggu")</f>
        <v>Kamis</v>
      </c>
      <c r="J776" s="2" t="n">
        <f aca="false">HOUR(E776)</f>
        <v>17</v>
      </c>
      <c r="K776" s="2" t="str">
        <f aca="false">IF(J776&lt;11,"Pagi",IF(J776&lt;17,"Siang","Malam"))</f>
        <v>Malam</v>
      </c>
      <c r="L776" s="2" t="n">
        <f aca="false">IF(A776&lt;&gt;A775,1,0)</f>
        <v>0</v>
      </c>
    </row>
    <row r="777" customFormat="false" ht="15" hidden="false" customHeight="false" outlineLevel="0" collapsed="false">
      <c r="A777" s="2" t="s">
        <v>904</v>
      </c>
      <c r="B777" s="13" t="n">
        <v>46275</v>
      </c>
      <c r="C777" s="2" t="s">
        <v>101</v>
      </c>
      <c r="D777" s="2" t="n">
        <v>2</v>
      </c>
      <c r="E777" s="15" t="n">
        <v>0.752777777777778</v>
      </c>
      <c r="F777" s="7" t="n">
        <v>18000</v>
      </c>
      <c r="G777" s="7" t="n">
        <f aca="false">D777*F777</f>
        <v>36000</v>
      </c>
      <c r="H777" s="2" t="str">
        <f aca="false">INDEX(Daftar_Menu!$B$2:$B$13,MATCH(C777,Daftar_Menu!$A$2:$A$13,0))</f>
        <v>Makanan</v>
      </c>
      <c r="I777" s="2" t="str">
        <f aca="false">CHOOSE(WEEKDAY(B777,2),"Senin","Selasa","Rabu","Kamis","Jumat","Sabtu","Minggu")</f>
        <v>Kamis</v>
      </c>
      <c r="J777" s="2" t="n">
        <f aca="false">HOUR(E777)</f>
        <v>18</v>
      </c>
      <c r="K777" s="2" t="str">
        <f aca="false">IF(J777&lt;11,"Pagi",IF(J777&lt;17,"Siang","Malam"))</f>
        <v>Malam</v>
      </c>
      <c r="L777" s="2" t="n">
        <f aca="false">IF(A777&lt;&gt;A776,1,0)</f>
        <v>1</v>
      </c>
    </row>
    <row r="778" customFormat="false" ht="15" hidden="false" customHeight="false" outlineLevel="0" collapsed="false">
      <c r="A778" s="2" t="s">
        <v>904</v>
      </c>
      <c r="B778" s="13" t="n">
        <v>46275</v>
      </c>
      <c r="C778" s="2" t="s">
        <v>112</v>
      </c>
      <c r="D778" s="2" t="n">
        <v>2</v>
      </c>
      <c r="E778" s="15" t="n">
        <v>0.752777777777778</v>
      </c>
      <c r="F778" s="7" t="n">
        <v>10000</v>
      </c>
      <c r="G778" s="7" t="n">
        <f aca="false">D778*F778</f>
        <v>20000</v>
      </c>
      <c r="H778" s="2" t="str">
        <f aca="false">INDEX(Daftar_Menu!$B$2:$B$13,MATCH(C778,Daftar_Menu!$A$2:$A$13,0))</f>
        <v>Minuman</v>
      </c>
      <c r="I778" s="2" t="str">
        <f aca="false">CHOOSE(WEEKDAY(B778,2),"Senin","Selasa","Rabu","Kamis","Jumat","Sabtu","Minggu")</f>
        <v>Kamis</v>
      </c>
      <c r="J778" s="2" t="n">
        <f aca="false">HOUR(E778)</f>
        <v>18</v>
      </c>
      <c r="K778" s="2" t="str">
        <f aca="false">IF(J778&lt;11,"Pagi",IF(J778&lt;17,"Siang","Malam"))</f>
        <v>Malam</v>
      </c>
      <c r="L778" s="2" t="n">
        <f aca="false">IF(A778&lt;&gt;A777,1,0)</f>
        <v>0</v>
      </c>
    </row>
    <row r="779" customFormat="false" ht="15" hidden="false" customHeight="false" outlineLevel="0" collapsed="false">
      <c r="A779" s="2" t="s">
        <v>906</v>
      </c>
      <c r="B779" s="13" t="n">
        <v>46275</v>
      </c>
      <c r="C779" s="2" t="s">
        <v>112</v>
      </c>
      <c r="D779" s="2" t="n">
        <v>1</v>
      </c>
      <c r="E779" s="15" t="n">
        <v>0.7625</v>
      </c>
      <c r="F779" s="7" t="n">
        <v>10000</v>
      </c>
      <c r="G779" s="7" t="n">
        <f aca="false">D779*F779</f>
        <v>10000</v>
      </c>
      <c r="H779" s="2" t="str">
        <f aca="false">INDEX(Daftar_Menu!$B$2:$B$13,MATCH(C779,Daftar_Menu!$A$2:$A$13,0))</f>
        <v>Minuman</v>
      </c>
      <c r="I779" s="2" t="str">
        <f aca="false">CHOOSE(WEEKDAY(B779,2),"Senin","Selasa","Rabu","Kamis","Jumat","Sabtu","Minggu")</f>
        <v>Kamis</v>
      </c>
      <c r="J779" s="2" t="n">
        <f aca="false">HOUR(E779)</f>
        <v>18</v>
      </c>
      <c r="K779" s="2" t="str">
        <f aca="false">IF(J779&lt;11,"Pagi",IF(J779&lt;17,"Siang","Malam"))</f>
        <v>Malam</v>
      </c>
      <c r="L779" s="2" t="n">
        <f aca="false">IF(A779&lt;&gt;A778,1,0)</f>
        <v>1</v>
      </c>
    </row>
    <row r="780" customFormat="false" ht="15" hidden="false" customHeight="false" outlineLevel="0" collapsed="false">
      <c r="A780" s="2" t="s">
        <v>906</v>
      </c>
      <c r="B780" s="13" t="n">
        <v>46275</v>
      </c>
      <c r="C780" s="2" t="s">
        <v>126</v>
      </c>
      <c r="D780" s="2" t="n">
        <v>2</v>
      </c>
      <c r="E780" s="15" t="n">
        <v>0.7625</v>
      </c>
      <c r="F780" s="7" t="n">
        <v>3000</v>
      </c>
      <c r="G780" s="7" t="n">
        <f aca="false">D780*F780</f>
        <v>6000</v>
      </c>
      <c r="H780" s="2" t="str">
        <f aca="false">INDEX(Daftar_Menu!$B$2:$B$13,MATCH(C780,Daftar_Menu!$A$2:$A$13,0))</f>
        <v>Minuman</v>
      </c>
      <c r="I780" s="2" t="str">
        <f aca="false">CHOOSE(WEEKDAY(B780,2),"Senin","Selasa","Rabu","Kamis","Jumat","Sabtu","Minggu")</f>
        <v>Kamis</v>
      </c>
      <c r="J780" s="2" t="n">
        <f aca="false">HOUR(E780)</f>
        <v>18</v>
      </c>
      <c r="K780" s="2" t="str">
        <f aca="false">IF(J780&lt;11,"Pagi",IF(J780&lt;17,"Siang","Malam"))</f>
        <v>Malam</v>
      </c>
      <c r="L780" s="2" t="n">
        <f aca="false">IF(A780&lt;&gt;A779,1,0)</f>
        <v>0</v>
      </c>
    </row>
    <row r="781" customFormat="false" ht="15" hidden="false" customHeight="false" outlineLevel="0" collapsed="false">
      <c r="A781" s="2" t="s">
        <v>907</v>
      </c>
      <c r="B781" s="13" t="n">
        <v>46275</v>
      </c>
      <c r="C781" s="2" t="s">
        <v>81</v>
      </c>
      <c r="D781" s="2" t="n">
        <v>1</v>
      </c>
      <c r="E781" s="15" t="n">
        <v>0.772916666666667</v>
      </c>
      <c r="F781" s="7" t="n">
        <v>15000</v>
      </c>
      <c r="G781" s="7" t="n">
        <f aca="false">D781*F781</f>
        <v>15000</v>
      </c>
      <c r="H781" s="2" t="str">
        <f aca="false">INDEX(Daftar_Menu!$B$2:$B$13,MATCH(C781,Daftar_Menu!$A$2:$A$13,0))</f>
        <v>Makanan</v>
      </c>
      <c r="I781" s="2" t="str">
        <f aca="false">CHOOSE(WEEKDAY(B781,2),"Senin","Selasa","Rabu","Kamis","Jumat","Sabtu","Minggu")</f>
        <v>Kamis</v>
      </c>
      <c r="J781" s="2" t="n">
        <f aca="false">HOUR(E781)</f>
        <v>18</v>
      </c>
      <c r="K781" s="2" t="str">
        <f aca="false">IF(J781&lt;11,"Pagi",IF(J781&lt;17,"Siang","Malam"))</f>
        <v>Malam</v>
      </c>
      <c r="L781" s="2" t="n">
        <f aca="false">IF(A781&lt;&gt;A780,1,0)</f>
        <v>1</v>
      </c>
    </row>
    <row r="782" customFormat="false" ht="15" hidden="false" customHeight="false" outlineLevel="0" collapsed="false">
      <c r="A782" s="2" t="s">
        <v>909</v>
      </c>
      <c r="B782" s="13" t="n">
        <v>46275</v>
      </c>
      <c r="C782" s="2" t="s">
        <v>126</v>
      </c>
      <c r="D782" s="2" t="n">
        <v>1</v>
      </c>
      <c r="E782" s="15" t="n">
        <v>0.775694444444445</v>
      </c>
      <c r="F782" s="7" t="n">
        <v>3000</v>
      </c>
      <c r="G782" s="7" t="n">
        <f aca="false">D782*F782</f>
        <v>3000</v>
      </c>
      <c r="H782" s="2" t="str">
        <f aca="false">INDEX(Daftar_Menu!$B$2:$B$13,MATCH(C782,Daftar_Menu!$A$2:$A$13,0))</f>
        <v>Minuman</v>
      </c>
      <c r="I782" s="2" t="str">
        <f aca="false">CHOOSE(WEEKDAY(B782,2),"Senin","Selasa","Rabu","Kamis","Jumat","Sabtu","Minggu")</f>
        <v>Kamis</v>
      </c>
      <c r="J782" s="2" t="n">
        <f aca="false">HOUR(E782)</f>
        <v>18</v>
      </c>
      <c r="K782" s="2" t="str">
        <f aca="false">IF(J782&lt;11,"Pagi",IF(J782&lt;17,"Siang","Malam"))</f>
        <v>Malam</v>
      </c>
      <c r="L782" s="2" t="n">
        <f aca="false">IF(A782&lt;&gt;A781,1,0)</f>
        <v>1</v>
      </c>
    </row>
    <row r="783" customFormat="false" ht="15" hidden="false" customHeight="false" outlineLevel="0" collapsed="false">
      <c r="A783" s="2" t="s">
        <v>909</v>
      </c>
      <c r="B783" s="13" t="n">
        <v>46275</v>
      </c>
      <c r="C783" s="2" t="s">
        <v>79</v>
      </c>
      <c r="D783" s="2" t="n">
        <v>1</v>
      </c>
      <c r="E783" s="15" t="n">
        <v>0.775694444444445</v>
      </c>
      <c r="F783" s="7" t="n">
        <v>16000</v>
      </c>
      <c r="G783" s="7" t="n">
        <f aca="false">D783*F783</f>
        <v>16000</v>
      </c>
      <c r="H783" s="2" t="str">
        <f aca="false">INDEX(Daftar_Menu!$B$2:$B$13,MATCH(C783,Daftar_Menu!$A$2:$A$13,0))</f>
        <v>Makanan</v>
      </c>
      <c r="I783" s="2" t="str">
        <f aca="false">CHOOSE(WEEKDAY(B783,2),"Senin","Selasa","Rabu","Kamis","Jumat","Sabtu","Minggu")</f>
        <v>Kamis</v>
      </c>
      <c r="J783" s="2" t="n">
        <f aca="false">HOUR(E783)</f>
        <v>18</v>
      </c>
      <c r="K783" s="2" t="str">
        <f aca="false">IF(J783&lt;11,"Pagi",IF(J783&lt;17,"Siang","Malam"))</f>
        <v>Malam</v>
      </c>
      <c r="L783" s="2" t="n">
        <f aca="false">IF(A783&lt;&gt;A782,1,0)</f>
        <v>0</v>
      </c>
    </row>
    <row r="784" customFormat="false" ht="15" hidden="false" customHeight="false" outlineLevel="0" collapsed="false">
      <c r="A784" s="2" t="s">
        <v>910</v>
      </c>
      <c r="B784" s="13" t="n">
        <v>46275</v>
      </c>
      <c r="C784" s="2" t="s">
        <v>79</v>
      </c>
      <c r="D784" s="2" t="n">
        <v>2</v>
      </c>
      <c r="E784" s="15" t="n">
        <v>0.786111111111111</v>
      </c>
      <c r="F784" s="7" t="n">
        <v>16000</v>
      </c>
      <c r="G784" s="7" t="n">
        <f aca="false">D784*F784</f>
        <v>32000</v>
      </c>
      <c r="H784" s="2" t="str">
        <f aca="false">INDEX(Daftar_Menu!$B$2:$B$13,MATCH(C784,Daftar_Menu!$A$2:$A$13,0))</f>
        <v>Makanan</v>
      </c>
      <c r="I784" s="2" t="str">
        <f aca="false">CHOOSE(WEEKDAY(B784,2),"Senin","Selasa","Rabu","Kamis","Jumat","Sabtu","Minggu")</f>
        <v>Kamis</v>
      </c>
      <c r="J784" s="2" t="n">
        <f aca="false">HOUR(E784)</f>
        <v>18</v>
      </c>
      <c r="K784" s="2" t="str">
        <f aca="false">IF(J784&lt;11,"Pagi",IF(J784&lt;17,"Siang","Malam"))</f>
        <v>Malam</v>
      </c>
      <c r="L784" s="2" t="n">
        <f aca="false">IF(A784&lt;&gt;A783,1,0)</f>
        <v>1</v>
      </c>
    </row>
    <row r="785" customFormat="false" ht="15" hidden="false" customHeight="false" outlineLevel="0" collapsed="false">
      <c r="A785" s="2" t="s">
        <v>912</v>
      </c>
      <c r="B785" s="13" t="n">
        <v>46275</v>
      </c>
      <c r="C785" s="2" t="s">
        <v>84</v>
      </c>
      <c r="D785" s="2" t="n">
        <v>1</v>
      </c>
      <c r="E785" s="15" t="n">
        <v>0.816666666666667</v>
      </c>
      <c r="F785" s="7" t="n">
        <v>5000</v>
      </c>
      <c r="G785" s="7" t="n">
        <f aca="false">D785*F785</f>
        <v>5000</v>
      </c>
      <c r="H785" s="2" t="str">
        <f aca="false">INDEX(Daftar_Menu!$B$2:$B$13,MATCH(C785,Daftar_Menu!$A$2:$A$13,0))</f>
        <v>Minuman</v>
      </c>
      <c r="I785" s="2" t="str">
        <f aca="false">CHOOSE(WEEKDAY(B785,2),"Senin","Selasa","Rabu","Kamis","Jumat","Sabtu","Minggu")</f>
        <v>Kamis</v>
      </c>
      <c r="J785" s="2" t="n">
        <f aca="false">HOUR(E785)</f>
        <v>19</v>
      </c>
      <c r="K785" s="2" t="str">
        <f aca="false">IF(J785&lt;11,"Pagi",IF(J785&lt;17,"Siang","Malam"))</f>
        <v>Malam</v>
      </c>
      <c r="L785" s="2" t="n">
        <f aca="false">IF(A785&lt;&gt;A784,1,0)</f>
        <v>1</v>
      </c>
    </row>
    <row r="786" customFormat="false" ht="15" hidden="false" customHeight="false" outlineLevel="0" collapsed="false">
      <c r="A786" s="2" t="s">
        <v>912</v>
      </c>
      <c r="B786" s="13" t="n">
        <v>46275</v>
      </c>
      <c r="C786" s="2" t="s">
        <v>101</v>
      </c>
      <c r="D786" s="2" t="n">
        <v>1</v>
      </c>
      <c r="E786" s="15" t="n">
        <v>0.816666666666667</v>
      </c>
      <c r="F786" s="7" t="n">
        <v>18000</v>
      </c>
      <c r="G786" s="7" t="n">
        <f aca="false">D786*F786</f>
        <v>18000</v>
      </c>
      <c r="H786" s="2" t="str">
        <f aca="false">INDEX(Daftar_Menu!$B$2:$B$13,MATCH(C786,Daftar_Menu!$A$2:$A$13,0))</f>
        <v>Makanan</v>
      </c>
      <c r="I786" s="2" t="str">
        <f aca="false">CHOOSE(WEEKDAY(B786,2),"Senin","Selasa","Rabu","Kamis","Jumat","Sabtu","Minggu")</f>
        <v>Kamis</v>
      </c>
      <c r="J786" s="2" t="n">
        <f aca="false">HOUR(E786)</f>
        <v>19</v>
      </c>
      <c r="K786" s="2" t="str">
        <f aca="false">IF(J786&lt;11,"Pagi",IF(J786&lt;17,"Siang","Malam"))</f>
        <v>Malam</v>
      </c>
      <c r="L786" s="2" t="n">
        <f aca="false">IF(A786&lt;&gt;A785,1,0)</f>
        <v>0</v>
      </c>
    </row>
    <row r="787" customFormat="false" ht="15" hidden="false" customHeight="false" outlineLevel="0" collapsed="false">
      <c r="A787" s="2" t="s">
        <v>914</v>
      </c>
      <c r="B787" s="13" t="n">
        <v>46275</v>
      </c>
      <c r="C787" s="2" t="s">
        <v>81</v>
      </c>
      <c r="D787" s="2" t="n">
        <v>3</v>
      </c>
      <c r="E787" s="15" t="n">
        <v>0.820833333333333</v>
      </c>
      <c r="F787" s="7" t="n">
        <v>15000</v>
      </c>
      <c r="G787" s="7" t="n">
        <f aca="false">D787*F787</f>
        <v>45000</v>
      </c>
      <c r="H787" s="2" t="str">
        <f aca="false">INDEX(Daftar_Menu!$B$2:$B$13,MATCH(C787,Daftar_Menu!$A$2:$A$13,0))</f>
        <v>Makanan</v>
      </c>
      <c r="I787" s="2" t="str">
        <f aca="false">CHOOSE(WEEKDAY(B787,2),"Senin","Selasa","Rabu","Kamis","Jumat","Sabtu","Minggu")</f>
        <v>Kamis</v>
      </c>
      <c r="J787" s="2" t="n">
        <f aca="false">HOUR(E787)</f>
        <v>19</v>
      </c>
      <c r="K787" s="2" t="str">
        <f aca="false">IF(J787&lt;11,"Pagi",IF(J787&lt;17,"Siang","Malam"))</f>
        <v>Malam</v>
      </c>
      <c r="L787" s="2" t="n">
        <f aca="false">IF(A787&lt;&gt;A786,1,0)</f>
        <v>1</v>
      </c>
    </row>
    <row r="788" customFormat="false" ht="15" hidden="false" customHeight="false" outlineLevel="0" collapsed="false">
      <c r="A788" s="2" t="s">
        <v>914</v>
      </c>
      <c r="B788" s="13" t="n">
        <v>46275</v>
      </c>
      <c r="C788" s="2" t="s">
        <v>84</v>
      </c>
      <c r="D788" s="2" t="n">
        <v>1</v>
      </c>
      <c r="E788" s="15" t="n">
        <v>0.820833333333333</v>
      </c>
      <c r="F788" s="7" t="n">
        <v>5000</v>
      </c>
      <c r="G788" s="7" t="n">
        <f aca="false">D788*F788</f>
        <v>5000</v>
      </c>
      <c r="H788" s="2" t="str">
        <f aca="false">INDEX(Daftar_Menu!$B$2:$B$13,MATCH(C788,Daftar_Menu!$A$2:$A$13,0))</f>
        <v>Minuman</v>
      </c>
      <c r="I788" s="2" t="str">
        <f aca="false">CHOOSE(WEEKDAY(B788,2),"Senin","Selasa","Rabu","Kamis","Jumat","Sabtu","Minggu")</f>
        <v>Kamis</v>
      </c>
      <c r="J788" s="2" t="n">
        <f aca="false">HOUR(E788)</f>
        <v>19</v>
      </c>
      <c r="K788" s="2" t="str">
        <f aca="false">IF(J788&lt;11,"Pagi",IF(J788&lt;17,"Siang","Malam"))</f>
        <v>Malam</v>
      </c>
      <c r="L788" s="2" t="n">
        <f aca="false">IF(A788&lt;&gt;A787,1,0)</f>
        <v>0</v>
      </c>
    </row>
    <row r="789" customFormat="false" ht="15" hidden="false" customHeight="false" outlineLevel="0" collapsed="false">
      <c r="A789" s="2" t="s">
        <v>915</v>
      </c>
      <c r="B789" s="13" t="n">
        <v>46275</v>
      </c>
      <c r="C789" s="2" t="s">
        <v>132</v>
      </c>
      <c r="D789" s="2" t="n">
        <v>1</v>
      </c>
      <c r="E789" s="15" t="n">
        <v>0.822222222222222</v>
      </c>
      <c r="F789" s="7" t="n">
        <v>15000</v>
      </c>
      <c r="G789" s="7" t="n">
        <f aca="false">D789*F789</f>
        <v>15000</v>
      </c>
      <c r="H789" s="2" t="str">
        <f aca="false">INDEX(Daftar_Menu!$B$2:$B$13,MATCH(C789,Daftar_Menu!$A$2:$A$13,0))</f>
        <v>Makanan</v>
      </c>
      <c r="I789" s="2" t="str">
        <f aca="false">CHOOSE(WEEKDAY(B789,2),"Senin","Selasa","Rabu","Kamis","Jumat","Sabtu","Minggu")</f>
        <v>Kamis</v>
      </c>
      <c r="J789" s="2" t="n">
        <f aca="false">HOUR(E789)</f>
        <v>19</v>
      </c>
      <c r="K789" s="2" t="str">
        <f aca="false">IF(J789&lt;11,"Pagi",IF(J789&lt;17,"Siang","Malam"))</f>
        <v>Malam</v>
      </c>
      <c r="L789" s="2" t="n">
        <f aca="false">IF(A789&lt;&gt;A788,1,0)</f>
        <v>1</v>
      </c>
    </row>
    <row r="790" customFormat="false" ht="15" hidden="false" customHeight="false" outlineLevel="0" collapsed="false">
      <c r="A790" s="2" t="s">
        <v>915</v>
      </c>
      <c r="B790" s="13" t="n">
        <v>46275</v>
      </c>
      <c r="C790" s="2" t="s">
        <v>79</v>
      </c>
      <c r="D790" s="2" t="n">
        <v>1</v>
      </c>
      <c r="E790" s="15" t="n">
        <v>0.822222222222222</v>
      </c>
      <c r="F790" s="7" t="n">
        <v>16000</v>
      </c>
      <c r="G790" s="7" t="n">
        <f aca="false">D790*F790</f>
        <v>16000</v>
      </c>
      <c r="H790" s="2" t="str">
        <f aca="false">INDEX(Daftar_Menu!$B$2:$B$13,MATCH(C790,Daftar_Menu!$A$2:$A$13,0))</f>
        <v>Makanan</v>
      </c>
      <c r="I790" s="2" t="str">
        <f aca="false">CHOOSE(WEEKDAY(B790,2),"Senin","Selasa","Rabu","Kamis","Jumat","Sabtu","Minggu")</f>
        <v>Kamis</v>
      </c>
      <c r="J790" s="2" t="n">
        <f aca="false">HOUR(E790)</f>
        <v>19</v>
      </c>
      <c r="K790" s="2" t="str">
        <f aca="false">IF(J790&lt;11,"Pagi",IF(J790&lt;17,"Siang","Malam"))</f>
        <v>Malam</v>
      </c>
      <c r="L790" s="2" t="n">
        <f aca="false">IF(A790&lt;&gt;A789,1,0)</f>
        <v>0</v>
      </c>
    </row>
    <row r="791" customFormat="false" ht="15" hidden="false" customHeight="false" outlineLevel="0" collapsed="false">
      <c r="A791" s="2" t="s">
        <v>916</v>
      </c>
      <c r="B791" s="13" t="n">
        <v>46275</v>
      </c>
      <c r="C791" s="2" t="s">
        <v>101</v>
      </c>
      <c r="D791" s="2" t="n">
        <v>1</v>
      </c>
      <c r="E791" s="15" t="n">
        <v>0.822916666666667</v>
      </c>
      <c r="F791" s="7" t="n">
        <v>18000</v>
      </c>
      <c r="G791" s="7" t="n">
        <f aca="false">D791*F791</f>
        <v>18000</v>
      </c>
      <c r="H791" s="2" t="str">
        <f aca="false">INDEX(Daftar_Menu!$B$2:$B$13,MATCH(C791,Daftar_Menu!$A$2:$A$13,0))</f>
        <v>Makanan</v>
      </c>
      <c r="I791" s="2" t="str">
        <f aca="false">CHOOSE(WEEKDAY(B791,2),"Senin","Selasa","Rabu","Kamis","Jumat","Sabtu","Minggu")</f>
        <v>Kamis</v>
      </c>
      <c r="J791" s="2" t="n">
        <f aca="false">HOUR(E791)</f>
        <v>19</v>
      </c>
      <c r="K791" s="2" t="str">
        <f aca="false">IF(J791&lt;11,"Pagi",IF(J791&lt;17,"Siang","Malam"))</f>
        <v>Malam</v>
      </c>
      <c r="L791" s="2" t="n">
        <f aca="false">IF(A791&lt;&gt;A790,1,0)</f>
        <v>1</v>
      </c>
    </row>
    <row r="792" customFormat="false" ht="15" hidden="false" customHeight="false" outlineLevel="0" collapsed="false">
      <c r="A792" s="2" t="s">
        <v>916</v>
      </c>
      <c r="B792" s="13" t="n">
        <v>46275</v>
      </c>
      <c r="C792" s="2" t="s">
        <v>84</v>
      </c>
      <c r="D792" s="2" t="n">
        <v>3</v>
      </c>
      <c r="E792" s="15" t="n">
        <v>0.822916666666667</v>
      </c>
      <c r="F792" s="7" t="n">
        <v>5000</v>
      </c>
      <c r="G792" s="7" t="n">
        <f aca="false">D792*F792</f>
        <v>15000</v>
      </c>
      <c r="H792" s="2" t="str">
        <f aca="false">INDEX(Daftar_Menu!$B$2:$B$13,MATCH(C792,Daftar_Menu!$A$2:$A$13,0))</f>
        <v>Minuman</v>
      </c>
      <c r="I792" s="2" t="str">
        <f aca="false">CHOOSE(WEEKDAY(B792,2),"Senin","Selasa","Rabu","Kamis","Jumat","Sabtu","Minggu")</f>
        <v>Kamis</v>
      </c>
      <c r="J792" s="2" t="n">
        <f aca="false">HOUR(E792)</f>
        <v>19</v>
      </c>
      <c r="K792" s="2" t="str">
        <f aca="false">IF(J792&lt;11,"Pagi",IF(J792&lt;17,"Siang","Malam"))</f>
        <v>Malam</v>
      </c>
      <c r="L792" s="2" t="n">
        <f aca="false">IF(A792&lt;&gt;A791,1,0)</f>
        <v>0</v>
      </c>
    </row>
    <row r="793" customFormat="false" ht="15" hidden="false" customHeight="false" outlineLevel="0" collapsed="false">
      <c r="A793" s="2" t="s">
        <v>918</v>
      </c>
      <c r="B793" s="13" t="n">
        <v>46275</v>
      </c>
      <c r="C793" s="2" t="s">
        <v>84</v>
      </c>
      <c r="D793" s="2" t="n">
        <v>1</v>
      </c>
      <c r="E793" s="15" t="n">
        <v>0.860416666666667</v>
      </c>
      <c r="F793" s="7" t="n">
        <v>5000</v>
      </c>
      <c r="G793" s="7" t="n">
        <f aca="false">D793*F793</f>
        <v>5000</v>
      </c>
      <c r="H793" s="2" t="str">
        <f aca="false">INDEX(Daftar_Menu!$B$2:$B$13,MATCH(C793,Daftar_Menu!$A$2:$A$13,0))</f>
        <v>Minuman</v>
      </c>
      <c r="I793" s="2" t="str">
        <f aca="false">CHOOSE(WEEKDAY(B793,2),"Senin","Selasa","Rabu","Kamis","Jumat","Sabtu","Minggu")</f>
        <v>Kamis</v>
      </c>
      <c r="J793" s="2" t="n">
        <f aca="false">HOUR(E793)</f>
        <v>20</v>
      </c>
      <c r="K793" s="2" t="str">
        <f aca="false">IF(J793&lt;11,"Pagi",IF(J793&lt;17,"Siang","Malam"))</f>
        <v>Malam</v>
      </c>
      <c r="L793" s="2" t="n">
        <f aca="false">IF(A793&lt;&gt;A792,1,0)</f>
        <v>1</v>
      </c>
    </row>
    <row r="794" customFormat="false" ht="15" hidden="false" customHeight="false" outlineLevel="0" collapsed="false">
      <c r="A794" s="2" t="s">
        <v>918</v>
      </c>
      <c r="B794" s="13" t="n">
        <v>46275</v>
      </c>
      <c r="C794" s="2" t="s">
        <v>81</v>
      </c>
      <c r="D794" s="2" t="n">
        <v>1</v>
      </c>
      <c r="E794" s="15" t="n">
        <v>0.860416666666667</v>
      </c>
      <c r="F794" s="7" t="n">
        <v>15000</v>
      </c>
      <c r="G794" s="7" t="n">
        <f aca="false">D794*F794</f>
        <v>15000</v>
      </c>
      <c r="H794" s="2" t="str">
        <f aca="false">INDEX(Daftar_Menu!$B$2:$B$13,MATCH(C794,Daftar_Menu!$A$2:$A$13,0))</f>
        <v>Makanan</v>
      </c>
      <c r="I794" s="2" t="str">
        <f aca="false">CHOOSE(WEEKDAY(B794,2),"Senin","Selasa","Rabu","Kamis","Jumat","Sabtu","Minggu")</f>
        <v>Kamis</v>
      </c>
      <c r="J794" s="2" t="n">
        <f aca="false">HOUR(E794)</f>
        <v>20</v>
      </c>
      <c r="K794" s="2" t="str">
        <f aca="false">IF(J794&lt;11,"Pagi",IF(J794&lt;17,"Siang","Malam"))</f>
        <v>Malam</v>
      </c>
      <c r="L794" s="2" t="n">
        <f aca="false">IF(A794&lt;&gt;A793,1,0)</f>
        <v>0</v>
      </c>
    </row>
    <row r="795" customFormat="false" ht="15" hidden="false" customHeight="false" outlineLevel="0" collapsed="false">
      <c r="A795" s="2" t="s">
        <v>920</v>
      </c>
      <c r="B795" s="13" t="n">
        <v>46276</v>
      </c>
      <c r="C795" s="2" t="s">
        <v>79</v>
      </c>
      <c r="D795" s="2" t="n">
        <v>1</v>
      </c>
      <c r="E795" s="15" t="n">
        <v>0.378472222222222</v>
      </c>
      <c r="F795" s="7" t="n">
        <v>16000</v>
      </c>
      <c r="G795" s="7" t="n">
        <f aca="false">D795*F795</f>
        <v>16000</v>
      </c>
      <c r="H795" s="2" t="str">
        <f aca="false">INDEX(Daftar_Menu!$B$2:$B$13,MATCH(C795,Daftar_Menu!$A$2:$A$13,0))</f>
        <v>Makanan</v>
      </c>
      <c r="I795" s="2" t="str">
        <f aca="false">CHOOSE(WEEKDAY(B795,2),"Senin","Selasa","Rabu","Kamis","Jumat","Sabtu","Minggu")</f>
        <v>Jumat</v>
      </c>
      <c r="J795" s="2" t="n">
        <f aca="false">HOUR(E795)</f>
        <v>9</v>
      </c>
      <c r="K795" s="2" t="str">
        <f aca="false">IF(J795&lt;11,"Pagi",IF(J795&lt;17,"Siang","Malam"))</f>
        <v>Pagi</v>
      </c>
      <c r="L795" s="2" t="n">
        <f aca="false">IF(A795&lt;&gt;A794,1,0)</f>
        <v>1</v>
      </c>
    </row>
    <row r="796" customFormat="false" ht="15" hidden="false" customHeight="false" outlineLevel="0" collapsed="false">
      <c r="A796" s="2" t="s">
        <v>920</v>
      </c>
      <c r="B796" s="13" t="n">
        <v>46276</v>
      </c>
      <c r="C796" s="2" t="s">
        <v>82</v>
      </c>
      <c r="D796" s="2" t="n">
        <v>2</v>
      </c>
      <c r="E796" s="15" t="n">
        <v>0.378472222222222</v>
      </c>
      <c r="F796" s="7" t="n">
        <v>13000</v>
      </c>
      <c r="G796" s="7" t="n">
        <f aca="false">D796*F796</f>
        <v>26000</v>
      </c>
      <c r="H796" s="2" t="str">
        <f aca="false">INDEX(Daftar_Menu!$B$2:$B$13,MATCH(C796,Daftar_Menu!$A$2:$A$13,0))</f>
        <v>Makanan</v>
      </c>
      <c r="I796" s="2" t="str">
        <f aca="false">CHOOSE(WEEKDAY(B796,2),"Senin","Selasa","Rabu","Kamis","Jumat","Sabtu","Minggu")</f>
        <v>Jumat</v>
      </c>
      <c r="J796" s="2" t="n">
        <f aca="false">HOUR(E796)</f>
        <v>9</v>
      </c>
      <c r="K796" s="2" t="str">
        <f aca="false">IF(J796&lt;11,"Pagi",IF(J796&lt;17,"Siang","Malam"))</f>
        <v>Pagi</v>
      </c>
      <c r="L796" s="2" t="n">
        <f aca="false">IF(A796&lt;&gt;A795,1,0)</f>
        <v>0</v>
      </c>
    </row>
    <row r="797" customFormat="false" ht="15" hidden="false" customHeight="false" outlineLevel="0" collapsed="false">
      <c r="A797" s="2" t="s">
        <v>922</v>
      </c>
      <c r="B797" s="13" t="n">
        <v>46276</v>
      </c>
      <c r="C797" s="2" t="s">
        <v>108</v>
      </c>
      <c r="D797" s="2" t="n">
        <v>1</v>
      </c>
      <c r="E797" s="15" t="n">
        <v>0.390277777777778</v>
      </c>
      <c r="F797" s="7" t="n">
        <v>20000</v>
      </c>
      <c r="G797" s="7" t="n">
        <f aca="false">D797*F797</f>
        <v>20000</v>
      </c>
      <c r="H797" s="2" t="str">
        <f aca="false">INDEX(Daftar_Menu!$B$2:$B$13,MATCH(C797,Daftar_Menu!$A$2:$A$13,0))</f>
        <v>Makanan</v>
      </c>
      <c r="I797" s="2" t="str">
        <f aca="false">CHOOSE(WEEKDAY(B797,2),"Senin","Selasa","Rabu","Kamis","Jumat","Sabtu","Minggu")</f>
        <v>Jumat</v>
      </c>
      <c r="J797" s="2" t="n">
        <f aca="false">HOUR(E797)</f>
        <v>9</v>
      </c>
      <c r="K797" s="2" t="str">
        <f aca="false">IF(J797&lt;11,"Pagi",IF(J797&lt;17,"Siang","Malam"))</f>
        <v>Pagi</v>
      </c>
      <c r="L797" s="2" t="n">
        <f aca="false">IF(A797&lt;&gt;A796,1,0)</f>
        <v>1</v>
      </c>
    </row>
    <row r="798" customFormat="false" ht="15" hidden="false" customHeight="false" outlineLevel="0" collapsed="false">
      <c r="A798" s="2" t="s">
        <v>922</v>
      </c>
      <c r="B798" s="13" t="n">
        <v>46276</v>
      </c>
      <c r="C798" s="2" t="s">
        <v>84</v>
      </c>
      <c r="D798" s="2" t="n">
        <v>2</v>
      </c>
      <c r="E798" s="15" t="n">
        <v>0.390277777777778</v>
      </c>
      <c r="F798" s="7" t="n">
        <v>5000</v>
      </c>
      <c r="G798" s="7" t="n">
        <f aca="false">D798*F798</f>
        <v>10000</v>
      </c>
      <c r="H798" s="2" t="str">
        <f aca="false">INDEX(Daftar_Menu!$B$2:$B$13,MATCH(C798,Daftar_Menu!$A$2:$A$13,0))</f>
        <v>Minuman</v>
      </c>
      <c r="I798" s="2" t="str">
        <f aca="false">CHOOSE(WEEKDAY(B798,2),"Senin","Selasa","Rabu","Kamis","Jumat","Sabtu","Minggu")</f>
        <v>Jumat</v>
      </c>
      <c r="J798" s="2" t="n">
        <f aca="false">HOUR(E798)</f>
        <v>9</v>
      </c>
      <c r="K798" s="2" t="str">
        <f aca="false">IF(J798&lt;11,"Pagi",IF(J798&lt;17,"Siang","Malam"))</f>
        <v>Pagi</v>
      </c>
      <c r="L798" s="2" t="n">
        <f aca="false">IF(A798&lt;&gt;A797,1,0)</f>
        <v>0</v>
      </c>
    </row>
    <row r="799" customFormat="false" ht="15" hidden="false" customHeight="false" outlineLevel="0" collapsed="false">
      <c r="A799" s="2" t="s">
        <v>923</v>
      </c>
      <c r="B799" s="13" t="n">
        <v>46276</v>
      </c>
      <c r="C799" s="2" t="s">
        <v>84</v>
      </c>
      <c r="D799" s="2" t="n">
        <v>2</v>
      </c>
      <c r="E799" s="15" t="n">
        <v>0.415972222222222</v>
      </c>
      <c r="F799" s="7" t="n">
        <v>5000</v>
      </c>
      <c r="G799" s="7" t="n">
        <f aca="false">D799*F799</f>
        <v>10000</v>
      </c>
      <c r="H799" s="2" t="str">
        <f aca="false">INDEX(Daftar_Menu!$B$2:$B$13,MATCH(C799,Daftar_Menu!$A$2:$A$13,0))</f>
        <v>Minuman</v>
      </c>
      <c r="I799" s="2" t="str">
        <f aca="false">CHOOSE(WEEKDAY(B799,2),"Senin","Selasa","Rabu","Kamis","Jumat","Sabtu","Minggu")</f>
        <v>Jumat</v>
      </c>
      <c r="J799" s="2" t="n">
        <f aca="false">HOUR(E799)</f>
        <v>9</v>
      </c>
      <c r="K799" s="2" t="str">
        <f aca="false">IF(J799&lt;11,"Pagi",IF(J799&lt;17,"Siang","Malam"))</f>
        <v>Pagi</v>
      </c>
      <c r="L799" s="2" t="n">
        <f aca="false">IF(A799&lt;&gt;A798,1,0)</f>
        <v>1</v>
      </c>
    </row>
    <row r="800" customFormat="false" ht="15" hidden="false" customHeight="false" outlineLevel="0" collapsed="false">
      <c r="A800" s="2" t="s">
        <v>923</v>
      </c>
      <c r="B800" s="13" t="n">
        <v>46276</v>
      </c>
      <c r="C800" s="2" t="s">
        <v>82</v>
      </c>
      <c r="D800" s="2" t="n">
        <v>2</v>
      </c>
      <c r="E800" s="15" t="n">
        <v>0.415972222222222</v>
      </c>
      <c r="F800" s="7" t="n">
        <v>13000</v>
      </c>
      <c r="G800" s="7" t="n">
        <f aca="false">D800*F800</f>
        <v>26000</v>
      </c>
      <c r="H800" s="2" t="str">
        <f aca="false">INDEX(Daftar_Menu!$B$2:$B$13,MATCH(C800,Daftar_Menu!$A$2:$A$13,0))</f>
        <v>Makanan</v>
      </c>
      <c r="I800" s="2" t="str">
        <f aca="false">CHOOSE(WEEKDAY(B800,2),"Senin","Selasa","Rabu","Kamis","Jumat","Sabtu","Minggu")</f>
        <v>Jumat</v>
      </c>
      <c r="J800" s="2" t="n">
        <f aca="false">HOUR(E800)</f>
        <v>9</v>
      </c>
      <c r="K800" s="2" t="str">
        <f aca="false">IF(J800&lt;11,"Pagi",IF(J800&lt;17,"Siang","Malam"))</f>
        <v>Pagi</v>
      </c>
      <c r="L800" s="2" t="n">
        <f aca="false">IF(A800&lt;&gt;A799,1,0)</f>
        <v>0</v>
      </c>
    </row>
    <row r="801" customFormat="false" ht="15" hidden="false" customHeight="false" outlineLevel="0" collapsed="false">
      <c r="A801" s="2" t="s">
        <v>923</v>
      </c>
      <c r="B801" s="13" t="n">
        <v>46276</v>
      </c>
      <c r="C801" s="2" t="s">
        <v>132</v>
      </c>
      <c r="D801" s="2" t="n">
        <v>1</v>
      </c>
      <c r="E801" s="15" t="n">
        <v>0.415972222222222</v>
      </c>
      <c r="F801" s="7" t="n">
        <v>15000</v>
      </c>
      <c r="G801" s="7" t="n">
        <f aca="false">D801*F801</f>
        <v>15000</v>
      </c>
      <c r="H801" s="2" t="str">
        <f aca="false">INDEX(Daftar_Menu!$B$2:$B$13,MATCH(C801,Daftar_Menu!$A$2:$A$13,0))</f>
        <v>Makanan</v>
      </c>
      <c r="I801" s="2" t="str">
        <f aca="false">CHOOSE(WEEKDAY(B801,2),"Senin","Selasa","Rabu","Kamis","Jumat","Sabtu","Minggu")</f>
        <v>Jumat</v>
      </c>
      <c r="J801" s="2" t="n">
        <f aca="false">HOUR(E801)</f>
        <v>9</v>
      </c>
      <c r="K801" s="2" t="str">
        <f aca="false">IF(J801&lt;11,"Pagi",IF(J801&lt;17,"Siang","Malam"))</f>
        <v>Pagi</v>
      </c>
      <c r="L801" s="2" t="n">
        <f aca="false">IF(A801&lt;&gt;A800,1,0)</f>
        <v>0</v>
      </c>
    </row>
    <row r="802" customFormat="false" ht="15" hidden="false" customHeight="false" outlineLevel="0" collapsed="false">
      <c r="A802" s="2" t="s">
        <v>925</v>
      </c>
      <c r="B802" s="13" t="n">
        <v>46276</v>
      </c>
      <c r="C802" s="2" t="s">
        <v>112</v>
      </c>
      <c r="D802" s="2" t="n">
        <v>1</v>
      </c>
      <c r="E802" s="15" t="n">
        <v>0.423611111111111</v>
      </c>
      <c r="F802" s="7" t="n">
        <v>10000</v>
      </c>
      <c r="G802" s="7" t="n">
        <f aca="false">D802*F802</f>
        <v>10000</v>
      </c>
      <c r="H802" s="2" t="str">
        <f aca="false">INDEX(Daftar_Menu!$B$2:$B$13,MATCH(C802,Daftar_Menu!$A$2:$A$13,0))</f>
        <v>Minuman</v>
      </c>
      <c r="I802" s="2" t="str">
        <f aca="false">CHOOSE(WEEKDAY(B802,2),"Senin","Selasa","Rabu","Kamis","Jumat","Sabtu","Minggu")</f>
        <v>Jumat</v>
      </c>
      <c r="J802" s="2" t="n">
        <f aca="false">HOUR(E802)</f>
        <v>10</v>
      </c>
      <c r="K802" s="2" t="str">
        <f aca="false">IF(J802&lt;11,"Pagi",IF(J802&lt;17,"Siang","Malam"))</f>
        <v>Pagi</v>
      </c>
      <c r="L802" s="2" t="n">
        <f aca="false">IF(A802&lt;&gt;A801,1,0)</f>
        <v>1</v>
      </c>
    </row>
    <row r="803" customFormat="false" ht="15" hidden="false" customHeight="false" outlineLevel="0" collapsed="false">
      <c r="A803" s="2" t="s">
        <v>925</v>
      </c>
      <c r="B803" s="13" t="n">
        <v>46276</v>
      </c>
      <c r="C803" s="2" t="s">
        <v>101</v>
      </c>
      <c r="D803" s="2" t="n">
        <v>1</v>
      </c>
      <c r="E803" s="15" t="n">
        <v>0.423611111111111</v>
      </c>
      <c r="F803" s="7" t="n">
        <v>18000</v>
      </c>
      <c r="G803" s="7" t="n">
        <f aca="false">D803*F803</f>
        <v>18000</v>
      </c>
      <c r="H803" s="2" t="str">
        <f aca="false">INDEX(Daftar_Menu!$B$2:$B$13,MATCH(C803,Daftar_Menu!$A$2:$A$13,0))</f>
        <v>Makanan</v>
      </c>
      <c r="I803" s="2" t="str">
        <f aca="false">CHOOSE(WEEKDAY(B803,2),"Senin","Selasa","Rabu","Kamis","Jumat","Sabtu","Minggu")</f>
        <v>Jumat</v>
      </c>
      <c r="J803" s="2" t="n">
        <f aca="false">HOUR(E803)</f>
        <v>10</v>
      </c>
      <c r="K803" s="2" t="str">
        <f aca="false">IF(J803&lt;11,"Pagi",IF(J803&lt;17,"Siang","Malam"))</f>
        <v>Pagi</v>
      </c>
      <c r="L803" s="2" t="n">
        <f aca="false">IF(A803&lt;&gt;A802,1,0)</f>
        <v>0</v>
      </c>
    </row>
    <row r="804" customFormat="false" ht="15" hidden="false" customHeight="false" outlineLevel="0" collapsed="false">
      <c r="A804" s="2" t="s">
        <v>927</v>
      </c>
      <c r="B804" s="13" t="n">
        <v>46276</v>
      </c>
      <c r="C804" s="2" t="s">
        <v>101</v>
      </c>
      <c r="D804" s="2" t="n">
        <v>1</v>
      </c>
      <c r="E804" s="15" t="n">
        <v>0.461111111111111</v>
      </c>
      <c r="F804" s="7" t="n">
        <v>18000</v>
      </c>
      <c r="G804" s="7" t="n">
        <f aca="false">D804*F804</f>
        <v>18000</v>
      </c>
      <c r="H804" s="2" t="str">
        <f aca="false">INDEX(Daftar_Menu!$B$2:$B$13,MATCH(C804,Daftar_Menu!$A$2:$A$13,0))</f>
        <v>Makanan</v>
      </c>
      <c r="I804" s="2" t="str">
        <f aca="false">CHOOSE(WEEKDAY(B804,2),"Senin","Selasa","Rabu","Kamis","Jumat","Sabtu","Minggu")</f>
        <v>Jumat</v>
      </c>
      <c r="J804" s="2" t="n">
        <f aca="false">HOUR(E804)</f>
        <v>11</v>
      </c>
      <c r="K804" s="2" t="str">
        <f aca="false">IF(J804&lt;11,"Pagi",IF(J804&lt;17,"Siang","Malam"))</f>
        <v>Siang</v>
      </c>
      <c r="L804" s="2" t="n">
        <f aca="false">IF(A804&lt;&gt;A803,1,0)</f>
        <v>1</v>
      </c>
    </row>
    <row r="805" customFormat="false" ht="15" hidden="false" customHeight="false" outlineLevel="0" collapsed="false">
      <c r="A805" s="2" t="s">
        <v>929</v>
      </c>
      <c r="B805" s="13" t="n">
        <v>46276</v>
      </c>
      <c r="C805" s="2" t="s">
        <v>108</v>
      </c>
      <c r="D805" s="2" t="n">
        <v>2</v>
      </c>
      <c r="E805" s="15" t="n">
        <v>0.4625</v>
      </c>
      <c r="F805" s="7" t="n">
        <v>20000</v>
      </c>
      <c r="G805" s="7" t="n">
        <f aca="false">D805*F805</f>
        <v>40000</v>
      </c>
      <c r="H805" s="2" t="str">
        <f aca="false">INDEX(Daftar_Menu!$B$2:$B$13,MATCH(C805,Daftar_Menu!$A$2:$A$13,0))</f>
        <v>Makanan</v>
      </c>
      <c r="I805" s="2" t="str">
        <f aca="false">CHOOSE(WEEKDAY(B805,2),"Senin","Selasa","Rabu","Kamis","Jumat","Sabtu","Minggu")</f>
        <v>Jumat</v>
      </c>
      <c r="J805" s="2" t="n">
        <f aca="false">HOUR(E805)</f>
        <v>11</v>
      </c>
      <c r="K805" s="2" t="str">
        <f aca="false">IF(J805&lt;11,"Pagi",IF(J805&lt;17,"Siang","Malam"))</f>
        <v>Siang</v>
      </c>
      <c r="L805" s="2" t="n">
        <f aca="false">IF(A805&lt;&gt;A804,1,0)</f>
        <v>1</v>
      </c>
    </row>
    <row r="806" customFormat="false" ht="15" hidden="false" customHeight="false" outlineLevel="0" collapsed="false">
      <c r="A806" s="2" t="s">
        <v>930</v>
      </c>
      <c r="B806" s="13" t="n">
        <v>46276</v>
      </c>
      <c r="C806" s="2" t="s">
        <v>79</v>
      </c>
      <c r="D806" s="2" t="n">
        <v>1</v>
      </c>
      <c r="E806" s="15" t="n">
        <v>0.470138888888889</v>
      </c>
      <c r="F806" s="7" t="n">
        <v>16000</v>
      </c>
      <c r="G806" s="7" t="n">
        <f aca="false">D806*F806</f>
        <v>16000</v>
      </c>
      <c r="H806" s="2" t="str">
        <f aca="false">INDEX(Daftar_Menu!$B$2:$B$13,MATCH(C806,Daftar_Menu!$A$2:$A$13,0))</f>
        <v>Makanan</v>
      </c>
      <c r="I806" s="2" t="str">
        <f aca="false">CHOOSE(WEEKDAY(B806,2),"Senin","Selasa","Rabu","Kamis","Jumat","Sabtu","Minggu")</f>
        <v>Jumat</v>
      </c>
      <c r="J806" s="2" t="n">
        <f aca="false">HOUR(E806)</f>
        <v>11</v>
      </c>
      <c r="K806" s="2" t="str">
        <f aca="false">IF(J806&lt;11,"Pagi",IF(J806&lt;17,"Siang","Malam"))</f>
        <v>Siang</v>
      </c>
      <c r="L806" s="2" t="n">
        <f aca="false">IF(A806&lt;&gt;A805,1,0)</f>
        <v>1</v>
      </c>
    </row>
    <row r="807" customFormat="false" ht="15" hidden="false" customHeight="false" outlineLevel="0" collapsed="false">
      <c r="A807" s="2" t="s">
        <v>931</v>
      </c>
      <c r="B807" s="13" t="n">
        <v>46276</v>
      </c>
      <c r="C807" s="2" t="s">
        <v>126</v>
      </c>
      <c r="D807" s="2" t="n">
        <v>2</v>
      </c>
      <c r="E807" s="15" t="n">
        <v>0.474305555555556</v>
      </c>
      <c r="F807" s="7" t="n">
        <v>3000</v>
      </c>
      <c r="G807" s="7" t="n">
        <f aca="false">D807*F807</f>
        <v>6000</v>
      </c>
      <c r="H807" s="2" t="str">
        <f aca="false">INDEX(Daftar_Menu!$B$2:$B$13,MATCH(C807,Daftar_Menu!$A$2:$A$13,0))</f>
        <v>Minuman</v>
      </c>
      <c r="I807" s="2" t="str">
        <f aca="false">CHOOSE(WEEKDAY(B807,2),"Senin","Selasa","Rabu","Kamis","Jumat","Sabtu","Minggu")</f>
        <v>Jumat</v>
      </c>
      <c r="J807" s="2" t="n">
        <f aca="false">HOUR(E807)</f>
        <v>11</v>
      </c>
      <c r="K807" s="2" t="str">
        <f aca="false">IF(J807&lt;11,"Pagi",IF(J807&lt;17,"Siang","Malam"))</f>
        <v>Siang</v>
      </c>
      <c r="L807" s="2" t="n">
        <f aca="false">IF(A807&lt;&gt;A806,1,0)</f>
        <v>1</v>
      </c>
    </row>
    <row r="808" customFormat="false" ht="15" hidden="false" customHeight="false" outlineLevel="0" collapsed="false">
      <c r="A808" s="2" t="s">
        <v>931</v>
      </c>
      <c r="B808" s="13" t="n">
        <v>46276</v>
      </c>
      <c r="C808" s="2" t="s">
        <v>89</v>
      </c>
      <c r="D808" s="2" t="n">
        <v>2</v>
      </c>
      <c r="E808" s="15" t="n">
        <v>0.474305555555556</v>
      </c>
      <c r="F808" s="7" t="n">
        <v>14000</v>
      </c>
      <c r="G808" s="7" t="n">
        <f aca="false">D808*F808</f>
        <v>28000</v>
      </c>
      <c r="H808" s="2" t="str">
        <f aca="false">INDEX(Daftar_Menu!$B$2:$B$13,MATCH(C808,Daftar_Menu!$A$2:$A$13,0))</f>
        <v>Makanan</v>
      </c>
      <c r="I808" s="2" t="str">
        <f aca="false">CHOOSE(WEEKDAY(B808,2),"Senin","Selasa","Rabu","Kamis","Jumat","Sabtu","Minggu")</f>
        <v>Jumat</v>
      </c>
      <c r="J808" s="2" t="n">
        <f aca="false">HOUR(E808)</f>
        <v>11</v>
      </c>
      <c r="K808" s="2" t="str">
        <f aca="false">IF(J808&lt;11,"Pagi",IF(J808&lt;17,"Siang","Malam"))</f>
        <v>Siang</v>
      </c>
      <c r="L808" s="2" t="n">
        <f aca="false">IF(A808&lt;&gt;A807,1,0)</f>
        <v>0</v>
      </c>
    </row>
    <row r="809" customFormat="false" ht="15" hidden="false" customHeight="false" outlineLevel="0" collapsed="false">
      <c r="A809" s="2" t="s">
        <v>931</v>
      </c>
      <c r="B809" s="13" t="n">
        <v>46276</v>
      </c>
      <c r="C809" s="2" t="s">
        <v>84</v>
      </c>
      <c r="D809" s="2" t="n">
        <v>3</v>
      </c>
      <c r="E809" s="15" t="n">
        <v>0.474305555555556</v>
      </c>
      <c r="F809" s="7" t="n">
        <v>5000</v>
      </c>
      <c r="G809" s="7" t="n">
        <f aca="false">D809*F809</f>
        <v>15000</v>
      </c>
      <c r="H809" s="2" t="str">
        <f aca="false">INDEX(Daftar_Menu!$B$2:$B$13,MATCH(C809,Daftar_Menu!$A$2:$A$13,0))</f>
        <v>Minuman</v>
      </c>
      <c r="I809" s="2" t="str">
        <f aca="false">CHOOSE(WEEKDAY(B809,2),"Senin","Selasa","Rabu","Kamis","Jumat","Sabtu","Minggu")</f>
        <v>Jumat</v>
      </c>
      <c r="J809" s="2" t="n">
        <f aca="false">HOUR(E809)</f>
        <v>11</v>
      </c>
      <c r="K809" s="2" t="str">
        <f aca="false">IF(J809&lt;11,"Pagi",IF(J809&lt;17,"Siang","Malam"))</f>
        <v>Siang</v>
      </c>
      <c r="L809" s="2" t="n">
        <f aca="false">IF(A809&lt;&gt;A808,1,0)</f>
        <v>0</v>
      </c>
    </row>
    <row r="810" customFormat="false" ht="15" hidden="false" customHeight="false" outlineLevel="0" collapsed="false">
      <c r="A810" s="2" t="s">
        <v>932</v>
      </c>
      <c r="B810" s="13" t="n">
        <v>46276</v>
      </c>
      <c r="C810" s="2" t="s">
        <v>112</v>
      </c>
      <c r="D810" s="2" t="n">
        <v>1</v>
      </c>
      <c r="E810" s="15" t="n">
        <v>0.477777777777778</v>
      </c>
      <c r="F810" s="7" t="n">
        <v>10000</v>
      </c>
      <c r="G810" s="7" t="n">
        <f aca="false">D810*F810</f>
        <v>10000</v>
      </c>
      <c r="H810" s="2" t="str">
        <f aca="false">INDEX(Daftar_Menu!$B$2:$B$13,MATCH(C810,Daftar_Menu!$A$2:$A$13,0))</f>
        <v>Minuman</v>
      </c>
      <c r="I810" s="2" t="str">
        <f aca="false">CHOOSE(WEEKDAY(B810,2),"Senin","Selasa","Rabu","Kamis","Jumat","Sabtu","Minggu")</f>
        <v>Jumat</v>
      </c>
      <c r="J810" s="2" t="n">
        <f aca="false">HOUR(E810)</f>
        <v>11</v>
      </c>
      <c r="K810" s="2" t="str">
        <f aca="false">IF(J810&lt;11,"Pagi",IF(J810&lt;17,"Siang","Malam"))</f>
        <v>Siang</v>
      </c>
      <c r="L810" s="2" t="n">
        <f aca="false">IF(A810&lt;&gt;A809,1,0)</f>
        <v>1</v>
      </c>
    </row>
    <row r="811" customFormat="false" ht="15" hidden="false" customHeight="false" outlineLevel="0" collapsed="false">
      <c r="A811" s="2" t="s">
        <v>934</v>
      </c>
      <c r="B811" s="13" t="n">
        <v>46276</v>
      </c>
      <c r="C811" s="2" t="s">
        <v>101</v>
      </c>
      <c r="D811" s="2" t="n">
        <v>1</v>
      </c>
      <c r="E811" s="15" t="n">
        <v>0.486111111111111</v>
      </c>
      <c r="F811" s="7" t="n">
        <v>18000</v>
      </c>
      <c r="G811" s="7" t="n">
        <f aca="false">D811*F811</f>
        <v>18000</v>
      </c>
      <c r="H811" s="2" t="str">
        <f aca="false">INDEX(Daftar_Menu!$B$2:$B$13,MATCH(C811,Daftar_Menu!$A$2:$A$13,0))</f>
        <v>Makanan</v>
      </c>
      <c r="I811" s="2" t="str">
        <f aca="false">CHOOSE(WEEKDAY(B811,2),"Senin","Selasa","Rabu","Kamis","Jumat","Sabtu","Minggu")</f>
        <v>Jumat</v>
      </c>
      <c r="J811" s="2" t="n">
        <f aca="false">HOUR(E811)</f>
        <v>11</v>
      </c>
      <c r="K811" s="2" t="str">
        <f aca="false">IF(J811&lt;11,"Pagi",IF(J811&lt;17,"Siang","Malam"))</f>
        <v>Siang</v>
      </c>
      <c r="L811" s="2" t="n">
        <f aca="false">IF(A811&lt;&gt;A810,1,0)</f>
        <v>1</v>
      </c>
    </row>
    <row r="812" customFormat="false" ht="15" hidden="false" customHeight="false" outlineLevel="0" collapsed="false">
      <c r="A812" s="2" t="s">
        <v>934</v>
      </c>
      <c r="B812" s="13" t="n">
        <v>46276</v>
      </c>
      <c r="C812" s="2" t="s">
        <v>84</v>
      </c>
      <c r="D812" s="2" t="n">
        <v>1</v>
      </c>
      <c r="E812" s="15" t="n">
        <v>0.486111111111111</v>
      </c>
      <c r="F812" s="7" t="n">
        <v>5000</v>
      </c>
      <c r="G812" s="7" t="n">
        <f aca="false">D812*F812</f>
        <v>5000</v>
      </c>
      <c r="H812" s="2" t="str">
        <f aca="false">INDEX(Daftar_Menu!$B$2:$B$13,MATCH(C812,Daftar_Menu!$A$2:$A$13,0))</f>
        <v>Minuman</v>
      </c>
      <c r="I812" s="2" t="str">
        <f aca="false">CHOOSE(WEEKDAY(B812,2),"Senin","Selasa","Rabu","Kamis","Jumat","Sabtu","Minggu")</f>
        <v>Jumat</v>
      </c>
      <c r="J812" s="2" t="n">
        <f aca="false">HOUR(E812)</f>
        <v>11</v>
      </c>
      <c r="K812" s="2" t="str">
        <f aca="false">IF(J812&lt;11,"Pagi",IF(J812&lt;17,"Siang","Malam"))</f>
        <v>Siang</v>
      </c>
      <c r="L812" s="2" t="n">
        <f aca="false">IF(A812&lt;&gt;A811,1,0)</f>
        <v>0</v>
      </c>
    </row>
    <row r="813" customFormat="false" ht="15" hidden="false" customHeight="false" outlineLevel="0" collapsed="false">
      <c r="A813" s="2" t="s">
        <v>935</v>
      </c>
      <c r="B813" s="13" t="n">
        <v>46276</v>
      </c>
      <c r="C813" s="2" t="s">
        <v>126</v>
      </c>
      <c r="D813" s="2" t="n">
        <v>2</v>
      </c>
      <c r="E813" s="15" t="n">
        <v>0.5</v>
      </c>
      <c r="F813" s="7" t="n">
        <v>3000</v>
      </c>
      <c r="G813" s="7" t="n">
        <f aca="false">D813*F813</f>
        <v>6000</v>
      </c>
      <c r="H813" s="2" t="str">
        <f aca="false">INDEX(Daftar_Menu!$B$2:$B$13,MATCH(C813,Daftar_Menu!$A$2:$A$13,0))</f>
        <v>Minuman</v>
      </c>
      <c r="I813" s="2" t="str">
        <f aca="false">CHOOSE(WEEKDAY(B813,2),"Senin","Selasa","Rabu","Kamis","Jumat","Sabtu","Minggu")</f>
        <v>Jumat</v>
      </c>
      <c r="J813" s="2" t="n">
        <f aca="false">HOUR(E813)</f>
        <v>12</v>
      </c>
      <c r="K813" s="2" t="str">
        <f aca="false">IF(J813&lt;11,"Pagi",IF(J813&lt;17,"Siang","Malam"))</f>
        <v>Siang</v>
      </c>
      <c r="L813" s="2" t="n">
        <f aca="false">IF(A813&lt;&gt;A812,1,0)</f>
        <v>1</v>
      </c>
    </row>
    <row r="814" customFormat="false" ht="15" hidden="false" customHeight="false" outlineLevel="0" collapsed="false">
      <c r="A814" s="2" t="s">
        <v>935</v>
      </c>
      <c r="B814" s="13" t="n">
        <v>46276</v>
      </c>
      <c r="C814" s="2" t="s">
        <v>81</v>
      </c>
      <c r="D814" s="2" t="n">
        <v>1</v>
      </c>
      <c r="E814" s="15" t="n">
        <v>0.5</v>
      </c>
      <c r="F814" s="7" t="n">
        <v>15000</v>
      </c>
      <c r="G814" s="7" t="n">
        <f aca="false">D814*F814</f>
        <v>15000</v>
      </c>
      <c r="H814" s="2" t="str">
        <f aca="false">INDEX(Daftar_Menu!$B$2:$B$13,MATCH(C814,Daftar_Menu!$A$2:$A$13,0))</f>
        <v>Makanan</v>
      </c>
      <c r="I814" s="2" t="str">
        <f aca="false">CHOOSE(WEEKDAY(B814,2),"Senin","Selasa","Rabu","Kamis","Jumat","Sabtu","Minggu")</f>
        <v>Jumat</v>
      </c>
      <c r="J814" s="2" t="n">
        <f aca="false">HOUR(E814)</f>
        <v>12</v>
      </c>
      <c r="K814" s="2" t="str">
        <f aca="false">IF(J814&lt;11,"Pagi",IF(J814&lt;17,"Siang","Malam"))</f>
        <v>Siang</v>
      </c>
      <c r="L814" s="2" t="n">
        <f aca="false">IF(A814&lt;&gt;A813,1,0)</f>
        <v>0</v>
      </c>
    </row>
    <row r="815" customFormat="false" ht="15" hidden="false" customHeight="false" outlineLevel="0" collapsed="false">
      <c r="A815" s="2" t="s">
        <v>935</v>
      </c>
      <c r="B815" s="13" t="n">
        <v>46276</v>
      </c>
      <c r="C815" s="2" t="s">
        <v>101</v>
      </c>
      <c r="D815" s="2" t="n">
        <v>1</v>
      </c>
      <c r="E815" s="15" t="n">
        <v>0.5</v>
      </c>
      <c r="F815" s="7" t="n">
        <v>18000</v>
      </c>
      <c r="G815" s="7" t="n">
        <f aca="false">D815*F815</f>
        <v>18000</v>
      </c>
      <c r="H815" s="2" t="str">
        <f aca="false">INDEX(Daftar_Menu!$B$2:$B$13,MATCH(C815,Daftar_Menu!$A$2:$A$13,0))</f>
        <v>Makanan</v>
      </c>
      <c r="I815" s="2" t="str">
        <f aca="false">CHOOSE(WEEKDAY(B815,2),"Senin","Selasa","Rabu","Kamis","Jumat","Sabtu","Minggu")</f>
        <v>Jumat</v>
      </c>
      <c r="J815" s="2" t="n">
        <f aca="false">HOUR(E815)</f>
        <v>12</v>
      </c>
      <c r="K815" s="2" t="str">
        <f aca="false">IF(J815&lt;11,"Pagi",IF(J815&lt;17,"Siang","Malam"))</f>
        <v>Siang</v>
      </c>
      <c r="L815" s="2" t="n">
        <f aca="false">IF(A815&lt;&gt;A814,1,0)</f>
        <v>0</v>
      </c>
    </row>
    <row r="816" customFormat="false" ht="15" hidden="false" customHeight="false" outlineLevel="0" collapsed="false">
      <c r="A816" s="2" t="s">
        <v>937</v>
      </c>
      <c r="B816" s="13" t="n">
        <v>46276</v>
      </c>
      <c r="C816" s="2" t="s">
        <v>89</v>
      </c>
      <c r="D816" s="2" t="n">
        <v>1</v>
      </c>
      <c r="E816" s="15" t="n">
        <v>0.502083333333333</v>
      </c>
      <c r="F816" s="7" t="n">
        <v>14000</v>
      </c>
      <c r="G816" s="7" t="n">
        <f aca="false">D816*F816</f>
        <v>14000</v>
      </c>
      <c r="H816" s="2" t="str">
        <f aca="false">INDEX(Daftar_Menu!$B$2:$B$13,MATCH(C816,Daftar_Menu!$A$2:$A$13,0))</f>
        <v>Makanan</v>
      </c>
      <c r="I816" s="2" t="str">
        <f aca="false">CHOOSE(WEEKDAY(B816,2),"Senin","Selasa","Rabu","Kamis","Jumat","Sabtu","Minggu")</f>
        <v>Jumat</v>
      </c>
      <c r="J816" s="2" t="n">
        <f aca="false">HOUR(E816)</f>
        <v>12</v>
      </c>
      <c r="K816" s="2" t="str">
        <f aca="false">IF(J816&lt;11,"Pagi",IF(J816&lt;17,"Siang","Malam"))</f>
        <v>Siang</v>
      </c>
      <c r="L816" s="2" t="n">
        <f aca="false">IF(A816&lt;&gt;A815,1,0)</f>
        <v>1</v>
      </c>
    </row>
    <row r="817" customFormat="false" ht="15" hidden="false" customHeight="false" outlineLevel="0" collapsed="false">
      <c r="A817" s="2" t="s">
        <v>937</v>
      </c>
      <c r="B817" s="13" t="n">
        <v>46276</v>
      </c>
      <c r="C817" s="2" t="s">
        <v>132</v>
      </c>
      <c r="D817" s="2" t="n">
        <v>1</v>
      </c>
      <c r="E817" s="15" t="n">
        <v>0.502083333333333</v>
      </c>
      <c r="F817" s="7" t="n">
        <v>15000</v>
      </c>
      <c r="G817" s="7" t="n">
        <f aca="false">D817*F817</f>
        <v>15000</v>
      </c>
      <c r="H817" s="2" t="str">
        <f aca="false">INDEX(Daftar_Menu!$B$2:$B$13,MATCH(C817,Daftar_Menu!$A$2:$A$13,0))</f>
        <v>Makanan</v>
      </c>
      <c r="I817" s="2" t="str">
        <f aca="false">CHOOSE(WEEKDAY(B817,2),"Senin","Selasa","Rabu","Kamis","Jumat","Sabtu","Minggu")</f>
        <v>Jumat</v>
      </c>
      <c r="J817" s="2" t="n">
        <f aca="false">HOUR(E817)</f>
        <v>12</v>
      </c>
      <c r="K817" s="2" t="str">
        <f aca="false">IF(J817&lt;11,"Pagi",IF(J817&lt;17,"Siang","Malam"))</f>
        <v>Siang</v>
      </c>
      <c r="L817" s="2" t="n">
        <f aca="false">IF(A817&lt;&gt;A816,1,0)</f>
        <v>0</v>
      </c>
    </row>
    <row r="818" customFormat="false" ht="15" hidden="false" customHeight="false" outlineLevel="0" collapsed="false">
      <c r="A818" s="2" t="s">
        <v>937</v>
      </c>
      <c r="B818" s="13" t="n">
        <v>46276</v>
      </c>
      <c r="C818" s="2" t="s">
        <v>101</v>
      </c>
      <c r="D818" s="2" t="n">
        <v>2</v>
      </c>
      <c r="E818" s="15" t="n">
        <v>0.502083333333333</v>
      </c>
      <c r="F818" s="7" t="n">
        <v>18000</v>
      </c>
      <c r="G818" s="7" t="n">
        <f aca="false">D818*F818</f>
        <v>36000</v>
      </c>
      <c r="H818" s="2" t="str">
        <f aca="false">INDEX(Daftar_Menu!$B$2:$B$13,MATCH(C818,Daftar_Menu!$A$2:$A$13,0))</f>
        <v>Makanan</v>
      </c>
      <c r="I818" s="2" t="str">
        <f aca="false">CHOOSE(WEEKDAY(B818,2),"Senin","Selasa","Rabu","Kamis","Jumat","Sabtu","Minggu")</f>
        <v>Jumat</v>
      </c>
      <c r="J818" s="2" t="n">
        <f aca="false">HOUR(E818)</f>
        <v>12</v>
      </c>
      <c r="K818" s="2" t="str">
        <f aca="false">IF(J818&lt;11,"Pagi",IF(J818&lt;17,"Siang","Malam"))</f>
        <v>Siang</v>
      </c>
      <c r="L818" s="2" t="n">
        <f aca="false">IF(A818&lt;&gt;A817,1,0)</f>
        <v>0</v>
      </c>
    </row>
    <row r="819" customFormat="false" ht="15" hidden="false" customHeight="false" outlineLevel="0" collapsed="false">
      <c r="A819" s="2" t="s">
        <v>939</v>
      </c>
      <c r="B819" s="13" t="n">
        <v>46276</v>
      </c>
      <c r="C819" s="2" t="s">
        <v>108</v>
      </c>
      <c r="D819" s="2" t="n">
        <v>1</v>
      </c>
      <c r="E819" s="15" t="n">
        <v>0.517361111111111</v>
      </c>
      <c r="F819" s="7" t="n">
        <v>20000</v>
      </c>
      <c r="G819" s="7" t="n">
        <f aca="false">D819*F819</f>
        <v>20000</v>
      </c>
      <c r="H819" s="2" t="str">
        <f aca="false">INDEX(Daftar_Menu!$B$2:$B$13,MATCH(C819,Daftar_Menu!$A$2:$A$13,0))</f>
        <v>Makanan</v>
      </c>
      <c r="I819" s="2" t="str">
        <f aca="false">CHOOSE(WEEKDAY(B819,2),"Senin","Selasa","Rabu","Kamis","Jumat","Sabtu","Minggu")</f>
        <v>Jumat</v>
      </c>
      <c r="J819" s="2" t="n">
        <f aca="false">HOUR(E819)</f>
        <v>12</v>
      </c>
      <c r="K819" s="2" t="str">
        <f aca="false">IF(J819&lt;11,"Pagi",IF(J819&lt;17,"Siang","Malam"))</f>
        <v>Siang</v>
      </c>
      <c r="L819" s="2" t="n">
        <f aca="false">IF(A819&lt;&gt;A818,1,0)</f>
        <v>1</v>
      </c>
    </row>
    <row r="820" customFormat="false" ht="15" hidden="false" customHeight="false" outlineLevel="0" collapsed="false">
      <c r="A820" s="2" t="s">
        <v>940</v>
      </c>
      <c r="B820" s="13" t="n">
        <v>46276</v>
      </c>
      <c r="C820" s="2" t="s">
        <v>79</v>
      </c>
      <c r="D820" s="2" t="n">
        <v>1</v>
      </c>
      <c r="E820" s="15" t="n">
        <v>0.528472222222222</v>
      </c>
      <c r="F820" s="7" t="n">
        <v>16000</v>
      </c>
      <c r="G820" s="7" t="n">
        <f aca="false">D820*F820</f>
        <v>16000</v>
      </c>
      <c r="H820" s="2" t="str">
        <f aca="false">INDEX(Daftar_Menu!$B$2:$B$13,MATCH(C820,Daftar_Menu!$A$2:$A$13,0))</f>
        <v>Makanan</v>
      </c>
      <c r="I820" s="2" t="str">
        <f aca="false">CHOOSE(WEEKDAY(B820,2),"Senin","Selasa","Rabu","Kamis","Jumat","Sabtu","Minggu")</f>
        <v>Jumat</v>
      </c>
      <c r="J820" s="2" t="n">
        <f aca="false">HOUR(E820)</f>
        <v>12</v>
      </c>
      <c r="K820" s="2" t="str">
        <f aca="false">IF(J820&lt;11,"Pagi",IF(J820&lt;17,"Siang","Malam"))</f>
        <v>Siang</v>
      </c>
      <c r="L820" s="2" t="n">
        <f aca="false">IF(A820&lt;&gt;A819,1,0)</f>
        <v>1</v>
      </c>
    </row>
    <row r="821" customFormat="false" ht="15" hidden="false" customHeight="false" outlineLevel="0" collapsed="false">
      <c r="A821" s="2" t="s">
        <v>940</v>
      </c>
      <c r="B821" s="13" t="n">
        <v>46276</v>
      </c>
      <c r="C821" s="2" t="s">
        <v>84</v>
      </c>
      <c r="D821" s="2" t="n">
        <v>1</v>
      </c>
      <c r="E821" s="15" t="n">
        <v>0.528472222222222</v>
      </c>
      <c r="F821" s="7" t="n">
        <v>5000</v>
      </c>
      <c r="G821" s="7" t="n">
        <f aca="false">D821*F821</f>
        <v>5000</v>
      </c>
      <c r="H821" s="2" t="str">
        <f aca="false">INDEX(Daftar_Menu!$B$2:$B$13,MATCH(C821,Daftar_Menu!$A$2:$A$13,0))</f>
        <v>Minuman</v>
      </c>
      <c r="I821" s="2" t="str">
        <f aca="false">CHOOSE(WEEKDAY(B821,2),"Senin","Selasa","Rabu","Kamis","Jumat","Sabtu","Minggu")</f>
        <v>Jumat</v>
      </c>
      <c r="J821" s="2" t="n">
        <f aca="false">HOUR(E821)</f>
        <v>12</v>
      </c>
      <c r="K821" s="2" t="str">
        <f aca="false">IF(J821&lt;11,"Pagi",IF(J821&lt;17,"Siang","Malam"))</f>
        <v>Siang</v>
      </c>
      <c r="L821" s="2" t="n">
        <f aca="false">IF(A821&lt;&gt;A820,1,0)</f>
        <v>0</v>
      </c>
    </row>
    <row r="822" customFormat="false" ht="15" hidden="false" customHeight="false" outlineLevel="0" collapsed="false">
      <c r="A822" s="2" t="s">
        <v>942</v>
      </c>
      <c r="B822" s="13" t="n">
        <v>46276</v>
      </c>
      <c r="C822" s="2" t="s">
        <v>81</v>
      </c>
      <c r="D822" s="2" t="n">
        <v>1</v>
      </c>
      <c r="E822" s="15" t="n">
        <v>0.535416666666667</v>
      </c>
      <c r="F822" s="7" t="n">
        <v>15000</v>
      </c>
      <c r="G822" s="7" t="n">
        <f aca="false">D822*F822</f>
        <v>15000</v>
      </c>
      <c r="H822" s="2" t="str">
        <f aca="false">INDEX(Daftar_Menu!$B$2:$B$13,MATCH(C822,Daftar_Menu!$A$2:$A$13,0))</f>
        <v>Makanan</v>
      </c>
      <c r="I822" s="2" t="str">
        <f aca="false">CHOOSE(WEEKDAY(B822,2),"Senin","Selasa","Rabu","Kamis","Jumat","Sabtu","Minggu")</f>
        <v>Jumat</v>
      </c>
      <c r="J822" s="2" t="n">
        <f aca="false">HOUR(E822)</f>
        <v>12</v>
      </c>
      <c r="K822" s="2" t="str">
        <f aca="false">IF(J822&lt;11,"Pagi",IF(J822&lt;17,"Siang","Malam"))</f>
        <v>Siang</v>
      </c>
      <c r="L822" s="2" t="n">
        <f aca="false">IF(A822&lt;&gt;A821,1,0)</f>
        <v>1</v>
      </c>
    </row>
    <row r="823" customFormat="false" ht="15" hidden="false" customHeight="false" outlineLevel="0" collapsed="false">
      <c r="A823" s="2" t="s">
        <v>944</v>
      </c>
      <c r="B823" s="13" t="n">
        <v>46276</v>
      </c>
      <c r="C823" s="2" t="s">
        <v>186</v>
      </c>
      <c r="D823" s="2" t="n">
        <v>1</v>
      </c>
      <c r="E823" s="15" t="n">
        <v>0.536111111111111</v>
      </c>
      <c r="F823" s="7" t="n">
        <v>7000</v>
      </c>
      <c r="G823" s="7" t="n">
        <f aca="false">D823*F823</f>
        <v>7000</v>
      </c>
      <c r="H823" s="2" t="str">
        <f aca="false">INDEX(Daftar_Menu!$B$2:$B$13,MATCH(C823,Daftar_Menu!$A$2:$A$13,0))</f>
        <v>Minuman</v>
      </c>
      <c r="I823" s="2" t="str">
        <f aca="false">CHOOSE(WEEKDAY(B823,2),"Senin","Selasa","Rabu","Kamis","Jumat","Sabtu","Minggu")</f>
        <v>Jumat</v>
      </c>
      <c r="J823" s="2" t="n">
        <f aca="false">HOUR(E823)</f>
        <v>12</v>
      </c>
      <c r="K823" s="2" t="str">
        <f aca="false">IF(J823&lt;11,"Pagi",IF(J823&lt;17,"Siang","Malam"))</f>
        <v>Siang</v>
      </c>
      <c r="L823" s="2" t="n">
        <f aca="false">IF(A823&lt;&gt;A822,1,0)</f>
        <v>1</v>
      </c>
    </row>
    <row r="824" customFormat="false" ht="15" hidden="false" customHeight="false" outlineLevel="0" collapsed="false">
      <c r="A824" s="2" t="s">
        <v>944</v>
      </c>
      <c r="B824" s="13" t="n">
        <v>46276</v>
      </c>
      <c r="C824" s="2" t="s">
        <v>101</v>
      </c>
      <c r="D824" s="2" t="n">
        <v>1</v>
      </c>
      <c r="E824" s="15" t="n">
        <v>0.536111111111111</v>
      </c>
      <c r="F824" s="7" t="n">
        <v>18000</v>
      </c>
      <c r="G824" s="7" t="n">
        <f aca="false">D824*F824</f>
        <v>18000</v>
      </c>
      <c r="H824" s="2" t="str">
        <f aca="false">INDEX(Daftar_Menu!$B$2:$B$13,MATCH(C824,Daftar_Menu!$A$2:$A$13,0))</f>
        <v>Makanan</v>
      </c>
      <c r="I824" s="2" t="str">
        <f aca="false">CHOOSE(WEEKDAY(B824,2),"Senin","Selasa","Rabu","Kamis","Jumat","Sabtu","Minggu")</f>
        <v>Jumat</v>
      </c>
      <c r="J824" s="2" t="n">
        <f aca="false">HOUR(E824)</f>
        <v>12</v>
      </c>
      <c r="K824" s="2" t="str">
        <f aca="false">IF(J824&lt;11,"Pagi",IF(J824&lt;17,"Siang","Malam"))</f>
        <v>Siang</v>
      </c>
      <c r="L824" s="2" t="n">
        <f aca="false">IF(A824&lt;&gt;A823,1,0)</f>
        <v>0</v>
      </c>
    </row>
    <row r="825" customFormat="false" ht="15" hidden="false" customHeight="false" outlineLevel="0" collapsed="false">
      <c r="A825" s="2" t="s">
        <v>944</v>
      </c>
      <c r="B825" s="13" t="n">
        <v>46276</v>
      </c>
      <c r="C825" s="2" t="s">
        <v>79</v>
      </c>
      <c r="D825" s="2" t="n">
        <v>1</v>
      </c>
      <c r="E825" s="15" t="n">
        <v>0.536111111111111</v>
      </c>
      <c r="F825" s="7" t="n">
        <v>16000</v>
      </c>
      <c r="G825" s="7" t="n">
        <f aca="false">D825*F825</f>
        <v>16000</v>
      </c>
      <c r="H825" s="2" t="str">
        <f aca="false">INDEX(Daftar_Menu!$B$2:$B$13,MATCH(C825,Daftar_Menu!$A$2:$A$13,0))</f>
        <v>Makanan</v>
      </c>
      <c r="I825" s="2" t="str">
        <f aca="false">CHOOSE(WEEKDAY(B825,2),"Senin","Selasa","Rabu","Kamis","Jumat","Sabtu","Minggu")</f>
        <v>Jumat</v>
      </c>
      <c r="J825" s="2" t="n">
        <f aca="false">HOUR(E825)</f>
        <v>12</v>
      </c>
      <c r="K825" s="2" t="str">
        <f aca="false">IF(J825&lt;11,"Pagi",IF(J825&lt;17,"Siang","Malam"))</f>
        <v>Siang</v>
      </c>
      <c r="L825" s="2" t="n">
        <f aca="false">IF(A825&lt;&gt;A824,1,0)</f>
        <v>0</v>
      </c>
    </row>
    <row r="826" customFormat="false" ht="15" hidden="false" customHeight="false" outlineLevel="0" collapsed="false">
      <c r="A826" s="2" t="s">
        <v>945</v>
      </c>
      <c r="B826" s="13" t="n">
        <v>46276</v>
      </c>
      <c r="C826" s="2" t="s">
        <v>101</v>
      </c>
      <c r="D826" s="2" t="n">
        <v>1</v>
      </c>
      <c r="E826" s="15" t="n">
        <v>0.538194444444444</v>
      </c>
      <c r="F826" s="7" t="n">
        <v>18000</v>
      </c>
      <c r="G826" s="7" t="n">
        <f aca="false">D826*F826</f>
        <v>18000</v>
      </c>
      <c r="H826" s="2" t="str">
        <f aca="false">INDEX(Daftar_Menu!$B$2:$B$13,MATCH(C826,Daftar_Menu!$A$2:$A$13,0))</f>
        <v>Makanan</v>
      </c>
      <c r="I826" s="2" t="str">
        <f aca="false">CHOOSE(WEEKDAY(B826,2),"Senin","Selasa","Rabu","Kamis","Jumat","Sabtu","Minggu")</f>
        <v>Jumat</v>
      </c>
      <c r="J826" s="2" t="n">
        <f aca="false">HOUR(E826)</f>
        <v>12</v>
      </c>
      <c r="K826" s="2" t="str">
        <f aca="false">IF(J826&lt;11,"Pagi",IF(J826&lt;17,"Siang","Malam"))</f>
        <v>Siang</v>
      </c>
      <c r="L826" s="2" t="n">
        <f aca="false">IF(A826&lt;&gt;A825,1,0)</f>
        <v>1</v>
      </c>
    </row>
    <row r="827" customFormat="false" ht="15" hidden="false" customHeight="false" outlineLevel="0" collapsed="false">
      <c r="A827" s="2" t="s">
        <v>947</v>
      </c>
      <c r="B827" s="13" t="n">
        <v>46276</v>
      </c>
      <c r="C827" s="2" t="s">
        <v>84</v>
      </c>
      <c r="D827" s="2" t="n">
        <v>2</v>
      </c>
      <c r="E827" s="15" t="n">
        <v>0.538888888888889</v>
      </c>
      <c r="F827" s="7" t="n">
        <v>5000</v>
      </c>
      <c r="G827" s="7" t="n">
        <f aca="false">D827*F827</f>
        <v>10000</v>
      </c>
      <c r="H827" s="2" t="str">
        <f aca="false">INDEX(Daftar_Menu!$B$2:$B$13,MATCH(C827,Daftar_Menu!$A$2:$A$13,0))</f>
        <v>Minuman</v>
      </c>
      <c r="I827" s="2" t="str">
        <f aca="false">CHOOSE(WEEKDAY(B827,2),"Senin","Selasa","Rabu","Kamis","Jumat","Sabtu","Minggu")</f>
        <v>Jumat</v>
      </c>
      <c r="J827" s="2" t="n">
        <f aca="false">HOUR(E827)</f>
        <v>12</v>
      </c>
      <c r="K827" s="2" t="str">
        <f aca="false">IF(J827&lt;11,"Pagi",IF(J827&lt;17,"Siang","Malam"))</f>
        <v>Siang</v>
      </c>
      <c r="L827" s="2" t="n">
        <f aca="false">IF(A827&lt;&gt;A826,1,0)</f>
        <v>1</v>
      </c>
    </row>
    <row r="828" customFormat="false" ht="15" hidden="false" customHeight="false" outlineLevel="0" collapsed="false">
      <c r="A828" s="2" t="s">
        <v>947</v>
      </c>
      <c r="B828" s="13" t="n">
        <v>46276</v>
      </c>
      <c r="C828" s="2" t="s">
        <v>101</v>
      </c>
      <c r="D828" s="2" t="n">
        <v>1</v>
      </c>
      <c r="E828" s="15" t="n">
        <v>0.538888888888889</v>
      </c>
      <c r="F828" s="7" t="n">
        <v>18000</v>
      </c>
      <c r="G828" s="7" t="n">
        <f aca="false">D828*F828</f>
        <v>18000</v>
      </c>
      <c r="H828" s="2" t="str">
        <f aca="false">INDEX(Daftar_Menu!$B$2:$B$13,MATCH(C828,Daftar_Menu!$A$2:$A$13,0))</f>
        <v>Makanan</v>
      </c>
      <c r="I828" s="2" t="str">
        <f aca="false">CHOOSE(WEEKDAY(B828,2),"Senin","Selasa","Rabu","Kamis","Jumat","Sabtu","Minggu")</f>
        <v>Jumat</v>
      </c>
      <c r="J828" s="2" t="n">
        <f aca="false">HOUR(E828)</f>
        <v>12</v>
      </c>
      <c r="K828" s="2" t="str">
        <f aca="false">IF(J828&lt;11,"Pagi",IF(J828&lt;17,"Siang","Malam"))</f>
        <v>Siang</v>
      </c>
      <c r="L828" s="2" t="n">
        <f aca="false">IF(A828&lt;&gt;A827,1,0)</f>
        <v>0</v>
      </c>
    </row>
    <row r="829" customFormat="false" ht="15" hidden="false" customHeight="false" outlineLevel="0" collapsed="false">
      <c r="A829" s="2" t="s">
        <v>947</v>
      </c>
      <c r="B829" s="13" t="n">
        <v>46276</v>
      </c>
      <c r="C829" s="2" t="s">
        <v>132</v>
      </c>
      <c r="D829" s="2" t="n">
        <v>1</v>
      </c>
      <c r="E829" s="15" t="n">
        <v>0.538888888888889</v>
      </c>
      <c r="F829" s="7" t="n">
        <v>15000</v>
      </c>
      <c r="G829" s="7" t="n">
        <f aca="false">D829*F829</f>
        <v>15000</v>
      </c>
      <c r="H829" s="2" t="str">
        <f aca="false">INDEX(Daftar_Menu!$B$2:$B$13,MATCH(C829,Daftar_Menu!$A$2:$A$13,0))</f>
        <v>Makanan</v>
      </c>
      <c r="I829" s="2" t="str">
        <f aca="false">CHOOSE(WEEKDAY(B829,2),"Senin","Selasa","Rabu","Kamis","Jumat","Sabtu","Minggu")</f>
        <v>Jumat</v>
      </c>
      <c r="J829" s="2" t="n">
        <f aca="false">HOUR(E829)</f>
        <v>12</v>
      </c>
      <c r="K829" s="2" t="str">
        <f aca="false">IF(J829&lt;11,"Pagi",IF(J829&lt;17,"Siang","Malam"))</f>
        <v>Siang</v>
      </c>
      <c r="L829" s="2" t="n">
        <f aca="false">IF(A829&lt;&gt;A828,1,0)</f>
        <v>0</v>
      </c>
    </row>
    <row r="830" customFormat="false" ht="15" hidden="false" customHeight="false" outlineLevel="0" collapsed="false">
      <c r="A830" s="2" t="s">
        <v>948</v>
      </c>
      <c r="B830" s="13" t="n">
        <v>46276</v>
      </c>
      <c r="C830" s="2" t="s">
        <v>89</v>
      </c>
      <c r="D830" s="2" t="n">
        <v>2</v>
      </c>
      <c r="E830" s="15" t="n">
        <v>0.540972222222222</v>
      </c>
      <c r="F830" s="7" t="n">
        <v>14000</v>
      </c>
      <c r="G830" s="7" t="n">
        <f aca="false">D830*F830</f>
        <v>28000</v>
      </c>
      <c r="H830" s="2" t="str">
        <f aca="false">INDEX(Daftar_Menu!$B$2:$B$13,MATCH(C830,Daftar_Menu!$A$2:$A$13,0))</f>
        <v>Makanan</v>
      </c>
      <c r="I830" s="2" t="str">
        <f aca="false">CHOOSE(WEEKDAY(B830,2),"Senin","Selasa","Rabu","Kamis","Jumat","Sabtu","Minggu")</f>
        <v>Jumat</v>
      </c>
      <c r="J830" s="2" t="n">
        <f aca="false">HOUR(E830)</f>
        <v>12</v>
      </c>
      <c r="K830" s="2" t="str">
        <f aca="false">IF(J830&lt;11,"Pagi",IF(J830&lt;17,"Siang","Malam"))</f>
        <v>Siang</v>
      </c>
      <c r="L830" s="2" t="n">
        <f aca="false">IF(A830&lt;&gt;A829,1,0)</f>
        <v>1</v>
      </c>
    </row>
    <row r="831" customFormat="false" ht="15" hidden="false" customHeight="false" outlineLevel="0" collapsed="false">
      <c r="A831" s="2" t="s">
        <v>948</v>
      </c>
      <c r="B831" s="13" t="n">
        <v>46276</v>
      </c>
      <c r="C831" s="2" t="s">
        <v>92</v>
      </c>
      <c r="D831" s="2" t="n">
        <v>1</v>
      </c>
      <c r="E831" s="15" t="n">
        <v>0.540972222222222</v>
      </c>
      <c r="F831" s="7" t="n">
        <v>4000</v>
      </c>
      <c r="G831" s="7" t="n">
        <f aca="false">D831*F831</f>
        <v>4000</v>
      </c>
      <c r="H831" s="2" t="str">
        <f aca="false">INDEX(Daftar_Menu!$B$2:$B$13,MATCH(C831,Daftar_Menu!$A$2:$A$13,0))</f>
        <v>Minuman</v>
      </c>
      <c r="I831" s="2" t="str">
        <f aca="false">CHOOSE(WEEKDAY(B831,2),"Senin","Selasa","Rabu","Kamis","Jumat","Sabtu","Minggu")</f>
        <v>Jumat</v>
      </c>
      <c r="J831" s="2" t="n">
        <f aca="false">HOUR(E831)</f>
        <v>12</v>
      </c>
      <c r="K831" s="2" t="str">
        <f aca="false">IF(J831&lt;11,"Pagi",IF(J831&lt;17,"Siang","Malam"))</f>
        <v>Siang</v>
      </c>
      <c r="L831" s="2" t="n">
        <f aca="false">IF(A831&lt;&gt;A830,1,0)</f>
        <v>0</v>
      </c>
    </row>
    <row r="832" customFormat="false" ht="15" hidden="false" customHeight="false" outlineLevel="0" collapsed="false">
      <c r="A832" s="2" t="s">
        <v>949</v>
      </c>
      <c r="B832" s="13" t="n">
        <v>46276</v>
      </c>
      <c r="C832" s="2" t="s">
        <v>79</v>
      </c>
      <c r="D832" s="2" t="n">
        <v>1</v>
      </c>
      <c r="E832" s="15" t="n">
        <v>0.541666666666667</v>
      </c>
      <c r="F832" s="7" t="n">
        <v>16000</v>
      </c>
      <c r="G832" s="7" t="n">
        <f aca="false">D832*F832</f>
        <v>16000</v>
      </c>
      <c r="H832" s="2" t="str">
        <f aca="false">INDEX(Daftar_Menu!$B$2:$B$13,MATCH(C832,Daftar_Menu!$A$2:$A$13,0))</f>
        <v>Makanan</v>
      </c>
      <c r="I832" s="2" t="str">
        <f aca="false">CHOOSE(WEEKDAY(B832,2),"Senin","Selasa","Rabu","Kamis","Jumat","Sabtu","Minggu")</f>
        <v>Jumat</v>
      </c>
      <c r="J832" s="2" t="n">
        <f aca="false">HOUR(E832)</f>
        <v>13</v>
      </c>
      <c r="K832" s="2" t="str">
        <f aca="false">IF(J832&lt;11,"Pagi",IF(J832&lt;17,"Siang","Malam"))</f>
        <v>Siang</v>
      </c>
      <c r="L832" s="2" t="n">
        <f aca="false">IF(A832&lt;&gt;A831,1,0)</f>
        <v>1</v>
      </c>
    </row>
    <row r="833" customFormat="false" ht="15" hidden="false" customHeight="false" outlineLevel="0" collapsed="false">
      <c r="A833" s="2" t="s">
        <v>950</v>
      </c>
      <c r="B833" s="13" t="n">
        <v>46276</v>
      </c>
      <c r="C833" s="2" t="s">
        <v>81</v>
      </c>
      <c r="D833" s="2" t="n">
        <v>1</v>
      </c>
      <c r="E833" s="15" t="n">
        <v>0.579861111111111</v>
      </c>
      <c r="F833" s="7" t="n">
        <v>15000</v>
      </c>
      <c r="G833" s="7" t="n">
        <f aca="false">D833*F833</f>
        <v>15000</v>
      </c>
      <c r="H833" s="2" t="str">
        <f aca="false">INDEX(Daftar_Menu!$B$2:$B$13,MATCH(C833,Daftar_Menu!$A$2:$A$13,0))</f>
        <v>Makanan</v>
      </c>
      <c r="I833" s="2" t="str">
        <f aca="false">CHOOSE(WEEKDAY(B833,2),"Senin","Selasa","Rabu","Kamis","Jumat","Sabtu","Minggu")</f>
        <v>Jumat</v>
      </c>
      <c r="J833" s="2" t="n">
        <f aca="false">HOUR(E833)</f>
        <v>13</v>
      </c>
      <c r="K833" s="2" t="str">
        <f aca="false">IF(J833&lt;11,"Pagi",IF(J833&lt;17,"Siang","Malam"))</f>
        <v>Siang</v>
      </c>
      <c r="L833" s="2" t="n">
        <f aca="false">IF(A833&lt;&gt;A832,1,0)</f>
        <v>1</v>
      </c>
    </row>
    <row r="834" customFormat="false" ht="15" hidden="false" customHeight="false" outlineLevel="0" collapsed="false">
      <c r="A834" s="2" t="s">
        <v>950</v>
      </c>
      <c r="B834" s="13" t="n">
        <v>46276</v>
      </c>
      <c r="C834" s="2" t="s">
        <v>89</v>
      </c>
      <c r="D834" s="2" t="n">
        <v>1</v>
      </c>
      <c r="E834" s="15" t="n">
        <v>0.579861111111111</v>
      </c>
      <c r="F834" s="7" t="n">
        <v>14000</v>
      </c>
      <c r="G834" s="7" t="n">
        <f aca="false">D834*F834</f>
        <v>14000</v>
      </c>
      <c r="H834" s="2" t="str">
        <f aca="false">INDEX(Daftar_Menu!$B$2:$B$13,MATCH(C834,Daftar_Menu!$A$2:$A$13,0))</f>
        <v>Makanan</v>
      </c>
      <c r="I834" s="2" t="str">
        <f aca="false">CHOOSE(WEEKDAY(B834,2),"Senin","Selasa","Rabu","Kamis","Jumat","Sabtu","Minggu")</f>
        <v>Jumat</v>
      </c>
      <c r="J834" s="2" t="n">
        <f aca="false">HOUR(E834)</f>
        <v>13</v>
      </c>
      <c r="K834" s="2" t="str">
        <f aca="false">IF(J834&lt;11,"Pagi",IF(J834&lt;17,"Siang","Malam"))</f>
        <v>Siang</v>
      </c>
      <c r="L834" s="2" t="n">
        <f aca="false">IF(A834&lt;&gt;A833,1,0)</f>
        <v>0</v>
      </c>
    </row>
    <row r="835" customFormat="false" ht="15" hidden="false" customHeight="false" outlineLevel="0" collapsed="false">
      <c r="A835" s="2" t="s">
        <v>950</v>
      </c>
      <c r="B835" s="13" t="n">
        <v>46276</v>
      </c>
      <c r="C835" s="2" t="s">
        <v>186</v>
      </c>
      <c r="D835" s="2" t="n">
        <v>1</v>
      </c>
      <c r="E835" s="15" t="n">
        <v>0.579861111111111</v>
      </c>
      <c r="F835" s="7" t="n">
        <v>7000</v>
      </c>
      <c r="G835" s="7" t="n">
        <f aca="false">D835*F835</f>
        <v>7000</v>
      </c>
      <c r="H835" s="2" t="str">
        <f aca="false">INDEX(Daftar_Menu!$B$2:$B$13,MATCH(C835,Daftar_Menu!$A$2:$A$13,0))</f>
        <v>Minuman</v>
      </c>
      <c r="I835" s="2" t="str">
        <f aca="false">CHOOSE(WEEKDAY(B835,2),"Senin","Selasa","Rabu","Kamis","Jumat","Sabtu","Minggu")</f>
        <v>Jumat</v>
      </c>
      <c r="J835" s="2" t="n">
        <f aca="false">HOUR(E835)</f>
        <v>13</v>
      </c>
      <c r="K835" s="2" t="str">
        <f aca="false">IF(J835&lt;11,"Pagi",IF(J835&lt;17,"Siang","Malam"))</f>
        <v>Siang</v>
      </c>
      <c r="L835" s="2" t="n">
        <f aca="false">IF(A835&lt;&gt;A834,1,0)</f>
        <v>0</v>
      </c>
    </row>
    <row r="836" customFormat="false" ht="15" hidden="false" customHeight="false" outlineLevel="0" collapsed="false">
      <c r="A836" s="2" t="s">
        <v>952</v>
      </c>
      <c r="B836" s="13" t="n">
        <v>46276</v>
      </c>
      <c r="C836" s="2" t="s">
        <v>101</v>
      </c>
      <c r="D836" s="2" t="n">
        <v>1</v>
      </c>
      <c r="E836" s="15" t="n">
        <v>0.580555555555556</v>
      </c>
      <c r="F836" s="7" t="n">
        <v>18000</v>
      </c>
      <c r="G836" s="7" t="n">
        <f aca="false">D836*F836</f>
        <v>18000</v>
      </c>
      <c r="H836" s="2" t="str">
        <f aca="false">INDEX(Daftar_Menu!$B$2:$B$13,MATCH(C836,Daftar_Menu!$A$2:$A$13,0))</f>
        <v>Makanan</v>
      </c>
      <c r="I836" s="2" t="str">
        <f aca="false">CHOOSE(WEEKDAY(B836,2),"Senin","Selasa","Rabu","Kamis","Jumat","Sabtu","Minggu")</f>
        <v>Jumat</v>
      </c>
      <c r="J836" s="2" t="n">
        <f aca="false">HOUR(E836)</f>
        <v>13</v>
      </c>
      <c r="K836" s="2" t="str">
        <f aca="false">IF(J836&lt;11,"Pagi",IF(J836&lt;17,"Siang","Malam"))</f>
        <v>Siang</v>
      </c>
      <c r="L836" s="2" t="n">
        <f aca="false">IF(A836&lt;&gt;A835,1,0)</f>
        <v>1</v>
      </c>
    </row>
    <row r="837" customFormat="false" ht="15" hidden="false" customHeight="false" outlineLevel="0" collapsed="false">
      <c r="A837" s="2" t="s">
        <v>952</v>
      </c>
      <c r="B837" s="13" t="n">
        <v>46276</v>
      </c>
      <c r="C837" s="2" t="s">
        <v>186</v>
      </c>
      <c r="D837" s="2" t="n">
        <v>2</v>
      </c>
      <c r="E837" s="15" t="n">
        <v>0.580555555555556</v>
      </c>
      <c r="F837" s="7" t="n">
        <v>7000</v>
      </c>
      <c r="G837" s="7" t="n">
        <f aca="false">D837*F837</f>
        <v>14000</v>
      </c>
      <c r="H837" s="2" t="str">
        <f aca="false">INDEX(Daftar_Menu!$B$2:$B$13,MATCH(C837,Daftar_Menu!$A$2:$A$13,0))</f>
        <v>Minuman</v>
      </c>
      <c r="I837" s="2" t="str">
        <f aca="false">CHOOSE(WEEKDAY(B837,2),"Senin","Selasa","Rabu","Kamis","Jumat","Sabtu","Minggu")</f>
        <v>Jumat</v>
      </c>
      <c r="J837" s="2" t="n">
        <f aca="false">HOUR(E837)</f>
        <v>13</v>
      </c>
      <c r="K837" s="2" t="str">
        <f aca="false">IF(J837&lt;11,"Pagi",IF(J837&lt;17,"Siang","Malam"))</f>
        <v>Siang</v>
      </c>
      <c r="L837" s="2" t="n">
        <f aca="false">IF(A837&lt;&gt;A836,1,0)</f>
        <v>0</v>
      </c>
    </row>
    <row r="838" customFormat="false" ht="15" hidden="false" customHeight="false" outlineLevel="0" collapsed="false">
      <c r="A838" s="2" t="s">
        <v>954</v>
      </c>
      <c r="B838" s="13" t="n">
        <v>46276</v>
      </c>
      <c r="C838" s="2" t="s">
        <v>84</v>
      </c>
      <c r="D838" s="2" t="n">
        <v>2</v>
      </c>
      <c r="E838" s="15" t="n">
        <v>0.588888888888889</v>
      </c>
      <c r="F838" s="7" t="n">
        <v>5000</v>
      </c>
      <c r="G838" s="7" t="n">
        <f aca="false">D838*F838</f>
        <v>10000</v>
      </c>
      <c r="H838" s="2" t="str">
        <f aca="false">INDEX(Daftar_Menu!$B$2:$B$13,MATCH(C838,Daftar_Menu!$A$2:$A$13,0))</f>
        <v>Minuman</v>
      </c>
      <c r="I838" s="2" t="str">
        <f aca="false">CHOOSE(WEEKDAY(B838,2),"Senin","Selasa","Rabu","Kamis","Jumat","Sabtu","Minggu")</f>
        <v>Jumat</v>
      </c>
      <c r="J838" s="2" t="n">
        <f aca="false">HOUR(E838)</f>
        <v>14</v>
      </c>
      <c r="K838" s="2" t="str">
        <f aca="false">IF(J838&lt;11,"Pagi",IF(J838&lt;17,"Siang","Malam"))</f>
        <v>Siang</v>
      </c>
      <c r="L838" s="2" t="n">
        <f aca="false">IF(A838&lt;&gt;A837,1,0)</f>
        <v>1</v>
      </c>
    </row>
    <row r="839" customFormat="false" ht="15" hidden="false" customHeight="false" outlineLevel="0" collapsed="false">
      <c r="A839" s="2" t="s">
        <v>955</v>
      </c>
      <c r="B839" s="13" t="n">
        <v>46276</v>
      </c>
      <c r="C839" s="2" t="s">
        <v>101</v>
      </c>
      <c r="D839" s="2" t="n">
        <v>2</v>
      </c>
      <c r="E839" s="15" t="n">
        <v>0.605555555555556</v>
      </c>
      <c r="F839" s="7" t="n">
        <v>18000</v>
      </c>
      <c r="G839" s="7" t="n">
        <f aca="false">D839*F839</f>
        <v>36000</v>
      </c>
      <c r="H839" s="2" t="str">
        <f aca="false">INDEX(Daftar_Menu!$B$2:$B$13,MATCH(C839,Daftar_Menu!$A$2:$A$13,0))</f>
        <v>Makanan</v>
      </c>
      <c r="I839" s="2" t="str">
        <f aca="false">CHOOSE(WEEKDAY(B839,2),"Senin","Selasa","Rabu","Kamis","Jumat","Sabtu","Minggu")</f>
        <v>Jumat</v>
      </c>
      <c r="J839" s="2" t="n">
        <f aca="false">HOUR(E839)</f>
        <v>14</v>
      </c>
      <c r="K839" s="2" t="str">
        <f aca="false">IF(J839&lt;11,"Pagi",IF(J839&lt;17,"Siang","Malam"))</f>
        <v>Siang</v>
      </c>
      <c r="L839" s="2" t="n">
        <f aca="false">IF(A839&lt;&gt;A838,1,0)</f>
        <v>1</v>
      </c>
    </row>
    <row r="840" customFormat="false" ht="15" hidden="false" customHeight="false" outlineLevel="0" collapsed="false">
      <c r="A840" s="2" t="s">
        <v>955</v>
      </c>
      <c r="B840" s="13" t="n">
        <v>46276</v>
      </c>
      <c r="C840" s="2" t="s">
        <v>186</v>
      </c>
      <c r="D840" s="2" t="n">
        <v>1</v>
      </c>
      <c r="E840" s="15" t="n">
        <v>0.605555555555556</v>
      </c>
      <c r="F840" s="7" t="n">
        <v>7000</v>
      </c>
      <c r="G840" s="7" t="n">
        <f aca="false">D840*F840</f>
        <v>7000</v>
      </c>
      <c r="H840" s="2" t="str">
        <f aca="false">INDEX(Daftar_Menu!$B$2:$B$13,MATCH(C840,Daftar_Menu!$A$2:$A$13,0))</f>
        <v>Minuman</v>
      </c>
      <c r="I840" s="2" t="str">
        <f aca="false">CHOOSE(WEEKDAY(B840,2),"Senin","Selasa","Rabu","Kamis","Jumat","Sabtu","Minggu")</f>
        <v>Jumat</v>
      </c>
      <c r="J840" s="2" t="n">
        <f aca="false">HOUR(E840)</f>
        <v>14</v>
      </c>
      <c r="K840" s="2" t="str">
        <f aca="false">IF(J840&lt;11,"Pagi",IF(J840&lt;17,"Siang","Malam"))</f>
        <v>Siang</v>
      </c>
      <c r="L840" s="2" t="n">
        <f aca="false">IF(A840&lt;&gt;A839,1,0)</f>
        <v>0</v>
      </c>
    </row>
    <row r="841" customFormat="false" ht="15" hidden="false" customHeight="false" outlineLevel="0" collapsed="false">
      <c r="A841" s="2" t="s">
        <v>956</v>
      </c>
      <c r="B841" s="13" t="n">
        <v>46276</v>
      </c>
      <c r="C841" s="2" t="s">
        <v>89</v>
      </c>
      <c r="D841" s="2" t="n">
        <v>1</v>
      </c>
      <c r="E841" s="15" t="n">
        <v>0.61875</v>
      </c>
      <c r="F841" s="7" t="n">
        <v>14000</v>
      </c>
      <c r="G841" s="7" t="n">
        <f aca="false">D841*F841</f>
        <v>14000</v>
      </c>
      <c r="H841" s="2" t="str">
        <f aca="false">INDEX(Daftar_Menu!$B$2:$B$13,MATCH(C841,Daftar_Menu!$A$2:$A$13,0))</f>
        <v>Makanan</v>
      </c>
      <c r="I841" s="2" t="str">
        <f aca="false">CHOOSE(WEEKDAY(B841,2),"Senin","Selasa","Rabu","Kamis","Jumat","Sabtu","Minggu")</f>
        <v>Jumat</v>
      </c>
      <c r="J841" s="2" t="n">
        <f aca="false">HOUR(E841)</f>
        <v>14</v>
      </c>
      <c r="K841" s="2" t="str">
        <f aca="false">IF(J841&lt;11,"Pagi",IF(J841&lt;17,"Siang","Malam"))</f>
        <v>Siang</v>
      </c>
      <c r="L841" s="2" t="n">
        <f aca="false">IF(A841&lt;&gt;A840,1,0)</f>
        <v>1</v>
      </c>
    </row>
    <row r="842" customFormat="false" ht="15" hidden="false" customHeight="false" outlineLevel="0" collapsed="false">
      <c r="A842" s="2" t="s">
        <v>957</v>
      </c>
      <c r="B842" s="13" t="n">
        <v>46276</v>
      </c>
      <c r="C842" s="2" t="s">
        <v>82</v>
      </c>
      <c r="D842" s="2" t="n">
        <v>1</v>
      </c>
      <c r="E842" s="15" t="n">
        <v>0.636805555555556</v>
      </c>
      <c r="F842" s="7" t="n">
        <v>13000</v>
      </c>
      <c r="G842" s="7" t="n">
        <f aca="false">D842*F842</f>
        <v>13000</v>
      </c>
      <c r="H842" s="2" t="str">
        <f aca="false">INDEX(Daftar_Menu!$B$2:$B$13,MATCH(C842,Daftar_Menu!$A$2:$A$13,0))</f>
        <v>Makanan</v>
      </c>
      <c r="I842" s="2" t="str">
        <f aca="false">CHOOSE(WEEKDAY(B842,2),"Senin","Selasa","Rabu","Kamis","Jumat","Sabtu","Minggu")</f>
        <v>Jumat</v>
      </c>
      <c r="J842" s="2" t="n">
        <f aca="false">HOUR(E842)</f>
        <v>15</v>
      </c>
      <c r="K842" s="2" t="str">
        <f aca="false">IF(J842&lt;11,"Pagi",IF(J842&lt;17,"Siang","Malam"))</f>
        <v>Siang</v>
      </c>
      <c r="L842" s="2" t="n">
        <f aca="false">IF(A842&lt;&gt;A841,1,0)</f>
        <v>1</v>
      </c>
    </row>
    <row r="843" customFormat="false" ht="15" hidden="false" customHeight="false" outlineLevel="0" collapsed="false">
      <c r="A843" s="2" t="s">
        <v>958</v>
      </c>
      <c r="B843" s="13" t="n">
        <v>46276</v>
      </c>
      <c r="C843" s="2" t="s">
        <v>132</v>
      </c>
      <c r="D843" s="2" t="n">
        <v>2</v>
      </c>
      <c r="E843" s="15" t="n">
        <v>0.646527777777778</v>
      </c>
      <c r="F843" s="7" t="n">
        <v>15000</v>
      </c>
      <c r="G843" s="7" t="n">
        <f aca="false">D843*F843</f>
        <v>30000</v>
      </c>
      <c r="H843" s="2" t="str">
        <f aca="false">INDEX(Daftar_Menu!$B$2:$B$13,MATCH(C843,Daftar_Menu!$A$2:$A$13,0))</f>
        <v>Makanan</v>
      </c>
      <c r="I843" s="2" t="str">
        <f aca="false">CHOOSE(WEEKDAY(B843,2),"Senin","Selasa","Rabu","Kamis","Jumat","Sabtu","Minggu")</f>
        <v>Jumat</v>
      </c>
      <c r="J843" s="2" t="n">
        <f aca="false">HOUR(E843)</f>
        <v>15</v>
      </c>
      <c r="K843" s="2" t="str">
        <f aca="false">IF(J843&lt;11,"Pagi",IF(J843&lt;17,"Siang","Malam"))</f>
        <v>Siang</v>
      </c>
      <c r="L843" s="2" t="n">
        <f aca="false">IF(A843&lt;&gt;A842,1,0)</f>
        <v>1</v>
      </c>
    </row>
    <row r="844" customFormat="false" ht="15" hidden="false" customHeight="false" outlineLevel="0" collapsed="false">
      <c r="A844" s="2" t="s">
        <v>960</v>
      </c>
      <c r="B844" s="13" t="n">
        <v>46276</v>
      </c>
      <c r="C844" s="2" t="s">
        <v>84</v>
      </c>
      <c r="D844" s="2" t="n">
        <v>2</v>
      </c>
      <c r="E844" s="15" t="n">
        <v>0.647916666666667</v>
      </c>
      <c r="F844" s="7" t="n">
        <v>5000</v>
      </c>
      <c r="G844" s="7" t="n">
        <f aca="false">D844*F844</f>
        <v>10000</v>
      </c>
      <c r="H844" s="2" t="str">
        <f aca="false">INDEX(Daftar_Menu!$B$2:$B$13,MATCH(C844,Daftar_Menu!$A$2:$A$13,0))</f>
        <v>Minuman</v>
      </c>
      <c r="I844" s="2" t="str">
        <f aca="false">CHOOSE(WEEKDAY(B844,2),"Senin","Selasa","Rabu","Kamis","Jumat","Sabtu","Minggu")</f>
        <v>Jumat</v>
      </c>
      <c r="J844" s="2" t="n">
        <f aca="false">HOUR(E844)</f>
        <v>15</v>
      </c>
      <c r="K844" s="2" t="str">
        <f aca="false">IF(J844&lt;11,"Pagi",IF(J844&lt;17,"Siang","Malam"))</f>
        <v>Siang</v>
      </c>
      <c r="L844" s="2" t="n">
        <f aca="false">IF(A844&lt;&gt;A843,1,0)</f>
        <v>1</v>
      </c>
    </row>
    <row r="845" customFormat="false" ht="15" hidden="false" customHeight="false" outlineLevel="0" collapsed="false">
      <c r="A845" s="2" t="s">
        <v>960</v>
      </c>
      <c r="B845" s="13" t="n">
        <v>46276</v>
      </c>
      <c r="C845" s="2" t="s">
        <v>89</v>
      </c>
      <c r="D845" s="2" t="n">
        <v>1</v>
      </c>
      <c r="E845" s="15" t="n">
        <v>0.647916666666667</v>
      </c>
      <c r="F845" s="7" t="n">
        <v>14000</v>
      </c>
      <c r="G845" s="7" t="n">
        <f aca="false">D845*F845</f>
        <v>14000</v>
      </c>
      <c r="H845" s="2" t="str">
        <f aca="false">INDEX(Daftar_Menu!$B$2:$B$13,MATCH(C845,Daftar_Menu!$A$2:$A$13,0))</f>
        <v>Makanan</v>
      </c>
      <c r="I845" s="2" t="str">
        <f aca="false">CHOOSE(WEEKDAY(B845,2),"Senin","Selasa","Rabu","Kamis","Jumat","Sabtu","Minggu")</f>
        <v>Jumat</v>
      </c>
      <c r="J845" s="2" t="n">
        <f aca="false">HOUR(E845)</f>
        <v>15</v>
      </c>
      <c r="K845" s="2" t="str">
        <f aca="false">IF(J845&lt;11,"Pagi",IF(J845&lt;17,"Siang","Malam"))</f>
        <v>Siang</v>
      </c>
      <c r="L845" s="2" t="n">
        <f aca="false">IF(A845&lt;&gt;A844,1,0)</f>
        <v>0</v>
      </c>
    </row>
    <row r="846" customFormat="false" ht="15" hidden="false" customHeight="false" outlineLevel="0" collapsed="false">
      <c r="A846" s="2" t="s">
        <v>961</v>
      </c>
      <c r="B846" s="13" t="n">
        <v>46276</v>
      </c>
      <c r="C846" s="2" t="s">
        <v>89</v>
      </c>
      <c r="D846" s="2" t="n">
        <v>1</v>
      </c>
      <c r="E846" s="15" t="n">
        <v>0.648611111111111</v>
      </c>
      <c r="F846" s="7" t="n">
        <v>14000</v>
      </c>
      <c r="G846" s="7" t="n">
        <f aca="false">D846*F846</f>
        <v>14000</v>
      </c>
      <c r="H846" s="2" t="str">
        <f aca="false">INDEX(Daftar_Menu!$B$2:$B$13,MATCH(C846,Daftar_Menu!$A$2:$A$13,0))</f>
        <v>Makanan</v>
      </c>
      <c r="I846" s="2" t="str">
        <f aca="false">CHOOSE(WEEKDAY(B846,2),"Senin","Selasa","Rabu","Kamis","Jumat","Sabtu","Minggu")</f>
        <v>Jumat</v>
      </c>
      <c r="J846" s="2" t="n">
        <f aca="false">HOUR(E846)</f>
        <v>15</v>
      </c>
      <c r="K846" s="2" t="str">
        <f aca="false">IF(J846&lt;11,"Pagi",IF(J846&lt;17,"Siang","Malam"))</f>
        <v>Siang</v>
      </c>
      <c r="L846" s="2" t="n">
        <f aca="false">IF(A846&lt;&gt;A845,1,0)</f>
        <v>1</v>
      </c>
    </row>
    <row r="847" customFormat="false" ht="15" hidden="false" customHeight="false" outlineLevel="0" collapsed="false">
      <c r="A847" s="2" t="s">
        <v>961</v>
      </c>
      <c r="B847" s="13" t="n">
        <v>46276</v>
      </c>
      <c r="C847" s="2" t="s">
        <v>132</v>
      </c>
      <c r="D847" s="2" t="n">
        <v>1</v>
      </c>
      <c r="E847" s="15" t="n">
        <v>0.648611111111111</v>
      </c>
      <c r="F847" s="7" t="n">
        <v>15000</v>
      </c>
      <c r="G847" s="7" t="n">
        <f aca="false">D847*F847</f>
        <v>15000</v>
      </c>
      <c r="H847" s="2" t="str">
        <f aca="false">INDEX(Daftar_Menu!$B$2:$B$13,MATCH(C847,Daftar_Menu!$A$2:$A$13,0))</f>
        <v>Makanan</v>
      </c>
      <c r="I847" s="2" t="str">
        <f aca="false">CHOOSE(WEEKDAY(B847,2),"Senin","Selasa","Rabu","Kamis","Jumat","Sabtu","Minggu")</f>
        <v>Jumat</v>
      </c>
      <c r="J847" s="2" t="n">
        <f aca="false">HOUR(E847)</f>
        <v>15</v>
      </c>
      <c r="K847" s="2" t="str">
        <f aca="false">IF(J847&lt;11,"Pagi",IF(J847&lt;17,"Siang","Malam"))</f>
        <v>Siang</v>
      </c>
      <c r="L847" s="2" t="n">
        <f aca="false">IF(A847&lt;&gt;A846,1,0)</f>
        <v>0</v>
      </c>
    </row>
    <row r="848" customFormat="false" ht="15" hidden="false" customHeight="false" outlineLevel="0" collapsed="false">
      <c r="A848" s="2" t="s">
        <v>963</v>
      </c>
      <c r="B848" s="13" t="n">
        <v>46276</v>
      </c>
      <c r="C848" s="2" t="s">
        <v>132</v>
      </c>
      <c r="D848" s="2" t="n">
        <v>1</v>
      </c>
      <c r="E848" s="15" t="n">
        <v>0.668055555555556</v>
      </c>
      <c r="F848" s="7" t="n">
        <v>15000</v>
      </c>
      <c r="G848" s="7" t="n">
        <f aca="false">D848*F848</f>
        <v>15000</v>
      </c>
      <c r="H848" s="2" t="str">
        <f aca="false">INDEX(Daftar_Menu!$B$2:$B$13,MATCH(C848,Daftar_Menu!$A$2:$A$13,0))</f>
        <v>Makanan</v>
      </c>
      <c r="I848" s="2" t="str">
        <f aca="false">CHOOSE(WEEKDAY(B848,2),"Senin","Selasa","Rabu","Kamis","Jumat","Sabtu","Minggu")</f>
        <v>Jumat</v>
      </c>
      <c r="J848" s="2" t="n">
        <f aca="false">HOUR(E848)</f>
        <v>16</v>
      </c>
      <c r="K848" s="2" t="str">
        <f aca="false">IF(J848&lt;11,"Pagi",IF(J848&lt;17,"Siang","Malam"))</f>
        <v>Siang</v>
      </c>
      <c r="L848" s="2" t="n">
        <f aca="false">IF(A848&lt;&gt;A847,1,0)</f>
        <v>1</v>
      </c>
    </row>
    <row r="849" customFormat="false" ht="15" hidden="false" customHeight="false" outlineLevel="0" collapsed="false">
      <c r="A849" s="2" t="s">
        <v>963</v>
      </c>
      <c r="B849" s="13" t="n">
        <v>46276</v>
      </c>
      <c r="C849" s="2" t="s">
        <v>108</v>
      </c>
      <c r="D849" s="2" t="n">
        <v>2</v>
      </c>
      <c r="E849" s="15" t="n">
        <v>0.668055555555556</v>
      </c>
      <c r="F849" s="7" t="n">
        <v>20000</v>
      </c>
      <c r="G849" s="7" t="n">
        <f aca="false">D849*F849</f>
        <v>40000</v>
      </c>
      <c r="H849" s="2" t="str">
        <f aca="false">INDEX(Daftar_Menu!$B$2:$B$13,MATCH(C849,Daftar_Menu!$A$2:$A$13,0))</f>
        <v>Makanan</v>
      </c>
      <c r="I849" s="2" t="str">
        <f aca="false">CHOOSE(WEEKDAY(B849,2),"Senin","Selasa","Rabu","Kamis","Jumat","Sabtu","Minggu")</f>
        <v>Jumat</v>
      </c>
      <c r="J849" s="2" t="n">
        <f aca="false">HOUR(E849)</f>
        <v>16</v>
      </c>
      <c r="K849" s="2" t="str">
        <f aca="false">IF(J849&lt;11,"Pagi",IF(J849&lt;17,"Siang","Malam"))</f>
        <v>Siang</v>
      </c>
      <c r="L849" s="2" t="n">
        <f aca="false">IF(A849&lt;&gt;A848,1,0)</f>
        <v>0</v>
      </c>
    </row>
    <row r="850" customFormat="false" ht="15" hidden="false" customHeight="false" outlineLevel="0" collapsed="false">
      <c r="A850" s="2" t="s">
        <v>965</v>
      </c>
      <c r="B850" s="13" t="n">
        <v>46276</v>
      </c>
      <c r="C850" s="2" t="s">
        <v>79</v>
      </c>
      <c r="D850" s="2" t="n">
        <v>1</v>
      </c>
      <c r="E850" s="15" t="n">
        <v>0.6875</v>
      </c>
      <c r="F850" s="7" t="n">
        <v>16000</v>
      </c>
      <c r="G850" s="7" t="n">
        <f aca="false">D850*F850</f>
        <v>16000</v>
      </c>
      <c r="H850" s="2" t="str">
        <f aca="false">INDEX(Daftar_Menu!$B$2:$B$13,MATCH(C850,Daftar_Menu!$A$2:$A$13,0))</f>
        <v>Makanan</v>
      </c>
      <c r="I850" s="2" t="str">
        <f aca="false">CHOOSE(WEEKDAY(B850,2),"Senin","Selasa","Rabu","Kamis","Jumat","Sabtu","Minggu")</f>
        <v>Jumat</v>
      </c>
      <c r="J850" s="2" t="n">
        <f aca="false">HOUR(E850)</f>
        <v>16</v>
      </c>
      <c r="K850" s="2" t="str">
        <f aca="false">IF(J850&lt;11,"Pagi",IF(J850&lt;17,"Siang","Malam"))</f>
        <v>Siang</v>
      </c>
      <c r="L850" s="2" t="n">
        <f aca="false">IF(A850&lt;&gt;A849,1,0)</f>
        <v>1</v>
      </c>
    </row>
    <row r="851" customFormat="false" ht="15" hidden="false" customHeight="false" outlineLevel="0" collapsed="false">
      <c r="A851" s="2" t="s">
        <v>967</v>
      </c>
      <c r="B851" s="13" t="n">
        <v>46276</v>
      </c>
      <c r="C851" s="2" t="s">
        <v>79</v>
      </c>
      <c r="D851" s="2" t="n">
        <v>1</v>
      </c>
      <c r="E851" s="15" t="n">
        <v>0.709722222222222</v>
      </c>
      <c r="F851" s="7" t="n">
        <v>16000</v>
      </c>
      <c r="G851" s="7" t="n">
        <f aca="false">D851*F851</f>
        <v>16000</v>
      </c>
      <c r="H851" s="2" t="str">
        <f aca="false">INDEX(Daftar_Menu!$B$2:$B$13,MATCH(C851,Daftar_Menu!$A$2:$A$13,0))</f>
        <v>Makanan</v>
      </c>
      <c r="I851" s="2" t="str">
        <f aca="false">CHOOSE(WEEKDAY(B851,2),"Senin","Selasa","Rabu","Kamis","Jumat","Sabtu","Minggu")</f>
        <v>Jumat</v>
      </c>
      <c r="J851" s="2" t="n">
        <f aca="false">HOUR(E851)</f>
        <v>17</v>
      </c>
      <c r="K851" s="2" t="str">
        <f aca="false">IF(J851&lt;11,"Pagi",IF(J851&lt;17,"Siang","Malam"))</f>
        <v>Malam</v>
      </c>
      <c r="L851" s="2" t="n">
        <f aca="false">IF(A851&lt;&gt;A850,1,0)</f>
        <v>1</v>
      </c>
    </row>
    <row r="852" customFormat="false" ht="15" hidden="false" customHeight="false" outlineLevel="0" collapsed="false">
      <c r="A852" s="2" t="s">
        <v>967</v>
      </c>
      <c r="B852" s="13" t="n">
        <v>46276</v>
      </c>
      <c r="C852" s="2" t="s">
        <v>84</v>
      </c>
      <c r="D852" s="2" t="n">
        <v>2</v>
      </c>
      <c r="E852" s="15" t="n">
        <v>0.709722222222222</v>
      </c>
      <c r="F852" s="7" t="n">
        <v>5000</v>
      </c>
      <c r="G852" s="7" t="n">
        <f aca="false">D852*F852</f>
        <v>10000</v>
      </c>
      <c r="H852" s="2" t="str">
        <f aca="false">INDEX(Daftar_Menu!$B$2:$B$13,MATCH(C852,Daftar_Menu!$A$2:$A$13,0))</f>
        <v>Minuman</v>
      </c>
      <c r="I852" s="2" t="str">
        <f aca="false">CHOOSE(WEEKDAY(B852,2),"Senin","Selasa","Rabu","Kamis","Jumat","Sabtu","Minggu")</f>
        <v>Jumat</v>
      </c>
      <c r="J852" s="2" t="n">
        <f aca="false">HOUR(E852)</f>
        <v>17</v>
      </c>
      <c r="K852" s="2" t="str">
        <f aca="false">IF(J852&lt;11,"Pagi",IF(J852&lt;17,"Siang","Malam"))</f>
        <v>Malam</v>
      </c>
      <c r="L852" s="2" t="n">
        <f aca="false">IF(A852&lt;&gt;A851,1,0)</f>
        <v>0</v>
      </c>
    </row>
    <row r="853" customFormat="false" ht="15" hidden="false" customHeight="false" outlineLevel="0" collapsed="false">
      <c r="A853" s="2" t="s">
        <v>968</v>
      </c>
      <c r="B853" s="13" t="n">
        <v>46276</v>
      </c>
      <c r="C853" s="2" t="s">
        <v>84</v>
      </c>
      <c r="D853" s="2" t="n">
        <v>2</v>
      </c>
      <c r="E853" s="15" t="n">
        <v>0.729166666666667</v>
      </c>
      <c r="F853" s="7" t="n">
        <v>5000</v>
      </c>
      <c r="G853" s="7" t="n">
        <f aca="false">D853*F853</f>
        <v>10000</v>
      </c>
      <c r="H853" s="2" t="str">
        <f aca="false">INDEX(Daftar_Menu!$B$2:$B$13,MATCH(C853,Daftar_Menu!$A$2:$A$13,0))</f>
        <v>Minuman</v>
      </c>
      <c r="I853" s="2" t="str">
        <f aca="false">CHOOSE(WEEKDAY(B853,2),"Senin","Selasa","Rabu","Kamis","Jumat","Sabtu","Minggu")</f>
        <v>Jumat</v>
      </c>
      <c r="J853" s="2" t="n">
        <f aca="false">HOUR(E853)</f>
        <v>17</v>
      </c>
      <c r="K853" s="2" t="str">
        <f aca="false">IF(J853&lt;11,"Pagi",IF(J853&lt;17,"Siang","Malam"))</f>
        <v>Malam</v>
      </c>
      <c r="L853" s="2" t="n">
        <f aca="false">IF(A853&lt;&gt;A852,1,0)</f>
        <v>1</v>
      </c>
    </row>
    <row r="854" customFormat="false" ht="15" hidden="false" customHeight="false" outlineLevel="0" collapsed="false">
      <c r="A854" s="2" t="s">
        <v>968</v>
      </c>
      <c r="B854" s="13" t="n">
        <v>46276</v>
      </c>
      <c r="C854" s="2" t="s">
        <v>89</v>
      </c>
      <c r="D854" s="2" t="n">
        <v>1</v>
      </c>
      <c r="E854" s="15" t="n">
        <v>0.729166666666667</v>
      </c>
      <c r="F854" s="7" t="n">
        <v>14000</v>
      </c>
      <c r="G854" s="7" t="n">
        <f aca="false">D854*F854</f>
        <v>14000</v>
      </c>
      <c r="H854" s="2" t="str">
        <f aca="false">INDEX(Daftar_Menu!$B$2:$B$13,MATCH(C854,Daftar_Menu!$A$2:$A$13,0))</f>
        <v>Makanan</v>
      </c>
      <c r="I854" s="2" t="str">
        <f aca="false">CHOOSE(WEEKDAY(B854,2),"Senin","Selasa","Rabu","Kamis","Jumat","Sabtu","Minggu")</f>
        <v>Jumat</v>
      </c>
      <c r="J854" s="2" t="n">
        <f aca="false">HOUR(E854)</f>
        <v>17</v>
      </c>
      <c r="K854" s="2" t="str">
        <f aca="false">IF(J854&lt;11,"Pagi",IF(J854&lt;17,"Siang","Malam"))</f>
        <v>Malam</v>
      </c>
      <c r="L854" s="2" t="n">
        <f aca="false">IF(A854&lt;&gt;A853,1,0)</f>
        <v>0</v>
      </c>
    </row>
    <row r="855" customFormat="false" ht="15" hidden="false" customHeight="false" outlineLevel="0" collapsed="false">
      <c r="A855" s="2" t="s">
        <v>969</v>
      </c>
      <c r="B855" s="13" t="n">
        <v>46276</v>
      </c>
      <c r="C855" s="2" t="s">
        <v>84</v>
      </c>
      <c r="D855" s="2" t="n">
        <v>1</v>
      </c>
      <c r="E855" s="15" t="n">
        <v>0.750694444444444</v>
      </c>
      <c r="F855" s="7" t="n">
        <v>5000</v>
      </c>
      <c r="G855" s="7" t="n">
        <f aca="false">D855*F855</f>
        <v>5000</v>
      </c>
      <c r="H855" s="2" t="str">
        <f aca="false">INDEX(Daftar_Menu!$B$2:$B$13,MATCH(C855,Daftar_Menu!$A$2:$A$13,0))</f>
        <v>Minuman</v>
      </c>
      <c r="I855" s="2" t="str">
        <f aca="false">CHOOSE(WEEKDAY(B855,2),"Senin","Selasa","Rabu","Kamis","Jumat","Sabtu","Minggu")</f>
        <v>Jumat</v>
      </c>
      <c r="J855" s="2" t="n">
        <f aca="false">HOUR(E855)</f>
        <v>18</v>
      </c>
      <c r="K855" s="2" t="str">
        <f aca="false">IF(J855&lt;11,"Pagi",IF(J855&lt;17,"Siang","Malam"))</f>
        <v>Malam</v>
      </c>
      <c r="L855" s="2" t="n">
        <f aca="false">IF(A855&lt;&gt;A854,1,0)</f>
        <v>1</v>
      </c>
    </row>
    <row r="856" customFormat="false" ht="15" hidden="false" customHeight="false" outlineLevel="0" collapsed="false">
      <c r="A856" s="2" t="s">
        <v>969</v>
      </c>
      <c r="B856" s="13" t="n">
        <v>46276</v>
      </c>
      <c r="C856" s="2" t="s">
        <v>132</v>
      </c>
      <c r="D856" s="2" t="n">
        <v>2</v>
      </c>
      <c r="E856" s="15" t="n">
        <v>0.750694444444444</v>
      </c>
      <c r="F856" s="7" t="n">
        <v>15000</v>
      </c>
      <c r="G856" s="7" t="n">
        <f aca="false">D856*F856</f>
        <v>30000</v>
      </c>
      <c r="H856" s="2" t="str">
        <f aca="false">INDEX(Daftar_Menu!$B$2:$B$13,MATCH(C856,Daftar_Menu!$A$2:$A$13,0))</f>
        <v>Makanan</v>
      </c>
      <c r="I856" s="2" t="str">
        <f aca="false">CHOOSE(WEEKDAY(B856,2),"Senin","Selasa","Rabu","Kamis","Jumat","Sabtu","Minggu")</f>
        <v>Jumat</v>
      </c>
      <c r="J856" s="2" t="n">
        <f aca="false">HOUR(E856)</f>
        <v>18</v>
      </c>
      <c r="K856" s="2" t="str">
        <f aca="false">IF(J856&lt;11,"Pagi",IF(J856&lt;17,"Siang","Malam"))</f>
        <v>Malam</v>
      </c>
      <c r="L856" s="2" t="n">
        <f aca="false">IF(A856&lt;&gt;A855,1,0)</f>
        <v>0</v>
      </c>
    </row>
    <row r="857" customFormat="false" ht="15" hidden="false" customHeight="false" outlineLevel="0" collapsed="false">
      <c r="A857" s="2" t="s">
        <v>970</v>
      </c>
      <c r="B857" s="13" t="n">
        <v>46276</v>
      </c>
      <c r="C857" s="2" t="s">
        <v>112</v>
      </c>
      <c r="D857" s="2" t="n">
        <v>1</v>
      </c>
      <c r="E857" s="15" t="n">
        <v>0.768055555555556</v>
      </c>
      <c r="F857" s="7" t="n">
        <v>10000</v>
      </c>
      <c r="G857" s="7" t="n">
        <f aca="false">D857*F857</f>
        <v>10000</v>
      </c>
      <c r="H857" s="2" t="str">
        <f aca="false">INDEX(Daftar_Menu!$B$2:$B$13,MATCH(C857,Daftar_Menu!$A$2:$A$13,0))</f>
        <v>Minuman</v>
      </c>
      <c r="I857" s="2" t="str">
        <f aca="false">CHOOSE(WEEKDAY(B857,2),"Senin","Selasa","Rabu","Kamis","Jumat","Sabtu","Minggu")</f>
        <v>Jumat</v>
      </c>
      <c r="J857" s="2" t="n">
        <f aca="false">HOUR(E857)</f>
        <v>18</v>
      </c>
      <c r="K857" s="2" t="str">
        <f aca="false">IF(J857&lt;11,"Pagi",IF(J857&lt;17,"Siang","Malam"))</f>
        <v>Malam</v>
      </c>
      <c r="L857" s="2" t="n">
        <f aca="false">IF(A857&lt;&gt;A856,1,0)</f>
        <v>1</v>
      </c>
    </row>
    <row r="858" customFormat="false" ht="15" hidden="false" customHeight="false" outlineLevel="0" collapsed="false">
      <c r="A858" s="2" t="s">
        <v>970</v>
      </c>
      <c r="B858" s="13" t="n">
        <v>46276</v>
      </c>
      <c r="C858" s="2" t="s">
        <v>84</v>
      </c>
      <c r="D858" s="2" t="n">
        <v>1</v>
      </c>
      <c r="E858" s="15" t="n">
        <v>0.768055555555556</v>
      </c>
      <c r="F858" s="7" t="n">
        <v>5000</v>
      </c>
      <c r="G858" s="7" t="n">
        <f aca="false">D858*F858</f>
        <v>5000</v>
      </c>
      <c r="H858" s="2" t="str">
        <f aca="false">INDEX(Daftar_Menu!$B$2:$B$13,MATCH(C858,Daftar_Menu!$A$2:$A$13,0))</f>
        <v>Minuman</v>
      </c>
      <c r="I858" s="2" t="str">
        <f aca="false">CHOOSE(WEEKDAY(B858,2),"Senin","Selasa","Rabu","Kamis","Jumat","Sabtu","Minggu")</f>
        <v>Jumat</v>
      </c>
      <c r="J858" s="2" t="n">
        <f aca="false">HOUR(E858)</f>
        <v>18</v>
      </c>
      <c r="K858" s="2" t="str">
        <f aca="false">IF(J858&lt;11,"Pagi",IF(J858&lt;17,"Siang","Malam"))</f>
        <v>Malam</v>
      </c>
      <c r="L858" s="2" t="n">
        <f aca="false">IF(A858&lt;&gt;A857,1,0)</f>
        <v>0</v>
      </c>
    </row>
    <row r="859" customFormat="false" ht="15" hidden="false" customHeight="false" outlineLevel="0" collapsed="false">
      <c r="A859" s="2" t="s">
        <v>971</v>
      </c>
      <c r="B859" s="13" t="n">
        <v>46276</v>
      </c>
      <c r="C859" s="2" t="s">
        <v>126</v>
      </c>
      <c r="D859" s="2" t="n">
        <v>1</v>
      </c>
      <c r="E859" s="15" t="n">
        <v>0.772916666666667</v>
      </c>
      <c r="F859" s="7" t="n">
        <v>3000</v>
      </c>
      <c r="G859" s="7" t="n">
        <f aca="false">D859*F859</f>
        <v>3000</v>
      </c>
      <c r="H859" s="2" t="str">
        <f aca="false">INDEX(Daftar_Menu!$B$2:$B$13,MATCH(C859,Daftar_Menu!$A$2:$A$13,0))</f>
        <v>Minuman</v>
      </c>
      <c r="I859" s="2" t="str">
        <f aca="false">CHOOSE(WEEKDAY(B859,2),"Senin","Selasa","Rabu","Kamis","Jumat","Sabtu","Minggu")</f>
        <v>Jumat</v>
      </c>
      <c r="J859" s="2" t="n">
        <f aca="false">HOUR(E859)</f>
        <v>18</v>
      </c>
      <c r="K859" s="2" t="str">
        <f aca="false">IF(J859&lt;11,"Pagi",IF(J859&lt;17,"Siang","Malam"))</f>
        <v>Malam</v>
      </c>
      <c r="L859" s="2" t="n">
        <f aca="false">IF(A859&lt;&gt;A858,1,0)</f>
        <v>1</v>
      </c>
    </row>
    <row r="860" customFormat="false" ht="15" hidden="false" customHeight="false" outlineLevel="0" collapsed="false">
      <c r="A860" s="2" t="s">
        <v>971</v>
      </c>
      <c r="B860" s="13" t="n">
        <v>46276</v>
      </c>
      <c r="C860" s="2" t="s">
        <v>101</v>
      </c>
      <c r="D860" s="2" t="n">
        <v>1</v>
      </c>
      <c r="E860" s="15" t="n">
        <v>0.772916666666667</v>
      </c>
      <c r="F860" s="7" t="n">
        <v>18000</v>
      </c>
      <c r="G860" s="7" t="n">
        <f aca="false">D860*F860</f>
        <v>18000</v>
      </c>
      <c r="H860" s="2" t="str">
        <f aca="false">INDEX(Daftar_Menu!$B$2:$B$13,MATCH(C860,Daftar_Menu!$A$2:$A$13,0))</f>
        <v>Makanan</v>
      </c>
      <c r="I860" s="2" t="str">
        <f aca="false">CHOOSE(WEEKDAY(B860,2),"Senin","Selasa","Rabu","Kamis","Jumat","Sabtu","Minggu")</f>
        <v>Jumat</v>
      </c>
      <c r="J860" s="2" t="n">
        <f aca="false">HOUR(E860)</f>
        <v>18</v>
      </c>
      <c r="K860" s="2" t="str">
        <f aca="false">IF(J860&lt;11,"Pagi",IF(J860&lt;17,"Siang","Malam"))</f>
        <v>Malam</v>
      </c>
      <c r="L860" s="2" t="n">
        <f aca="false">IF(A860&lt;&gt;A859,1,0)</f>
        <v>0</v>
      </c>
    </row>
    <row r="861" customFormat="false" ht="15" hidden="false" customHeight="false" outlineLevel="0" collapsed="false">
      <c r="A861" s="2" t="s">
        <v>972</v>
      </c>
      <c r="B861" s="13" t="n">
        <v>46276</v>
      </c>
      <c r="C861" s="2" t="s">
        <v>132</v>
      </c>
      <c r="D861" s="2" t="n">
        <v>1</v>
      </c>
      <c r="E861" s="15" t="n">
        <v>0.773611111111111</v>
      </c>
      <c r="F861" s="7" t="n">
        <v>15000</v>
      </c>
      <c r="G861" s="7" t="n">
        <f aca="false">D861*F861</f>
        <v>15000</v>
      </c>
      <c r="H861" s="2" t="str">
        <f aca="false">INDEX(Daftar_Menu!$B$2:$B$13,MATCH(C861,Daftar_Menu!$A$2:$A$13,0))</f>
        <v>Makanan</v>
      </c>
      <c r="I861" s="2" t="str">
        <f aca="false">CHOOSE(WEEKDAY(B861,2),"Senin","Selasa","Rabu","Kamis","Jumat","Sabtu","Minggu")</f>
        <v>Jumat</v>
      </c>
      <c r="J861" s="2" t="n">
        <f aca="false">HOUR(E861)</f>
        <v>18</v>
      </c>
      <c r="K861" s="2" t="str">
        <f aca="false">IF(J861&lt;11,"Pagi",IF(J861&lt;17,"Siang","Malam"))</f>
        <v>Malam</v>
      </c>
      <c r="L861" s="2" t="n">
        <f aca="false">IF(A861&lt;&gt;A860,1,0)</f>
        <v>1</v>
      </c>
    </row>
    <row r="862" customFormat="false" ht="15" hidden="false" customHeight="false" outlineLevel="0" collapsed="false">
      <c r="A862" s="2" t="s">
        <v>972</v>
      </c>
      <c r="B862" s="13" t="n">
        <v>46276</v>
      </c>
      <c r="C862" s="2" t="s">
        <v>101</v>
      </c>
      <c r="D862" s="2" t="n">
        <v>1</v>
      </c>
      <c r="E862" s="15" t="n">
        <v>0.773611111111111</v>
      </c>
      <c r="F862" s="7" t="n">
        <v>18000</v>
      </c>
      <c r="G862" s="7" t="n">
        <f aca="false">D862*F862</f>
        <v>18000</v>
      </c>
      <c r="H862" s="2" t="str">
        <f aca="false">INDEX(Daftar_Menu!$B$2:$B$13,MATCH(C862,Daftar_Menu!$A$2:$A$13,0))</f>
        <v>Makanan</v>
      </c>
      <c r="I862" s="2" t="str">
        <f aca="false">CHOOSE(WEEKDAY(B862,2),"Senin","Selasa","Rabu","Kamis","Jumat","Sabtu","Minggu")</f>
        <v>Jumat</v>
      </c>
      <c r="J862" s="2" t="n">
        <f aca="false">HOUR(E862)</f>
        <v>18</v>
      </c>
      <c r="K862" s="2" t="str">
        <f aca="false">IF(J862&lt;11,"Pagi",IF(J862&lt;17,"Siang","Malam"))</f>
        <v>Malam</v>
      </c>
      <c r="L862" s="2" t="n">
        <f aca="false">IF(A862&lt;&gt;A861,1,0)</f>
        <v>0</v>
      </c>
    </row>
    <row r="863" customFormat="false" ht="15" hidden="false" customHeight="false" outlineLevel="0" collapsed="false">
      <c r="A863" s="2" t="s">
        <v>973</v>
      </c>
      <c r="B863" s="13" t="n">
        <v>46276</v>
      </c>
      <c r="C863" s="2" t="s">
        <v>132</v>
      </c>
      <c r="D863" s="2" t="n">
        <v>3</v>
      </c>
      <c r="E863" s="15" t="n">
        <v>0.774305555555556</v>
      </c>
      <c r="F863" s="7" t="n">
        <v>15000</v>
      </c>
      <c r="G863" s="7" t="n">
        <f aca="false">D863*F863</f>
        <v>45000</v>
      </c>
      <c r="H863" s="2" t="str">
        <f aca="false">INDEX(Daftar_Menu!$B$2:$B$13,MATCH(C863,Daftar_Menu!$A$2:$A$13,0))</f>
        <v>Makanan</v>
      </c>
      <c r="I863" s="2" t="str">
        <f aca="false">CHOOSE(WEEKDAY(B863,2),"Senin","Selasa","Rabu","Kamis","Jumat","Sabtu","Minggu")</f>
        <v>Jumat</v>
      </c>
      <c r="J863" s="2" t="n">
        <f aca="false">HOUR(E863)</f>
        <v>18</v>
      </c>
      <c r="K863" s="2" t="str">
        <f aca="false">IF(J863&lt;11,"Pagi",IF(J863&lt;17,"Siang","Malam"))</f>
        <v>Malam</v>
      </c>
      <c r="L863" s="2" t="n">
        <f aca="false">IF(A863&lt;&gt;A862,1,0)</f>
        <v>1</v>
      </c>
    </row>
    <row r="864" customFormat="false" ht="15" hidden="false" customHeight="false" outlineLevel="0" collapsed="false">
      <c r="A864" s="2" t="s">
        <v>974</v>
      </c>
      <c r="B864" s="13" t="n">
        <v>46276</v>
      </c>
      <c r="C864" s="2" t="s">
        <v>84</v>
      </c>
      <c r="D864" s="2" t="n">
        <v>2</v>
      </c>
      <c r="E864" s="15" t="n">
        <v>0.775694444444445</v>
      </c>
      <c r="F864" s="7" t="n">
        <v>5000</v>
      </c>
      <c r="G864" s="7" t="n">
        <f aca="false">D864*F864</f>
        <v>10000</v>
      </c>
      <c r="H864" s="2" t="str">
        <f aca="false">INDEX(Daftar_Menu!$B$2:$B$13,MATCH(C864,Daftar_Menu!$A$2:$A$13,0))</f>
        <v>Minuman</v>
      </c>
      <c r="I864" s="2" t="str">
        <f aca="false">CHOOSE(WEEKDAY(B864,2),"Senin","Selasa","Rabu","Kamis","Jumat","Sabtu","Minggu")</f>
        <v>Jumat</v>
      </c>
      <c r="J864" s="2" t="n">
        <f aca="false">HOUR(E864)</f>
        <v>18</v>
      </c>
      <c r="K864" s="2" t="str">
        <f aca="false">IF(J864&lt;11,"Pagi",IF(J864&lt;17,"Siang","Malam"))</f>
        <v>Malam</v>
      </c>
      <c r="L864" s="2" t="n">
        <f aca="false">IF(A864&lt;&gt;A863,1,0)</f>
        <v>1</v>
      </c>
    </row>
    <row r="865" customFormat="false" ht="15" hidden="false" customHeight="false" outlineLevel="0" collapsed="false">
      <c r="A865" s="2" t="s">
        <v>974</v>
      </c>
      <c r="B865" s="13" t="n">
        <v>46276</v>
      </c>
      <c r="C865" s="2" t="s">
        <v>82</v>
      </c>
      <c r="D865" s="2" t="n">
        <v>2</v>
      </c>
      <c r="E865" s="15" t="n">
        <v>0.775694444444445</v>
      </c>
      <c r="F865" s="7" t="n">
        <v>13000</v>
      </c>
      <c r="G865" s="7" t="n">
        <f aca="false">D865*F865</f>
        <v>26000</v>
      </c>
      <c r="H865" s="2" t="str">
        <f aca="false">INDEX(Daftar_Menu!$B$2:$B$13,MATCH(C865,Daftar_Menu!$A$2:$A$13,0))</f>
        <v>Makanan</v>
      </c>
      <c r="I865" s="2" t="str">
        <f aca="false">CHOOSE(WEEKDAY(B865,2),"Senin","Selasa","Rabu","Kamis","Jumat","Sabtu","Minggu")</f>
        <v>Jumat</v>
      </c>
      <c r="J865" s="2" t="n">
        <f aca="false">HOUR(E865)</f>
        <v>18</v>
      </c>
      <c r="K865" s="2" t="str">
        <f aca="false">IF(J865&lt;11,"Pagi",IF(J865&lt;17,"Siang","Malam"))</f>
        <v>Malam</v>
      </c>
      <c r="L865" s="2" t="n">
        <f aca="false">IF(A865&lt;&gt;A864,1,0)</f>
        <v>0</v>
      </c>
    </row>
    <row r="866" customFormat="false" ht="15" hidden="false" customHeight="false" outlineLevel="0" collapsed="false">
      <c r="A866" s="2" t="s">
        <v>974</v>
      </c>
      <c r="B866" s="13" t="n">
        <v>46276</v>
      </c>
      <c r="C866" s="2" t="s">
        <v>81</v>
      </c>
      <c r="D866" s="2" t="n">
        <v>1</v>
      </c>
      <c r="E866" s="15" t="n">
        <v>0.775694444444445</v>
      </c>
      <c r="F866" s="7" t="n">
        <v>15000</v>
      </c>
      <c r="G866" s="7" t="n">
        <f aca="false">D866*F866</f>
        <v>15000</v>
      </c>
      <c r="H866" s="2" t="str">
        <f aca="false">INDEX(Daftar_Menu!$B$2:$B$13,MATCH(C866,Daftar_Menu!$A$2:$A$13,0))</f>
        <v>Makanan</v>
      </c>
      <c r="I866" s="2" t="str">
        <f aca="false">CHOOSE(WEEKDAY(B866,2),"Senin","Selasa","Rabu","Kamis","Jumat","Sabtu","Minggu")</f>
        <v>Jumat</v>
      </c>
      <c r="J866" s="2" t="n">
        <f aca="false">HOUR(E866)</f>
        <v>18</v>
      </c>
      <c r="K866" s="2" t="str">
        <f aca="false">IF(J866&lt;11,"Pagi",IF(J866&lt;17,"Siang","Malam"))</f>
        <v>Malam</v>
      </c>
      <c r="L866" s="2" t="n">
        <f aca="false">IF(A866&lt;&gt;A865,1,0)</f>
        <v>0</v>
      </c>
    </row>
    <row r="867" customFormat="false" ht="15" hidden="false" customHeight="false" outlineLevel="0" collapsed="false">
      <c r="A867" s="2" t="s">
        <v>975</v>
      </c>
      <c r="B867" s="13" t="n">
        <v>46276</v>
      </c>
      <c r="C867" s="2" t="s">
        <v>84</v>
      </c>
      <c r="D867" s="2" t="n">
        <v>2</v>
      </c>
      <c r="E867" s="15" t="n">
        <v>0.777777777777778</v>
      </c>
      <c r="F867" s="7" t="n">
        <v>5000</v>
      </c>
      <c r="G867" s="7" t="n">
        <f aca="false">D867*F867</f>
        <v>10000</v>
      </c>
      <c r="H867" s="2" t="str">
        <f aca="false">INDEX(Daftar_Menu!$B$2:$B$13,MATCH(C867,Daftar_Menu!$A$2:$A$13,0))</f>
        <v>Minuman</v>
      </c>
      <c r="I867" s="2" t="str">
        <f aca="false">CHOOSE(WEEKDAY(B867,2),"Senin","Selasa","Rabu","Kamis","Jumat","Sabtu","Minggu")</f>
        <v>Jumat</v>
      </c>
      <c r="J867" s="2" t="n">
        <f aca="false">HOUR(E867)</f>
        <v>18</v>
      </c>
      <c r="K867" s="2" t="str">
        <f aca="false">IF(J867&lt;11,"Pagi",IF(J867&lt;17,"Siang","Malam"))</f>
        <v>Malam</v>
      </c>
      <c r="L867" s="2" t="n">
        <f aca="false">IF(A867&lt;&gt;A866,1,0)</f>
        <v>1</v>
      </c>
    </row>
    <row r="868" customFormat="false" ht="15" hidden="false" customHeight="false" outlineLevel="0" collapsed="false">
      <c r="A868" s="2" t="s">
        <v>975</v>
      </c>
      <c r="B868" s="13" t="n">
        <v>46276</v>
      </c>
      <c r="C868" s="2" t="s">
        <v>101</v>
      </c>
      <c r="D868" s="2" t="n">
        <v>2</v>
      </c>
      <c r="E868" s="15" t="n">
        <v>0.777777777777778</v>
      </c>
      <c r="F868" s="7" t="n">
        <v>18000</v>
      </c>
      <c r="G868" s="7" t="n">
        <f aca="false">D868*F868</f>
        <v>36000</v>
      </c>
      <c r="H868" s="2" t="str">
        <f aca="false">INDEX(Daftar_Menu!$B$2:$B$13,MATCH(C868,Daftar_Menu!$A$2:$A$13,0))</f>
        <v>Makanan</v>
      </c>
      <c r="I868" s="2" t="str">
        <f aca="false">CHOOSE(WEEKDAY(B868,2),"Senin","Selasa","Rabu","Kamis","Jumat","Sabtu","Minggu")</f>
        <v>Jumat</v>
      </c>
      <c r="J868" s="2" t="n">
        <f aca="false">HOUR(E868)</f>
        <v>18</v>
      </c>
      <c r="K868" s="2" t="str">
        <f aca="false">IF(J868&lt;11,"Pagi",IF(J868&lt;17,"Siang","Malam"))</f>
        <v>Malam</v>
      </c>
      <c r="L868" s="2" t="n">
        <f aca="false">IF(A868&lt;&gt;A867,1,0)</f>
        <v>0</v>
      </c>
    </row>
    <row r="869" customFormat="false" ht="15" hidden="false" customHeight="false" outlineLevel="0" collapsed="false">
      <c r="A869" s="2" t="s">
        <v>977</v>
      </c>
      <c r="B869" s="13" t="n">
        <v>46276</v>
      </c>
      <c r="C869" s="2" t="s">
        <v>84</v>
      </c>
      <c r="D869" s="2" t="n">
        <v>1</v>
      </c>
      <c r="E869" s="15" t="n">
        <v>0.788194444444444</v>
      </c>
      <c r="F869" s="7" t="n">
        <v>5000</v>
      </c>
      <c r="G869" s="7" t="n">
        <f aca="false">D869*F869</f>
        <v>5000</v>
      </c>
      <c r="H869" s="2" t="str">
        <f aca="false">INDEX(Daftar_Menu!$B$2:$B$13,MATCH(C869,Daftar_Menu!$A$2:$A$13,0))</f>
        <v>Minuman</v>
      </c>
      <c r="I869" s="2" t="str">
        <f aca="false">CHOOSE(WEEKDAY(B869,2),"Senin","Selasa","Rabu","Kamis","Jumat","Sabtu","Minggu")</f>
        <v>Jumat</v>
      </c>
      <c r="J869" s="2" t="n">
        <f aca="false">HOUR(E869)</f>
        <v>18</v>
      </c>
      <c r="K869" s="2" t="str">
        <f aca="false">IF(J869&lt;11,"Pagi",IF(J869&lt;17,"Siang","Malam"))</f>
        <v>Malam</v>
      </c>
      <c r="L869" s="2" t="n">
        <f aca="false">IF(A869&lt;&gt;A868,1,0)</f>
        <v>1</v>
      </c>
    </row>
    <row r="870" customFormat="false" ht="15" hidden="false" customHeight="false" outlineLevel="0" collapsed="false">
      <c r="A870" s="2" t="s">
        <v>977</v>
      </c>
      <c r="B870" s="13" t="n">
        <v>46276</v>
      </c>
      <c r="C870" s="2" t="s">
        <v>101</v>
      </c>
      <c r="D870" s="2" t="n">
        <v>1</v>
      </c>
      <c r="E870" s="15" t="n">
        <v>0.788194444444444</v>
      </c>
      <c r="F870" s="7" t="n">
        <v>18000</v>
      </c>
      <c r="G870" s="7" t="n">
        <f aca="false">D870*F870</f>
        <v>18000</v>
      </c>
      <c r="H870" s="2" t="str">
        <f aca="false">INDEX(Daftar_Menu!$B$2:$B$13,MATCH(C870,Daftar_Menu!$A$2:$A$13,0))</f>
        <v>Makanan</v>
      </c>
      <c r="I870" s="2" t="str">
        <f aca="false">CHOOSE(WEEKDAY(B870,2),"Senin","Selasa","Rabu","Kamis","Jumat","Sabtu","Minggu")</f>
        <v>Jumat</v>
      </c>
      <c r="J870" s="2" t="n">
        <f aca="false">HOUR(E870)</f>
        <v>18</v>
      </c>
      <c r="K870" s="2" t="str">
        <f aca="false">IF(J870&lt;11,"Pagi",IF(J870&lt;17,"Siang","Malam"))</f>
        <v>Malam</v>
      </c>
      <c r="L870" s="2" t="n">
        <f aca="false">IF(A870&lt;&gt;A869,1,0)</f>
        <v>0</v>
      </c>
    </row>
    <row r="871" customFormat="false" ht="15" hidden="false" customHeight="false" outlineLevel="0" collapsed="false">
      <c r="A871" s="2" t="s">
        <v>978</v>
      </c>
      <c r="B871" s="13" t="n">
        <v>46276</v>
      </c>
      <c r="C871" s="2" t="s">
        <v>108</v>
      </c>
      <c r="D871" s="2" t="n">
        <v>1</v>
      </c>
      <c r="E871" s="15" t="n">
        <v>0.795138888888889</v>
      </c>
      <c r="F871" s="7" t="n">
        <v>20000</v>
      </c>
      <c r="G871" s="7" t="n">
        <f aca="false">D871*F871</f>
        <v>20000</v>
      </c>
      <c r="H871" s="2" t="str">
        <f aca="false">INDEX(Daftar_Menu!$B$2:$B$13,MATCH(C871,Daftar_Menu!$A$2:$A$13,0))</f>
        <v>Makanan</v>
      </c>
      <c r="I871" s="2" t="str">
        <f aca="false">CHOOSE(WEEKDAY(B871,2),"Senin","Selasa","Rabu","Kamis","Jumat","Sabtu","Minggu")</f>
        <v>Jumat</v>
      </c>
      <c r="J871" s="2" t="n">
        <f aca="false">HOUR(E871)</f>
        <v>19</v>
      </c>
      <c r="K871" s="2" t="str">
        <f aca="false">IF(J871&lt;11,"Pagi",IF(J871&lt;17,"Siang","Malam"))</f>
        <v>Malam</v>
      </c>
      <c r="L871" s="2" t="n">
        <f aca="false">IF(A871&lt;&gt;A870,1,0)</f>
        <v>1</v>
      </c>
    </row>
    <row r="872" customFormat="false" ht="15" hidden="false" customHeight="false" outlineLevel="0" collapsed="false">
      <c r="A872" s="2" t="s">
        <v>979</v>
      </c>
      <c r="B872" s="13" t="n">
        <v>46276</v>
      </c>
      <c r="C872" s="2" t="s">
        <v>92</v>
      </c>
      <c r="D872" s="2" t="n">
        <v>2</v>
      </c>
      <c r="E872" s="15" t="n">
        <v>0.8</v>
      </c>
      <c r="F872" s="7" t="n">
        <v>4000</v>
      </c>
      <c r="G872" s="7" t="n">
        <f aca="false">D872*F872</f>
        <v>8000</v>
      </c>
      <c r="H872" s="2" t="str">
        <f aca="false">INDEX(Daftar_Menu!$B$2:$B$13,MATCH(C872,Daftar_Menu!$A$2:$A$13,0))</f>
        <v>Minuman</v>
      </c>
      <c r="I872" s="2" t="str">
        <f aca="false">CHOOSE(WEEKDAY(B872,2),"Senin","Selasa","Rabu","Kamis","Jumat","Sabtu","Minggu")</f>
        <v>Jumat</v>
      </c>
      <c r="J872" s="2" t="n">
        <f aca="false">HOUR(E872)</f>
        <v>19</v>
      </c>
      <c r="K872" s="2" t="str">
        <f aca="false">IF(J872&lt;11,"Pagi",IF(J872&lt;17,"Siang","Malam"))</f>
        <v>Malam</v>
      </c>
      <c r="L872" s="2" t="n">
        <f aca="false">IF(A872&lt;&gt;A871,1,0)</f>
        <v>1</v>
      </c>
    </row>
    <row r="873" customFormat="false" ht="15" hidden="false" customHeight="false" outlineLevel="0" collapsed="false">
      <c r="A873" s="2" t="s">
        <v>979</v>
      </c>
      <c r="B873" s="13" t="n">
        <v>46276</v>
      </c>
      <c r="C873" s="2" t="s">
        <v>101</v>
      </c>
      <c r="D873" s="2" t="n">
        <v>1</v>
      </c>
      <c r="E873" s="15" t="n">
        <v>0.8</v>
      </c>
      <c r="F873" s="7" t="n">
        <v>18000</v>
      </c>
      <c r="G873" s="7" t="n">
        <f aca="false">D873*F873</f>
        <v>18000</v>
      </c>
      <c r="H873" s="2" t="str">
        <f aca="false">INDEX(Daftar_Menu!$B$2:$B$13,MATCH(C873,Daftar_Menu!$A$2:$A$13,0))</f>
        <v>Makanan</v>
      </c>
      <c r="I873" s="2" t="str">
        <f aca="false">CHOOSE(WEEKDAY(B873,2),"Senin","Selasa","Rabu","Kamis","Jumat","Sabtu","Minggu")</f>
        <v>Jumat</v>
      </c>
      <c r="J873" s="2" t="n">
        <f aca="false">HOUR(E873)</f>
        <v>19</v>
      </c>
      <c r="K873" s="2" t="str">
        <f aca="false">IF(J873&lt;11,"Pagi",IF(J873&lt;17,"Siang","Malam"))</f>
        <v>Malam</v>
      </c>
      <c r="L873" s="2" t="n">
        <f aca="false">IF(A873&lt;&gt;A872,1,0)</f>
        <v>0</v>
      </c>
    </row>
    <row r="874" customFormat="false" ht="15" hidden="false" customHeight="false" outlineLevel="0" collapsed="false">
      <c r="A874" s="2" t="s">
        <v>979</v>
      </c>
      <c r="B874" s="13" t="n">
        <v>46276</v>
      </c>
      <c r="C874" s="2" t="s">
        <v>108</v>
      </c>
      <c r="D874" s="2" t="n">
        <v>1</v>
      </c>
      <c r="E874" s="15" t="n">
        <v>0.8</v>
      </c>
      <c r="F874" s="7" t="n">
        <v>20000</v>
      </c>
      <c r="G874" s="7" t="n">
        <f aca="false">D874*F874</f>
        <v>20000</v>
      </c>
      <c r="H874" s="2" t="str">
        <f aca="false">INDEX(Daftar_Menu!$B$2:$B$13,MATCH(C874,Daftar_Menu!$A$2:$A$13,0))</f>
        <v>Makanan</v>
      </c>
      <c r="I874" s="2" t="str">
        <f aca="false">CHOOSE(WEEKDAY(B874,2),"Senin","Selasa","Rabu","Kamis","Jumat","Sabtu","Minggu")</f>
        <v>Jumat</v>
      </c>
      <c r="J874" s="2" t="n">
        <f aca="false">HOUR(E874)</f>
        <v>19</v>
      </c>
      <c r="K874" s="2" t="str">
        <f aca="false">IF(J874&lt;11,"Pagi",IF(J874&lt;17,"Siang","Malam"))</f>
        <v>Malam</v>
      </c>
      <c r="L874" s="2" t="n">
        <f aca="false">IF(A874&lt;&gt;A873,1,0)</f>
        <v>0</v>
      </c>
    </row>
    <row r="875" customFormat="false" ht="15" hidden="false" customHeight="false" outlineLevel="0" collapsed="false">
      <c r="A875" s="2" t="s">
        <v>981</v>
      </c>
      <c r="B875" s="13" t="n">
        <v>46276</v>
      </c>
      <c r="C875" s="2" t="s">
        <v>101</v>
      </c>
      <c r="D875" s="2" t="n">
        <v>1</v>
      </c>
      <c r="E875" s="15" t="n">
        <v>0.800694444444445</v>
      </c>
      <c r="F875" s="7" t="n">
        <v>18000</v>
      </c>
      <c r="G875" s="7" t="n">
        <f aca="false">D875*F875</f>
        <v>18000</v>
      </c>
      <c r="H875" s="2" t="str">
        <f aca="false">INDEX(Daftar_Menu!$B$2:$B$13,MATCH(C875,Daftar_Menu!$A$2:$A$13,0))</f>
        <v>Makanan</v>
      </c>
      <c r="I875" s="2" t="str">
        <f aca="false">CHOOSE(WEEKDAY(B875,2),"Senin","Selasa","Rabu","Kamis","Jumat","Sabtu","Minggu")</f>
        <v>Jumat</v>
      </c>
      <c r="J875" s="2" t="n">
        <f aca="false">HOUR(E875)</f>
        <v>19</v>
      </c>
      <c r="K875" s="2" t="str">
        <f aca="false">IF(J875&lt;11,"Pagi",IF(J875&lt;17,"Siang","Malam"))</f>
        <v>Malam</v>
      </c>
      <c r="L875" s="2" t="n">
        <f aca="false">IF(A875&lt;&gt;A874,1,0)</f>
        <v>1</v>
      </c>
    </row>
    <row r="876" customFormat="false" ht="15" hidden="false" customHeight="false" outlineLevel="0" collapsed="false">
      <c r="A876" s="2" t="s">
        <v>982</v>
      </c>
      <c r="B876" s="13" t="n">
        <v>46276</v>
      </c>
      <c r="C876" s="2" t="s">
        <v>101</v>
      </c>
      <c r="D876" s="2" t="n">
        <v>1</v>
      </c>
      <c r="E876" s="15" t="n">
        <v>0.85</v>
      </c>
      <c r="F876" s="7" t="n">
        <v>18000</v>
      </c>
      <c r="G876" s="7" t="n">
        <f aca="false">D876*F876</f>
        <v>18000</v>
      </c>
      <c r="H876" s="2" t="str">
        <f aca="false">INDEX(Daftar_Menu!$B$2:$B$13,MATCH(C876,Daftar_Menu!$A$2:$A$13,0))</f>
        <v>Makanan</v>
      </c>
      <c r="I876" s="2" t="str">
        <f aca="false">CHOOSE(WEEKDAY(B876,2),"Senin","Selasa","Rabu","Kamis","Jumat","Sabtu","Minggu")</f>
        <v>Jumat</v>
      </c>
      <c r="J876" s="2" t="n">
        <f aca="false">HOUR(E876)</f>
        <v>20</v>
      </c>
      <c r="K876" s="2" t="str">
        <f aca="false">IF(J876&lt;11,"Pagi",IF(J876&lt;17,"Siang","Malam"))</f>
        <v>Malam</v>
      </c>
      <c r="L876" s="2" t="n">
        <f aca="false">IF(A876&lt;&gt;A875,1,0)</f>
        <v>1</v>
      </c>
    </row>
    <row r="877" customFormat="false" ht="15" hidden="false" customHeight="false" outlineLevel="0" collapsed="false">
      <c r="A877" s="2" t="s">
        <v>983</v>
      </c>
      <c r="B877" s="13" t="n">
        <v>46276</v>
      </c>
      <c r="C877" s="2" t="s">
        <v>126</v>
      </c>
      <c r="D877" s="2" t="n">
        <v>1</v>
      </c>
      <c r="E877" s="15" t="n">
        <v>0.863888888888889</v>
      </c>
      <c r="F877" s="7" t="n">
        <v>3000</v>
      </c>
      <c r="G877" s="7" t="n">
        <f aca="false">D877*F877</f>
        <v>3000</v>
      </c>
      <c r="H877" s="2" t="str">
        <f aca="false">INDEX(Daftar_Menu!$B$2:$B$13,MATCH(C877,Daftar_Menu!$A$2:$A$13,0))</f>
        <v>Minuman</v>
      </c>
      <c r="I877" s="2" t="str">
        <f aca="false">CHOOSE(WEEKDAY(B877,2),"Senin","Selasa","Rabu","Kamis","Jumat","Sabtu","Minggu")</f>
        <v>Jumat</v>
      </c>
      <c r="J877" s="2" t="n">
        <f aca="false">HOUR(E877)</f>
        <v>20</v>
      </c>
      <c r="K877" s="2" t="str">
        <f aca="false">IF(J877&lt;11,"Pagi",IF(J877&lt;17,"Siang","Malam"))</f>
        <v>Malam</v>
      </c>
      <c r="L877" s="2" t="n">
        <f aca="false">IF(A877&lt;&gt;A876,1,0)</f>
        <v>1</v>
      </c>
    </row>
    <row r="878" customFormat="false" ht="15" hidden="false" customHeight="false" outlineLevel="0" collapsed="false">
      <c r="A878" s="2" t="s">
        <v>984</v>
      </c>
      <c r="B878" s="13" t="n">
        <v>46276</v>
      </c>
      <c r="C878" s="2" t="s">
        <v>132</v>
      </c>
      <c r="D878" s="2" t="n">
        <v>1</v>
      </c>
      <c r="E878" s="15" t="n">
        <v>0.872916666666667</v>
      </c>
      <c r="F878" s="7" t="n">
        <v>15000</v>
      </c>
      <c r="G878" s="7" t="n">
        <f aca="false">D878*F878</f>
        <v>15000</v>
      </c>
      <c r="H878" s="2" t="str">
        <f aca="false">INDEX(Daftar_Menu!$B$2:$B$13,MATCH(C878,Daftar_Menu!$A$2:$A$13,0))</f>
        <v>Makanan</v>
      </c>
      <c r="I878" s="2" t="str">
        <f aca="false">CHOOSE(WEEKDAY(B878,2),"Senin","Selasa","Rabu","Kamis","Jumat","Sabtu","Minggu")</f>
        <v>Jumat</v>
      </c>
      <c r="J878" s="2" t="n">
        <f aca="false">HOUR(E878)</f>
        <v>20</v>
      </c>
      <c r="K878" s="2" t="str">
        <f aca="false">IF(J878&lt;11,"Pagi",IF(J878&lt;17,"Siang","Malam"))</f>
        <v>Malam</v>
      </c>
      <c r="L878" s="2" t="n">
        <f aca="false">IF(A878&lt;&gt;A877,1,0)</f>
        <v>1</v>
      </c>
    </row>
    <row r="879" customFormat="false" ht="15" hidden="false" customHeight="false" outlineLevel="0" collapsed="false">
      <c r="A879" s="2" t="s">
        <v>986</v>
      </c>
      <c r="B879" s="13" t="n">
        <v>46277</v>
      </c>
      <c r="C879" s="2" t="s">
        <v>82</v>
      </c>
      <c r="D879" s="2" t="n">
        <v>1</v>
      </c>
      <c r="E879" s="15" t="n">
        <v>0.334027777777778</v>
      </c>
      <c r="F879" s="7" t="n">
        <v>13000</v>
      </c>
      <c r="G879" s="7" t="n">
        <f aca="false">D879*F879</f>
        <v>13000</v>
      </c>
      <c r="H879" s="2" t="str">
        <f aca="false">INDEX(Daftar_Menu!$B$2:$B$13,MATCH(C879,Daftar_Menu!$A$2:$A$13,0))</f>
        <v>Makanan</v>
      </c>
      <c r="I879" s="2" t="str">
        <f aca="false">CHOOSE(WEEKDAY(B879,2),"Senin","Selasa","Rabu","Kamis","Jumat","Sabtu","Minggu")</f>
        <v>Sabtu</v>
      </c>
      <c r="J879" s="2" t="n">
        <f aca="false">HOUR(E879)</f>
        <v>8</v>
      </c>
      <c r="K879" s="2" t="str">
        <f aca="false">IF(J879&lt;11,"Pagi",IF(J879&lt;17,"Siang","Malam"))</f>
        <v>Pagi</v>
      </c>
      <c r="L879" s="2" t="n">
        <f aca="false">IF(A879&lt;&gt;A878,1,0)</f>
        <v>1</v>
      </c>
    </row>
    <row r="880" customFormat="false" ht="15" hidden="false" customHeight="false" outlineLevel="0" collapsed="false">
      <c r="A880" s="2" t="s">
        <v>986</v>
      </c>
      <c r="B880" s="13" t="n">
        <v>46277</v>
      </c>
      <c r="C880" s="2" t="s">
        <v>79</v>
      </c>
      <c r="D880" s="2" t="n">
        <v>1</v>
      </c>
      <c r="E880" s="15" t="n">
        <v>0.334027777777778</v>
      </c>
      <c r="F880" s="7" t="n">
        <v>16000</v>
      </c>
      <c r="G880" s="7" t="n">
        <f aca="false">D880*F880</f>
        <v>16000</v>
      </c>
      <c r="H880" s="2" t="str">
        <f aca="false">INDEX(Daftar_Menu!$B$2:$B$13,MATCH(C880,Daftar_Menu!$A$2:$A$13,0))</f>
        <v>Makanan</v>
      </c>
      <c r="I880" s="2" t="str">
        <f aca="false">CHOOSE(WEEKDAY(B880,2),"Senin","Selasa","Rabu","Kamis","Jumat","Sabtu","Minggu")</f>
        <v>Sabtu</v>
      </c>
      <c r="J880" s="2" t="n">
        <f aca="false">HOUR(E880)</f>
        <v>8</v>
      </c>
      <c r="K880" s="2" t="str">
        <f aca="false">IF(J880&lt;11,"Pagi",IF(J880&lt;17,"Siang","Malam"))</f>
        <v>Pagi</v>
      </c>
      <c r="L880" s="2" t="n">
        <f aca="false">IF(A880&lt;&gt;A879,1,0)</f>
        <v>0</v>
      </c>
    </row>
    <row r="881" customFormat="false" ht="15" hidden="false" customHeight="false" outlineLevel="0" collapsed="false">
      <c r="A881" s="2" t="s">
        <v>988</v>
      </c>
      <c r="B881" s="13" t="n">
        <v>46277</v>
      </c>
      <c r="C881" s="2" t="s">
        <v>84</v>
      </c>
      <c r="D881" s="2" t="n">
        <v>3</v>
      </c>
      <c r="E881" s="15" t="n">
        <v>0.35</v>
      </c>
      <c r="F881" s="7" t="n">
        <v>5000</v>
      </c>
      <c r="G881" s="7" t="n">
        <f aca="false">D881*F881</f>
        <v>15000</v>
      </c>
      <c r="H881" s="2" t="str">
        <f aca="false">INDEX(Daftar_Menu!$B$2:$B$13,MATCH(C881,Daftar_Menu!$A$2:$A$13,0))</f>
        <v>Minuman</v>
      </c>
      <c r="I881" s="2" t="str">
        <f aca="false">CHOOSE(WEEKDAY(B881,2),"Senin","Selasa","Rabu","Kamis","Jumat","Sabtu","Minggu")</f>
        <v>Sabtu</v>
      </c>
      <c r="J881" s="2" t="n">
        <f aca="false">HOUR(E881)</f>
        <v>8</v>
      </c>
      <c r="K881" s="2" t="str">
        <f aca="false">IF(J881&lt;11,"Pagi",IF(J881&lt;17,"Siang","Malam"))</f>
        <v>Pagi</v>
      </c>
      <c r="L881" s="2" t="n">
        <f aca="false">IF(A881&lt;&gt;A880,1,0)</f>
        <v>1</v>
      </c>
    </row>
    <row r="882" customFormat="false" ht="15" hidden="false" customHeight="false" outlineLevel="0" collapsed="false">
      <c r="A882" s="2" t="s">
        <v>990</v>
      </c>
      <c r="B882" s="13" t="n">
        <v>46277</v>
      </c>
      <c r="C882" s="2" t="s">
        <v>108</v>
      </c>
      <c r="D882" s="2" t="n">
        <v>1</v>
      </c>
      <c r="E882" s="15" t="n">
        <v>0.35</v>
      </c>
      <c r="F882" s="7" t="n">
        <v>20000</v>
      </c>
      <c r="G882" s="7" t="n">
        <f aca="false">D882*F882</f>
        <v>20000</v>
      </c>
      <c r="H882" s="2" t="str">
        <f aca="false">INDEX(Daftar_Menu!$B$2:$B$13,MATCH(C882,Daftar_Menu!$A$2:$A$13,0))</f>
        <v>Makanan</v>
      </c>
      <c r="I882" s="2" t="str">
        <f aca="false">CHOOSE(WEEKDAY(B882,2),"Senin","Selasa","Rabu","Kamis","Jumat","Sabtu","Minggu")</f>
        <v>Sabtu</v>
      </c>
      <c r="J882" s="2" t="n">
        <f aca="false">HOUR(E882)</f>
        <v>8</v>
      </c>
      <c r="K882" s="2" t="str">
        <f aca="false">IF(J882&lt;11,"Pagi",IF(J882&lt;17,"Siang","Malam"))</f>
        <v>Pagi</v>
      </c>
      <c r="L882" s="2" t="n">
        <f aca="false">IF(A882&lt;&gt;A881,1,0)</f>
        <v>1</v>
      </c>
    </row>
    <row r="883" customFormat="false" ht="15" hidden="false" customHeight="false" outlineLevel="0" collapsed="false">
      <c r="A883" s="2" t="s">
        <v>991</v>
      </c>
      <c r="B883" s="13" t="n">
        <v>46277</v>
      </c>
      <c r="C883" s="2" t="s">
        <v>132</v>
      </c>
      <c r="D883" s="2" t="n">
        <v>2</v>
      </c>
      <c r="E883" s="15" t="n">
        <v>0.359027777777778</v>
      </c>
      <c r="F883" s="7" t="n">
        <v>15000</v>
      </c>
      <c r="G883" s="7" t="n">
        <f aca="false">D883*F883</f>
        <v>30000</v>
      </c>
      <c r="H883" s="2" t="str">
        <f aca="false">INDEX(Daftar_Menu!$B$2:$B$13,MATCH(C883,Daftar_Menu!$A$2:$A$13,0))</f>
        <v>Makanan</v>
      </c>
      <c r="I883" s="2" t="str">
        <f aca="false">CHOOSE(WEEKDAY(B883,2),"Senin","Selasa","Rabu","Kamis","Jumat","Sabtu","Minggu")</f>
        <v>Sabtu</v>
      </c>
      <c r="J883" s="2" t="n">
        <f aca="false">HOUR(E883)</f>
        <v>8</v>
      </c>
      <c r="K883" s="2" t="str">
        <f aca="false">IF(J883&lt;11,"Pagi",IF(J883&lt;17,"Siang","Malam"))</f>
        <v>Pagi</v>
      </c>
      <c r="L883" s="2" t="n">
        <f aca="false">IF(A883&lt;&gt;A882,1,0)</f>
        <v>1</v>
      </c>
    </row>
    <row r="884" customFormat="false" ht="15" hidden="false" customHeight="false" outlineLevel="0" collapsed="false">
      <c r="A884" s="2" t="s">
        <v>991</v>
      </c>
      <c r="B884" s="13" t="n">
        <v>46277</v>
      </c>
      <c r="C884" s="2" t="s">
        <v>92</v>
      </c>
      <c r="D884" s="2" t="n">
        <v>2</v>
      </c>
      <c r="E884" s="15" t="n">
        <v>0.359027777777778</v>
      </c>
      <c r="F884" s="7" t="n">
        <v>4000</v>
      </c>
      <c r="G884" s="7" t="n">
        <f aca="false">D884*F884</f>
        <v>8000</v>
      </c>
      <c r="H884" s="2" t="str">
        <f aca="false">INDEX(Daftar_Menu!$B$2:$B$13,MATCH(C884,Daftar_Menu!$A$2:$A$13,0))</f>
        <v>Minuman</v>
      </c>
      <c r="I884" s="2" t="str">
        <f aca="false">CHOOSE(WEEKDAY(B884,2),"Senin","Selasa","Rabu","Kamis","Jumat","Sabtu","Minggu")</f>
        <v>Sabtu</v>
      </c>
      <c r="J884" s="2" t="n">
        <f aca="false">HOUR(E884)</f>
        <v>8</v>
      </c>
      <c r="K884" s="2" t="str">
        <f aca="false">IF(J884&lt;11,"Pagi",IF(J884&lt;17,"Siang","Malam"))</f>
        <v>Pagi</v>
      </c>
      <c r="L884" s="2" t="n">
        <f aca="false">IF(A884&lt;&gt;A883,1,0)</f>
        <v>0</v>
      </c>
    </row>
    <row r="885" customFormat="false" ht="15" hidden="false" customHeight="false" outlineLevel="0" collapsed="false">
      <c r="A885" s="2" t="s">
        <v>993</v>
      </c>
      <c r="B885" s="13" t="n">
        <v>46277</v>
      </c>
      <c r="C885" s="2" t="s">
        <v>132</v>
      </c>
      <c r="D885" s="2" t="n">
        <v>1</v>
      </c>
      <c r="E885" s="15" t="n">
        <v>0.359722222222222</v>
      </c>
      <c r="F885" s="7" t="n">
        <v>15000</v>
      </c>
      <c r="G885" s="7" t="n">
        <f aca="false">D885*F885</f>
        <v>15000</v>
      </c>
      <c r="H885" s="2" t="str">
        <f aca="false">INDEX(Daftar_Menu!$B$2:$B$13,MATCH(C885,Daftar_Menu!$A$2:$A$13,0))</f>
        <v>Makanan</v>
      </c>
      <c r="I885" s="2" t="str">
        <f aca="false">CHOOSE(WEEKDAY(B885,2),"Senin","Selasa","Rabu","Kamis","Jumat","Sabtu","Minggu")</f>
        <v>Sabtu</v>
      </c>
      <c r="J885" s="2" t="n">
        <f aca="false">HOUR(E885)</f>
        <v>8</v>
      </c>
      <c r="K885" s="2" t="str">
        <f aca="false">IF(J885&lt;11,"Pagi",IF(J885&lt;17,"Siang","Malam"))</f>
        <v>Pagi</v>
      </c>
      <c r="L885" s="2" t="n">
        <f aca="false">IF(A885&lt;&gt;A884,1,0)</f>
        <v>1</v>
      </c>
    </row>
    <row r="886" customFormat="false" ht="15" hidden="false" customHeight="false" outlineLevel="0" collapsed="false">
      <c r="A886" s="2" t="s">
        <v>995</v>
      </c>
      <c r="B886" s="13" t="n">
        <v>46277</v>
      </c>
      <c r="C886" s="2" t="s">
        <v>84</v>
      </c>
      <c r="D886" s="2" t="n">
        <v>2</v>
      </c>
      <c r="E886" s="15" t="n">
        <v>0.416666666666667</v>
      </c>
      <c r="F886" s="7" t="n">
        <v>5000</v>
      </c>
      <c r="G886" s="7" t="n">
        <f aca="false">D886*F886</f>
        <v>10000</v>
      </c>
      <c r="H886" s="2" t="str">
        <f aca="false">INDEX(Daftar_Menu!$B$2:$B$13,MATCH(C886,Daftar_Menu!$A$2:$A$13,0))</f>
        <v>Minuman</v>
      </c>
      <c r="I886" s="2" t="str">
        <f aca="false">CHOOSE(WEEKDAY(B886,2),"Senin","Selasa","Rabu","Kamis","Jumat","Sabtu","Minggu")</f>
        <v>Sabtu</v>
      </c>
      <c r="J886" s="2" t="n">
        <f aca="false">HOUR(E886)</f>
        <v>10</v>
      </c>
      <c r="K886" s="2" t="str">
        <f aca="false">IF(J886&lt;11,"Pagi",IF(J886&lt;17,"Siang","Malam"))</f>
        <v>Pagi</v>
      </c>
      <c r="L886" s="2" t="n">
        <f aca="false">IF(A886&lt;&gt;A885,1,0)</f>
        <v>1</v>
      </c>
    </row>
    <row r="887" customFormat="false" ht="15" hidden="false" customHeight="false" outlineLevel="0" collapsed="false">
      <c r="A887" s="2" t="s">
        <v>995</v>
      </c>
      <c r="B887" s="13" t="n">
        <v>46277</v>
      </c>
      <c r="C887" s="2" t="s">
        <v>89</v>
      </c>
      <c r="D887" s="2" t="n">
        <v>1</v>
      </c>
      <c r="E887" s="15" t="n">
        <v>0.416666666666667</v>
      </c>
      <c r="F887" s="7" t="n">
        <v>14000</v>
      </c>
      <c r="G887" s="7" t="n">
        <f aca="false">D887*F887</f>
        <v>14000</v>
      </c>
      <c r="H887" s="2" t="str">
        <f aca="false">INDEX(Daftar_Menu!$B$2:$B$13,MATCH(C887,Daftar_Menu!$A$2:$A$13,0))</f>
        <v>Makanan</v>
      </c>
      <c r="I887" s="2" t="str">
        <f aca="false">CHOOSE(WEEKDAY(B887,2),"Senin","Selasa","Rabu","Kamis","Jumat","Sabtu","Minggu")</f>
        <v>Sabtu</v>
      </c>
      <c r="J887" s="2" t="n">
        <f aca="false">HOUR(E887)</f>
        <v>10</v>
      </c>
      <c r="K887" s="2" t="str">
        <f aca="false">IF(J887&lt;11,"Pagi",IF(J887&lt;17,"Siang","Malam"))</f>
        <v>Pagi</v>
      </c>
      <c r="L887" s="2" t="n">
        <f aca="false">IF(A887&lt;&gt;A886,1,0)</f>
        <v>0</v>
      </c>
    </row>
    <row r="888" customFormat="false" ht="15" hidden="false" customHeight="false" outlineLevel="0" collapsed="false">
      <c r="A888" s="2" t="s">
        <v>995</v>
      </c>
      <c r="B888" s="13" t="n">
        <v>46277</v>
      </c>
      <c r="C888" s="2" t="s">
        <v>101</v>
      </c>
      <c r="D888" s="2" t="n">
        <v>3</v>
      </c>
      <c r="E888" s="15" t="n">
        <v>0.416666666666667</v>
      </c>
      <c r="F888" s="7" t="n">
        <v>18000</v>
      </c>
      <c r="G888" s="7" t="n">
        <f aca="false">D888*F888</f>
        <v>54000</v>
      </c>
      <c r="H888" s="2" t="str">
        <f aca="false">INDEX(Daftar_Menu!$B$2:$B$13,MATCH(C888,Daftar_Menu!$A$2:$A$13,0))</f>
        <v>Makanan</v>
      </c>
      <c r="I888" s="2" t="str">
        <f aca="false">CHOOSE(WEEKDAY(B888,2),"Senin","Selasa","Rabu","Kamis","Jumat","Sabtu","Minggu")</f>
        <v>Sabtu</v>
      </c>
      <c r="J888" s="2" t="n">
        <f aca="false">HOUR(E888)</f>
        <v>10</v>
      </c>
      <c r="K888" s="2" t="str">
        <f aca="false">IF(J888&lt;11,"Pagi",IF(J888&lt;17,"Siang","Malam"))</f>
        <v>Pagi</v>
      </c>
      <c r="L888" s="2" t="n">
        <f aca="false">IF(A888&lt;&gt;A887,1,0)</f>
        <v>0</v>
      </c>
    </row>
    <row r="889" customFormat="false" ht="15" hidden="false" customHeight="false" outlineLevel="0" collapsed="false">
      <c r="A889" s="2" t="s">
        <v>997</v>
      </c>
      <c r="B889" s="13" t="n">
        <v>46277</v>
      </c>
      <c r="C889" s="2" t="s">
        <v>81</v>
      </c>
      <c r="D889" s="2" t="n">
        <v>2</v>
      </c>
      <c r="E889" s="15" t="n">
        <v>0.418055555555556</v>
      </c>
      <c r="F889" s="7" t="n">
        <v>15000</v>
      </c>
      <c r="G889" s="7" t="n">
        <f aca="false">D889*F889</f>
        <v>30000</v>
      </c>
      <c r="H889" s="2" t="str">
        <f aca="false">INDEX(Daftar_Menu!$B$2:$B$13,MATCH(C889,Daftar_Menu!$A$2:$A$13,0))</f>
        <v>Makanan</v>
      </c>
      <c r="I889" s="2" t="str">
        <f aca="false">CHOOSE(WEEKDAY(B889,2),"Senin","Selasa","Rabu","Kamis","Jumat","Sabtu","Minggu")</f>
        <v>Sabtu</v>
      </c>
      <c r="J889" s="2" t="n">
        <f aca="false">HOUR(E889)</f>
        <v>10</v>
      </c>
      <c r="K889" s="2" t="str">
        <f aca="false">IF(J889&lt;11,"Pagi",IF(J889&lt;17,"Siang","Malam"))</f>
        <v>Pagi</v>
      </c>
      <c r="L889" s="2" t="n">
        <f aca="false">IF(A889&lt;&gt;A888,1,0)</f>
        <v>1</v>
      </c>
    </row>
    <row r="890" customFormat="false" ht="15" hidden="false" customHeight="false" outlineLevel="0" collapsed="false">
      <c r="A890" s="2" t="s">
        <v>999</v>
      </c>
      <c r="B890" s="13" t="n">
        <v>46277</v>
      </c>
      <c r="C890" s="2" t="s">
        <v>84</v>
      </c>
      <c r="D890" s="2" t="n">
        <v>1</v>
      </c>
      <c r="E890" s="15" t="n">
        <v>0.431944444444445</v>
      </c>
      <c r="F890" s="7" t="n">
        <v>5000</v>
      </c>
      <c r="G890" s="7" t="n">
        <f aca="false">D890*F890</f>
        <v>5000</v>
      </c>
      <c r="H890" s="2" t="str">
        <f aca="false">INDEX(Daftar_Menu!$B$2:$B$13,MATCH(C890,Daftar_Menu!$A$2:$A$13,0))</f>
        <v>Minuman</v>
      </c>
      <c r="I890" s="2" t="str">
        <f aca="false">CHOOSE(WEEKDAY(B890,2),"Senin","Selasa","Rabu","Kamis","Jumat","Sabtu","Minggu")</f>
        <v>Sabtu</v>
      </c>
      <c r="J890" s="2" t="n">
        <f aca="false">HOUR(E890)</f>
        <v>10</v>
      </c>
      <c r="K890" s="2" t="str">
        <f aca="false">IF(J890&lt;11,"Pagi",IF(J890&lt;17,"Siang","Malam"))</f>
        <v>Pagi</v>
      </c>
      <c r="L890" s="2" t="n">
        <f aca="false">IF(A890&lt;&gt;A889,1,0)</f>
        <v>1</v>
      </c>
    </row>
    <row r="891" customFormat="false" ht="15" hidden="false" customHeight="false" outlineLevel="0" collapsed="false">
      <c r="A891" s="2" t="s">
        <v>1001</v>
      </c>
      <c r="B891" s="13" t="n">
        <v>46277</v>
      </c>
      <c r="C891" s="2" t="s">
        <v>101</v>
      </c>
      <c r="D891" s="2" t="n">
        <v>1</v>
      </c>
      <c r="E891" s="15" t="n">
        <v>0.440972222222222</v>
      </c>
      <c r="F891" s="7" t="n">
        <v>18000</v>
      </c>
      <c r="G891" s="7" t="n">
        <f aca="false">D891*F891</f>
        <v>18000</v>
      </c>
      <c r="H891" s="2" t="str">
        <f aca="false">INDEX(Daftar_Menu!$B$2:$B$13,MATCH(C891,Daftar_Menu!$A$2:$A$13,0))</f>
        <v>Makanan</v>
      </c>
      <c r="I891" s="2" t="str">
        <f aca="false">CHOOSE(WEEKDAY(B891,2),"Senin","Selasa","Rabu","Kamis","Jumat","Sabtu","Minggu")</f>
        <v>Sabtu</v>
      </c>
      <c r="J891" s="2" t="n">
        <f aca="false">HOUR(E891)</f>
        <v>10</v>
      </c>
      <c r="K891" s="2" t="str">
        <f aca="false">IF(J891&lt;11,"Pagi",IF(J891&lt;17,"Siang","Malam"))</f>
        <v>Pagi</v>
      </c>
      <c r="L891" s="2" t="n">
        <f aca="false">IF(A891&lt;&gt;A890,1,0)</f>
        <v>1</v>
      </c>
    </row>
    <row r="892" customFormat="false" ht="15" hidden="false" customHeight="false" outlineLevel="0" collapsed="false">
      <c r="A892" s="2" t="s">
        <v>1001</v>
      </c>
      <c r="B892" s="13" t="n">
        <v>46277</v>
      </c>
      <c r="C892" s="2" t="s">
        <v>81</v>
      </c>
      <c r="D892" s="2" t="n">
        <v>1</v>
      </c>
      <c r="E892" s="15" t="n">
        <v>0.440972222222222</v>
      </c>
      <c r="F892" s="7" t="n">
        <v>15000</v>
      </c>
      <c r="G892" s="7" t="n">
        <f aca="false">D892*F892</f>
        <v>15000</v>
      </c>
      <c r="H892" s="2" t="str">
        <f aca="false">INDEX(Daftar_Menu!$B$2:$B$13,MATCH(C892,Daftar_Menu!$A$2:$A$13,0))</f>
        <v>Makanan</v>
      </c>
      <c r="I892" s="2" t="str">
        <f aca="false">CHOOSE(WEEKDAY(B892,2),"Senin","Selasa","Rabu","Kamis","Jumat","Sabtu","Minggu")</f>
        <v>Sabtu</v>
      </c>
      <c r="J892" s="2" t="n">
        <f aca="false">HOUR(E892)</f>
        <v>10</v>
      </c>
      <c r="K892" s="2" t="str">
        <f aca="false">IF(J892&lt;11,"Pagi",IF(J892&lt;17,"Siang","Malam"))</f>
        <v>Pagi</v>
      </c>
      <c r="L892" s="2" t="n">
        <f aca="false">IF(A892&lt;&gt;A891,1,0)</f>
        <v>0</v>
      </c>
    </row>
    <row r="893" customFormat="false" ht="15" hidden="false" customHeight="false" outlineLevel="0" collapsed="false">
      <c r="A893" s="2" t="s">
        <v>1003</v>
      </c>
      <c r="B893" s="13" t="n">
        <v>46277</v>
      </c>
      <c r="C893" s="2" t="s">
        <v>82</v>
      </c>
      <c r="D893" s="2" t="n">
        <v>1</v>
      </c>
      <c r="E893" s="15" t="n">
        <v>0.446527777777778</v>
      </c>
      <c r="F893" s="7" t="n">
        <v>13000</v>
      </c>
      <c r="G893" s="7" t="n">
        <f aca="false">D893*F893</f>
        <v>13000</v>
      </c>
      <c r="H893" s="2" t="str">
        <f aca="false">INDEX(Daftar_Menu!$B$2:$B$13,MATCH(C893,Daftar_Menu!$A$2:$A$13,0))</f>
        <v>Makanan</v>
      </c>
      <c r="I893" s="2" t="str">
        <f aca="false">CHOOSE(WEEKDAY(B893,2),"Senin","Selasa","Rabu","Kamis","Jumat","Sabtu","Minggu")</f>
        <v>Sabtu</v>
      </c>
      <c r="J893" s="2" t="n">
        <f aca="false">HOUR(E893)</f>
        <v>10</v>
      </c>
      <c r="K893" s="2" t="str">
        <f aca="false">IF(J893&lt;11,"Pagi",IF(J893&lt;17,"Siang","Malam"))</f>
        <v>Pagi</v>
      </c>
      <c r="L893" s="2" t="n">
        <f aca="false">IF(A893&lt;&gt;A892,1,0)</f>
        <v>1</v>
      </c>
    </row>
    <row r="894" customFormat="false" ht="15" hidden="false" customHeight="false" outlineLevel="0" collapsed="false">
      <c r="A894" s="2" t="s">
        <v>1004</v>
      </c>
      <c r="B894" s="13" t="n">
        <v>46277</v>
      </c>
      <c r="C894" s="2" t="s">
        <v>92</v>
      </c>
      <c r="D894" s="2" t="n">
        <v>2</v>
      </c>
      <c r="E894" s="15" t="n">
        <v>0.447222222222222</v>
      </c>
      <c r="F894" s="7" t="n">
        <v>4000</v>
      </c>
      <c r="G894" s="7" t="n">
        <f aca="false">D894*F894</f>
        <v>8000</v>
      </c>
      <c r="H894" s="2" t="str">
        <f aca="false">INDEX(Daftar_Menu!$B$2:$B$13,MATCH(C894,Daftar_Menu!$A$2:$A$13,0))</f>
        <v>Minuman</v>
      </c>
      <c r="I894" s="2" t="str">
        <f aca="false">CHOOSE(WEEKDAY(B894,2),"Senin","Selasa","Rabu","Kamis","Jumat","Sabtu","Minggu")</f>
        <v>Sabtu</v>
      </c>
      <c r="J894" s="2" t="n">
        <f aca="false">HOUR(E894)</f>
        <v>10</v>
      </c>
      <c r="K894" s="2" t="str">
        <f aca="false">IF(J894&lt;11,"Pagi",IF(J894&lt;17,"Siang","Malam"))</f>
        <v>Pagi</v>
      </c>
      <c r="L894" s="2" t="n">
        <f aca="false">IF(A894&lt;&gt;A893,1,0)</f>
        <v>1</v>
      </c>
    </row>
    <row r="895" customFormat="false" ht="15" hidden="false" customHeight="false" outlineLevel="0" collapsed="false">
      <c r="A895" s="2" t="s">
        <v>1005</v>
      </c>
      <c r="B895" s="13" t="n">
        <v>46277</v>
      </c>
      <c r="C895" s="2" t="s">
        <v>81</v>
      </c>
      <c r="D895" s="2" t="n">
        <v>1</v>
      </c>
      <c r="E895" s="15" t="n">
        <v>0.45</v>
      </c>
      <c r="F895" s="7" t="n">
        <v>15000</v>
      </c>
      <c r="G895" s="7" t="n">
        <f aca="false">D895*F895</f>
        <v>15000</v>
      </c>
      <c r="H895" s="2" t="str">
        <f aca="false">INDEX(Daftar_Menu!$B$2:$B$13,MATCH(C895,Daftar_Menu!$A$2:$A$13,0))</f>
        <v>Makanan</v>
      </c>
      <c r="I895" s="2" t="str">
        <f aca="false">CHOOSE(WEEKDAY(B895,2),"Senin","Selasa","Rabu","Kamis","Jumat","Sabtu","Minggu")</f>
        <v>Sabtu</v>
      </c>
      <c r="J895" s="2" t="n">
        <f aca="false">HOUR(E895)</f>
        <v>10</v>
      </c>
      <c r="K895" s="2" t="str">
        <f aca="false">IF(J895&lt;11,"Pagi",IF(J895&lt;17,"Siang","Malam"))</f>
        <v>Pagi</v>
      </c>
      <c r="L895" s="2" t="n">
        <f aca="false">IF(A895&lt;&gt;A894,1,0)</f>
        <v>1</v>
      </c>
    </row>
    <row r="896" customFormat="false" ht="15" hidden="false" customHeight="false" outlineLevel="0" collapsed="false">
      <c r="A896" s="2" t="s">
        <v>1007</v>
      </c>
      <c r="B896" s="13" t="n">
        <v>46277</v>
      </c>
      <c r="C896" s="2" t="s">
        <v>84</v>
      </c>
      <c r="D896" s="2" t="n">
        <v>2</v>
      </c>
      <c r="E896" s="15" t="n">
        <v>0.465277777777778</v>
      </c>
      <c r="F896" s="7" t="n">
        <v>5000</v>
      </c>
      <c r="G896" s="7" t="n">
        <f aca="false">D896*F896</f>
        <v>10000</v>
      </c>
      <c r="H896" s="2" t="str">
        <f aca="false">INDEX(Daftar_Menu!$B$2:$B$13,MATCH(C896,Daftar_Menu!$A$2:$A$13,0))</f>
        <v>Minuman</v>
      </c>
      <c r="I896" s="2" t="str">
        <f aca="false">CHOOSE(WEEKDAY(B896,2),"Senin","Selasa","Rabu","Kamis","Jumat","Sabtu","Minggu")</f>
        <v>Sabtu</v>
      </c>
      <c r="J896" s="2" t="n">
        <f aca="false">HOUR(E896)</f>
        <v>11</v>
      </c>
      <c r="K896" s="2" t="str">
        <f aca="false">IF(J896&lt;11,"Pagi",IF(J896&lt;17,"Siang","Malam"))</f>
        <v>Siang</v>
      </c>
      <c r="L896" s="2" t="n">
        <f aca="false">IF(A896&lt;&gt;A895,1,0)</f>
        <v>1</v>
      </c>
    </row>
    <row r="897" customFormat="false" ht="15" hidden="false" customHeight="false" outlineLevel="0" collapsed="false">
      <c r="A897" s="2" t="s">
        <v>1009</v>
      </c>
      <c r="B897" s="13" t="n">
        <v>46277</v>
      </c>
      <c r="C897" s="2" t="s">
        <v>101</v>
      </c>
      <c r="D897" s="2" t="n">
        <v>1</v>
      </c>
      <c r="E897" s="15" t="n">
        <v>0.468055555555556</v>
      </c>
      <c r="F897" s="7" t="n">
        <v>18000</v>
      </c>
      <c r="G897" s="7" t="n">
        <f aca="false">D897*F897</f>
        <v>18000</v>
      </c>
      <c r="H897" s="2" t="str">
        <f aca="false">INDEX(Daftar_Menu!$B$2:$B$13,MATCH(C897,Daftar_Menu!$A$2:$A$13,0))</f>
        <v>Makanan</v>
      </c>
      <c r="I897" s="2" t="str">
        <f aca="false">CHOOSE(WEEKDAY(B897,2),"Senin","Selasa","Rabu","Kamis","Jumat","Sabtu","Minggu")</f>
        <v>Sabtu</v>
      </c>
      <c r="J897" s="2" t="n">
        <f aca="false">HOUR(E897)</f>
        <v>11</v>
      </c>
      <c r="K897" s="2" t="str">
        <f aca="false">IF(J897&lt;11,"Pagi",IF(J897&lt;17,"Siang","Malam"))</f>
        <v>Siang</v>
      </c>
      <c r="L897" s="2" t="n">
        <f aca="false">IF(A897&lt;&gt;A896,1,0)</f>
        <v>1</v>
      </c>
    </row>
    <row r="898" customFormat="false" ht="15" hidden="false" customHeight="false" outlineLevel="0" collapsed="false">
      <c r="A898" s="2" t="s">
        <v>1009</v>
      </c>
      <c r="B898" s="13" t="n">
        <v>46277</v>
      </c>
      <c r="C898" s="2" t="s">
        <v>79</v>
      </c>
      <c r="D898" s="2" t="n">
        <v>2</v>
      </c>
      <c r="E898" s="15" t="n">
        <v>0.468055555555556</v>
      </c>
      <c r="F898" s="7" t="n">
        <v>16000</v>
      </c>
      <c r="G898" s="7" t="n">
        <f aca="false">D898*F898</f>
        <v>32000</v>
      </c>
      <c r="H898" s="2" t="str">
        <f aca="false">INDEX(Daftar_Menu!$B$2:$B$13,MATCH(C898,Daftar_Menu!$A$2:$A$13,0))</f>
        <v>Makanan</v>
      </c>
      <c r="I898" s="2" t="str">
        <f aca="false">CHOOSE(WEEKDAY(B898,2),"Senin","Selasa","Rabu","Kamis","Jumat","Sabtu","Minggu")</f>
        <v>Sabtu</v>
      </c>
      <c r="J898" s="2" t="n">
        <f aca="false">HOUR(E898)</f>
        <v>11</v>
      </c>
      <c r="K898" s="2" t="str">
        <f aca="false">IF(J898&lt;11,"Pagi",IF(J898&lt;17,"Siang","Malam"))</f>
        <v>Siang</v>
      </c>
      <c r="L898" s="2" t="n">
        <f aca="false">IF(A898&lt;&gt;A897,1,0)</f>
        <v>0</v>
      </c>
    </row>
    <row r="899" customFormat="false" ht="15" hidden="false" customHeight="false" outlineLevel="0" collapsed="false">
      <c r="A899" s="2" t="s">
        <v>1010</v>
      </c>
      <c r="B899" s="13" t="n">
        <v>46277</v>
      </c>
      <c r="C899" s="2" t="s">
        <v>101</v>
      </c>
      <c r="D899" s="2" t="n">
        <v>2</v>
      </c>
      <c r="E899" s="15" t="n">
        <v>0.469444444444444</v>
      </c>
      <c r="F899" s="7" t="n">
        <v>18000</v>
      </c>
      <c r="G899" s="7" t="n">
        <f aca="false">D899*F899</f>
        <v>36000</v>
      </c>
      <c r="H899" s="2" t="str">
        <f aca="false">INDEX(Daftar_Menu!$B$2:$B$13,MATCH(C899,Daftar_Menu!$A$2:$A$13,0))</f>
        <v>Makanan</v>
      </c>
      <c r="I899" s="2" t="str">
        <f aca="false">CHOOSE(WEEKDAY(B899,2),"Senin","Selasa","Rabu","Kamis","Jumat","Sabtu","Minggu")</f>
        <v>Sabtu</v>
      </c>
      <c r="J899" s="2" t="n">
        <f aca="false">HOUR(E899)</f>
        <v>11</v>
      </c>
      <c r="K899" s="2" t="str">
        <f aca="false">IF(J899&lt;11,"Pagi",IF(J899&lt;17,"Siang","Malam"))</f>
        <v>Siang</v>
      </c>
      <c r="L899" s="2" t="n">
        <f aca="false">IF(A899&lt;&gt;A898,1,0)</f>
        <v>1</v>
      </c>
    </row>
    <row r="900" customFormat="false" ht="15" hidden="false" customHeight="false" outlineLevel="0" collapsed="false">
      <c r="A900" s="2" t="s">
        <v>1010</v>
      </c>
      <c r="B900" s="13" t="n">
        <v>46277</v>
      </c>
      <c r="C900" s="2" t="s">
        <v>81</v>
      </c>
      <c r="D900" s="2" t="n">
        <v>1</v>
      </c>
      <c r="E900" s="15" t="n">
        <v>0.469444444444444</v>
      </c>
      <c r="F900" s="7" t="n">
        <v>15000</v>
      </c>
      <c r="G900" s="7" t="n">
        <f aca="false">D900*F900</f>
        <v>15000</v>
      </c>
      <c r="H900" s="2" t="str">
        <f aca="false">INDEX(Daftar_Menu!$B$2:$B$13,MATCH(C900,Daftar_Menu!$A$2:$A$13,0))</f>
        <v>Makanan</v>
      </c>
      <c r="I900" s="2" t="str">
        <f aca="false">CHOOSE(WEEKDAY(B900,2),"Senin","Selasa","Rabu","Kamis","Jumat","Sabtu","Minggu")</f>
        <v>Sabtu</v>
      </c>
      <c r="J900" s="2" t="n">
        <f aca="false">HOUR(E900)</f>
        <v>11</v>
      </c>
      <c r="K900" s="2" t="str">
        <f aca="false">IF(J900&lt;11,"Pagi",IF(J900&lt;17,"Siang","Malam"))</f>
        <v>Siang</v>
      </c>
      <c r="L900" s="2" t="n">
        <f aca="false">IF(A900&lt;&gt;A899,1,0)</f>
        <v>0</v>
      </c>
    </row>
    <row r="901" customFormat="false" ht="15" hidden="false" customHeight="false" outlineLevel="0" collapsed="false">
      <c r="A901" s="2" t="s">
        <v>1011</v>
      </c>
      <c r="B901" s="13" t="n">
        <v>46277</v>
      </c>
      <c r="C901" s="2" t="s">
        <v>79</v>
      </c>
      <c r="D901" s="2" t="n">
        <v>1</v>
      </c>
      <c r="E901" s="15" t="n">
        <v>0.478472222222222</v>
      </c>
      <c r="F901" s="7" t="n">
        <v>16000</v>
      </c>
      <c r="G901" s="7" t="n">
        <f aca="false">D901*F901</f>
        <v>16000</v>
      </c>
      <c r="H901" s="2" t="str">
        <f aca="false">INDEX(Daftar_Menu!$B$2:$B$13,MATCH(C901,Daftar_Menu!$A$2:$A$13,0))</f>
        <v>Makanan</v>
      </c>
      <c r="I901" s="2" t="str">
        <f aca="false">CHOOSE(WEEKDAY(B901,2),"Senin","Selasa","Rabu","Kamis","Jumat","Sabtu","Minggu")</f>
        <v>Sabtu</v>
      </c>
      <c r="J901" s="2" t="n">
        <f aca="false">HOUR(E901)</f>
        <v>11</v>
      </c>
      <c r="K901" s="2" t="str">
        <f aca="false">IF(J901&lt;11,"Pagi",IF(J901&lt;17,"Siang","Malam"))</f>
        <v>Siang</v>
      </c>
      <c r="L901" s="2" t="n">
        <f aca="false">IF(A901&lt;&gt;A900,1,0)</f>
        <v>1</v>
      </c>
    </row>
    <row r="902" customFormat="false" ht="15" hidden="false" customHeight="false" outlineLevel="0" collapsed="false">
      <c r="A902" s="2" t="s">
        <v>1013</v>
      </c>
      <c r="B902" s="13" t="n">
        <v>46277</v>
      </c>
      <c r="C902" s="2" t="s">
        <v>84</v>
      </c>
      <c r="D902" s="2" t="n">
        <v>1</v>
      </c>
      <c r="E902" s="15" t="n">
        <v>0.483333333333333</v>
      </c>
      <c r="F902" s="7" t="n">
        <v>5000</v>
      </c>
      <c r="G902" s="7" t="n">
        <f aca="false">D902*F902</f>
        <v>5000</v>
      </c>
      <c r="H902" s="2" t="str">
        <f aca="false">INDEX(Daftar_Menu!$B$2:$B$13,MATCH(C902,Daftar_Menu!$A$2:$A$13,0))</f>
        <v>Minuman</v>
      </c>
      <c r="I902" s="2" t="str">
        <f aca="false">CHOOSE(WEEKDAY(B902,2),"Senin","Selasa","Rabu","Kamis","Jumat","Sabtu","Minggu")</f>
        <v>Sabtu</v>
      </c>
      <c r="J902" s="2" t="n">
        <f aca="false">HOUR(E902)</f>
        <v>11</v>
      </c>
      <c r="K902" s="2" t="str">
        <f aca="false">IF(J902&lt;11,"Pagi",IF(J902&lt;17,"Siang","Malam"))</f>
        <v>Siang</v>
      </c>
      <c r="L902" s="2" t="n">
        <f aca="false">IF(A902&lt;&gt;A901,1,0)</f>
        <v>1</v>
      </c>
    </row>
    <row r="903" customFormat="false" ht="15" hidden="false" customHeight="false" outlineLevel="0" collapsed="false">
      <c r="A903" s="2" t="s">
        <v>1013</v>
      </c>
      <c r="B903" s="13" t="n">
        <v>46277</v>
      </c>
      <c r="C903" s="2" t="s">
        <v>81</v>
      </c>
      <c r="D903" s="2" t="n">
        <v>1</v>
      </c>
      <c r="E903" s="15" t="n">
        <v>0.483333333333333</v>
      </c>
      <c r="F903" s="7" t="n">
        <v>15000</v>
      </c>
      <c r="G903" s="7" t="n">
        <f aca="false">D903*F903</f>
        <v>15000</v>
      </c>
      <c r="H903" s="2" t="str">
        <f aca="false">INDEX(Daftar_Menu!$B$2:$B$13,MATCH(C903,Daftar_Menu!$A$2:$A$13,0))</f>
        <v>Makanan</v>
      </c>
      <c r="I903" s="2" t="str">
        <f aca="false">CHOOSE(WEEKDAY(B903,2),"Senin","Selasa","Rabu","Kamis","Jumat","Sabtu","Minggu")</f>
        <v>Sabtu</v>
      </c>
      <c r="J903" s="2" t="n">
        <f aca="false">HOUR(E903)</f>
        <v>11</v>
      </c>
      <c r="K903" s="2" t="str">
        <f aca="false">IF(J903&lt;11,"Pagi",IF(J903&lt;17,"Siang","Malam"))</f>
        <v>Siang</v>
      </c>
      <c r="L903" s="2" t="n">
        <f aca="false">IF(A903&lt;&gt;A902,1,0)</f>
        <v>0</v>
      </c>
    </row>
    <row r="904" customFormat="false" ht="15" hidden="false" customHeight="false" outlineLevel="0" collapsed="false">
      <c r="A904" s="2" t="s">
        <v>1015</v>
      </c>
      <c r="B904" s="13" t="n">
        <v>46277</v>
      </c>
      <c r="C904" s="2" t="s">
        <v>84</v>
      </c>
      <c r="D904" s="2" t="n">
        <v>1</v>
      </c>
      <c r="E904" s="15" t="n">
        <v>0.49375</v>
      </c>
      <c r="F904" s="7" t="n">
        <v>5000</v>
      </c>
      <c r="G904" s="7" t="n">
        <f aca="false">D904*F904</f>
        <v>5000</v>
      </c>
      <c r="H904" s="2" t="str">
        <f aca="false">INDEX(Daftar_Menu!$B$2:$B$13,MATCH(C904,Daftar_Menu!$A$2:$A$13,0))</f>
        <v>Minuman</v>
      </c>
      <c r="I904" s="2" t="str">
        <f aca="false">CHOOSE(WEEKDAY(B904,2),"Senin","Selasa","Rabu","Kamis","Jumat","Sabtu","Minggu")</f>
        <v>Sabtu</v>
      </c>
      <c r="J904" s="2" t="n">
        <f aca="false">HOUR(E904)</f>
        <v>11</v>
      </c>
      <c r="K904" s="2" t="str">
        <f aca="false">IF(J904&lt;11,"Pagi",IF(J904&lt;17,"Siang","Malam"))</f>
        <v>Siang</v>
      </c>
      <c r="L904" s="2" t="n">
        <f aca="false">IF(A904&lt;&gt;A903,1,0)</f>
        <v>1</v>
      </c>
    </row>
    <row r="905" customFormat="false" ht="15" hidden="false" customHeight="false" outlineLevel="0" collapsed="false">
      <c r="A905" s="2" t="s">
        <v>1016</v>
      </c>
      <c r="B905" s="13" t="n">
        <v>46277</v>
      </c>
      <c r="C905" s="2" t="s">
        <v>186</v>
      </c>
      <c r="D905" s="2" t="n">
        <v>1</v>
      </c>
      <c r="E905" s="15" t="n">
        <v>0.504861111111111</v>
      </c>
      <c r="F905" s="7" t="n">
        <v>7000</v>
      </c>
      <c r="G905" s="7" t="n">
        <f aca="false">D905*F905</f>
        <v>7000</v>
      </c>
      <c r="H905" s="2" t="str">
        <f aca="false">INDEX(Daftar_Menu!$B$2:$B$13,MATCH(C905,Daftar_Menu!$A$2:$A$13,0))</f>
        <v>Minuman</v>
      </c>
      <c r="I905" s="2" t="str">
        <f aca="false">CHOOSE(WEEKDAY(B905,2),"Senin","Selasa","Rabu","Kamis","Jumat","Sabtu","Minggu")</f>
        <v>Sabtu</v>
      </c>
      <c r="J905" s="2" t="n">
        <f aca="false">HOUR(E905)</f>
        <v>12</v>
      </c>
      <c r="K905" s="2" t="str">
        <f aca="false">IF(J905&lt;11,"Pagi",IF(J905&lt;17,"Siang","Malam"))</f>
        <v>Siang</v>
      </c>
      <c r="L905" s="2" t="n">
        <f aca="false">IF(A905&lt;&gt;A904,1,0)</f>
        <v>1</v>
      </c>
    </row>
    <row r="906" customFormat="false" ht="15" hidden="false" customHeight="false" outlineLevel="0" collapsed="false">
      <c r="A906" s="2" t="s">
        <v>1017</v>
      </c>
      <c r="B906" s="13" t="n">
        <v>46277</v>
      </c>
      <c r="C906" s="2" t="s">
        <v>112</v>
      </c>
      <c r="D906" s="2" t="n">
        <v>1</v>
      </c>
      <c r="E906" s="15" t="n">
        <v>0.50625</v>
      </c>
      <c r="F906" s="7" t="n">
        <v>10000</v>
      </c>
      <c r="G906" s="7" t="n">
        <f aca="false">D906*F906</f>
        <v>10000</v>
      </c>
      <c r="H906" s="2" t="str">
        <f aca="false">INDEX(Daftar_Menu!$B$2:$B$13,MATCH(C906,Daftar_Menu!$A$2:$A$13,0))</f>
        <v>Minuman</v>
      </c>
      <c r="I906" s="2" t="str">
        <f aca="false">CHOOSE(WEEKDAY(B906,2),"Senin","Selasa","Rabu","Kamis","Jumat","Sabtu","Minggu")</f>
        <v>Sabtu</v>
      </c>
      <c r="J906" s="2" t="n">
        <f aca="false">HOUR(E906)</f>
        <v>12</v>
      </c>
      <c r="K906" s="2" t="str">
        <f aca="false">IF(J906&lt;11,"Pagi",IF(J906&lt;17,"Siang","Malam"))</f>
        <v>Siang</v>
      </c>
      <c r="L906" s="2" t="n">
        <f aca="false">IF(A906&lt;&gt;A905,1,0)</f>
        <v>1</v>
      </c>
    </row>
    <row r="907" customFormat="false" ht="15" hidden="false" customHeight="false" outlineLevel="0" collapsed="false">
      <c r="A907" s="2" t="s">
        <v>1017</v>
      </c>
      <c r="B907" s="13" t="n">
        <v>46277</v>
      </c>
      <c r="C907" s="2" t="s">
        <v>186</v>
      </c>
      <c r="D907" s="2" t="n">
        <v>1</v>
      </c>
      <c r="E907" s="15" t="n">
        <v>0.50625</v>
      </c>
      <c r="F907" s="7" t="n">
        <v>7000</v>
      </c>
      <c r="G907" s="7" t="n">
        <f aca="false">D907*F907</f>
        <v>7000</v>
      </c>
      <c r="H907" s="2" t="str">
        <f aca="false">INDEX(Daftar_Menu!$B$2:$B$13,MATCH(C907,Daftar_Menu!$A$2:$A$13,0))</f>
        <v>Minuman</v>
      </c>
      <c r="I907" s="2" t="str">
        <f aca="false">CHOOSE(WEEKDAY(B907,2),"Senin","Selasa","Rabu","Kamis","Jumat","Sabtu","Minggu")</f>
        <v>Sabtu</v>
      </c>
      <c r="J907" s="2" t="n">
        <f aca="false">HOUR(E907)</f>
        <v>12</v>
      </c>
      <c r="K907" s="2" t="str">
        <f aca="false">IF(J907&lt;11,"Pagi",IF(J907&lt;17,"Siang","Malam"))</f>
        <v>Siang</v>
      </c>
      <c r="L907" s="2" t="n">
        <f aca="false">IF(A907&lt;&gt;A906,1,0)</f>
        <v>0</v>
      </c>
    </row>
    <row r="908" customFormat="false" ht="15" hidden="false" customHeight="false" outlineLevel="0" collapsed="false">
      <c r="A908" s="2" t="s">
        <v>1018</v>
      </c>
      <c r="B908" s="13" t="n">
        <v>46277</v>
      </c>
      <c r="C908" s="2" t="s">
        <v>186</v>
      </c>
      <c r="D908" s="2" t="n">
        <v>1</v>
      </c>
      <c r="E908" s="15" t="n">
        <v>0.506944444444444</v>
      </c>
      <c r="F908" s="7" t="n">
        <v>7000</v>
      </c>
      <c r="G908" s="7" t="n">
        <f aca="false">D908*F908</f>
        <v>7000</v>
      </c>
      <c r="H908" s="2" t="str">
        <f aca="false">INDEX(Daftar_Menu!$B$2:$B$13,MATCH(C908,Daftar_Menu!$A$2:$A$13,0))</f>
        <v>Minuman</v>
      </c>
      <c r="I908" s="2" t="str">
        <f aca="false">CHOOSE(WEEKDAY(B908,2),"Senin","Selasa","Rabu","Kamis","Jumat","Sabtu","Minggu")</f>
        <v>Sabtu</v>
      </c>
      <c r="J908" s="2" t="n">
        <f aca="false">HOUR(E908)</f>
        <v>12</v>
      </c>
      <c r="K908" s="2" t="str">
        <f aca="false">IF(J908&lt;11,"Pagi",IF(J908&lt;17,"Siang","Malam"))</f>
        <v>Siang</v>
      </c>
      <c r="L908" s="2" t="n">
        <f aca="false">IF(A908&lt;&gt;A907,1,0)</f>
        <v>1</v>
      </c>
    </row>
    <row r="909" customFormat="false" ht="15" hidden="false" customHeight="false" outlineLevel="0" collapsed="false">
      <c r="A909" s="2" t="s">
        <v>1019</v>
      </c>
      <c r="B909" s="13" t="n">
        <v>46277</v>
      </c>
      <c r="C909" s="2" t="s">
        <v>126</v>
      </c>
      <c r="D909" s="2" t="n">
        <v>1</v>
      </c>
      <c r="E909" s="15" t="n">
        <v>0.519444444444445</v>
      </c>
      <c r="F909" s="7" t="n">
        <v>3000</v>
      </c>
      <c r="G909" s="7" t="n">
        <f aca="false">D909*F909</f>
        <v>3000</v>
      </c>
      <c r="H909" s="2" t="str">
        <f aca="false">INDEX(Daftar_Menu!$B$2:$B$13,MATCH(C909,Daftar_Menu!$A$2:$A$13,0))</f>
        <v>Minuman</v>
      </c>
      <c r="I909" s="2" t="str">
        <f aca="false">CHOOSE(WEEKDAY(B909,2),"Senin","Selasa","Rabu","Kamis","Jumat","Sabtu","Minggu")</f>
        <v>Sabtu</v>
      </c>
      <c r="J909" s="2" t="n">
        <f aca="false">HOUR(E909)</f>
        <v>12</v>
      </c>
      <c r="K909" s="2" t="str">
        <f aca="false">IF(J909&lt;11,"Pagi",IF(J909&lt;17,"Siang","Malam"))</f>
        <v>Siang</v>
      </c>
      <c r="L909" s="2" t="n">
        <f aca="false">IF(A909&lt;&gt;A908,1,0)</f>
        <v>1</v>
      </c>
    </row>
    <row r="910" customFormat="false" ht="15" hidden="false" customHeight="false" outlineLevel="0" collapsed="false">
      <c r="A910" s="2" t="s">
        <v>1019</v>
      </c>
      <c r="B910" s="13" t="n">
        <v>46277</v>
      </c>
      <c r="C910" s="2" t="s">
        <v>186</v>
      </c>
      <c r="D910" s="2" t="n">
        <v>1</v>
      </c>
      <c r="E910" s="15" t="n">
        <v>0.519444444444445</v>
      </c>
      <c r="F910" s="7" t="n">
        <v>7000</v>
      </c>
      <c r="G910" s="7" t="n">
        <f aca="false">D910*F910</f>
        <v>7000</v>
      </c>
      <c r="H910" s="2" t="str">
        <f aca="false">INDEX(Daftar_Menu!$B$2:$B$13,MATCH(C910,Daftar_Menu!$A$2:$A$13,0))</f>
        <v>Minuman</v>
      </c>
      <c r="I910" s="2" t="str">
        <f aca="false">CHOOSE(WEEKDAY(B910,2),"Senin","Selasa","Rabu","Kamis","Jumat","Sabtu","Minggu")</f>
        <v>Sabtu</v>
      </c>
      <c r="J910" s="2" t="n">
        <f aca="false">HOUR(E910)</f>
        <v>12</v>
      </c>
      <c r="K910" s="2" t="str">
        <f aca="false">IF(J910&lt;11,"Pagi",IF(J910&lt;17,"Siang","Malam"))</f>
        <v>Siang</v>
      </c>
      <c r="L910" s="2" t="n">
        <f aca="false">IF(A910&lt;&gt;A909,1,0)</f>
        <v>0</v>
      </c>
    </row>
    <row r="911" customFormat="false" ht="15" hidden="false" customHeight="false" outlineLevel="0" collapsed="false">
      <c r="A911" s="2" t="s">
        <v>1020</v>
      </c>
      <c r="B911" s="13" t="n">
        <v>46277</v>
      </c>
      <c r="C911" s="2" t="s">
        <v>186</v>
      </c>
      <c r="D911" s="2" t="n">
        <v>2</v>
      </c>
      <c r="E911" s="15" t="n">
        <v>0.521527777777778</v>
      </c>
      <c r="F911" s="7" t="n">
        <v>7000</v>
      </c>
      <c r="G911" s="7" t="n">
        <f aca="false">D911*F911</f>
        <v>14000</v>
      </c>
      <c r="H911" s="2" t="str">
        <f aca="false">INDEX(Daftar_Menu!$B$2:$B$13,MATCH(C911,Daftar_Menu!$A$2:$A$13,0))</f>
        <v>Minuman</v>
      </c>
      <c r="I911" s="2" t="str">
        <f aca="false">CHOOSE(WEEKDAY(B911,2),"Senin","Selasa","Rabu","Kamis","Jumat","Sabtu","Minggu")</f>
        <v>Sabtu</v>
      </c>
      <c r="J911" s="2" t="n">
        <f aca="false">HOUR(E911)</f>
        <v>12</v>
      </c>
      <c r="K911" s="2" t="str">
        <f aca="false">IF(J911&lt;11,"Pagi",IF(J911&lt;17,"Siang","Malam"))</f>
        <v>Siang</v>
      </c>
      <c r="L911" s="2" t="n">
        <f aca="false">IF(A911&lt;&gt;A910,1,0)</f>
        <v>1</v>
      </c>
    </row>
    <row r="912" customFormat="false" ht="15" hidden="false" customHeight="false" outlineLevel="0" collapsed="false">
      <c r="A912" s="2" t="s">
        <v>1020</v>
      </c>
      <c r="B912" s="13" t="n">
        <v>46277</v>
      </c>
      <c r="C912" s="2" t="s">
        <v>84</v>
      </c>
      <c r="D912" s="2" t="n">
        <v>1</v>
      </c>
      <c r="E912" s="15" t="n">
        <v>0.521527777777778</v>
      </c>
      <c r="F912" s="7" t="n">
        <v>5000</v>
      </c>
      <c r="G912" s="7" t="n">
        <f aca="false">D912*F912</f>
        <v>5000</v>
      </c>
      <c r="H912" s="2" t="str">
        <f aca="false">INDEX(Daftar_Menu!$B$2:$B$13,MATCH(C912,Daftar_Menu!$A$2:$A$13,0))</f>
        <v>Minuman</v>
      </c>
      <c r="I912" s="2" t="str">
        <f aca="false">CHOOSE(WEEKDAY(B912,2),"Senin","Selasa","Rabu","Kamis","Jumat","Sabtu","Minggu")</f>
        <v>Sabtu</v>
      </c>
      <c r="J912" s="2" t="n">
        <f aca="false">HOUR(E912)</f>
        <v>12</v>
      </c>
      <c r="K912" s="2" t="str">
        <f aca="false">IF(J912&lt;11,"Pagi",IF(J912&lt;17,"Siang","Malam"))</f>
        <v>Siang</v>
      </c>
      <c r="L912" s="2" t="n">
        <f aca="false">IF(A912&lt;&gt;A911,1,0)</f>
        <v>0</v>
      </c>
    </row>
    <row r="913" customFormat="false" ht="15" hidden="false" customHeight="false" outlineLevel="0" collapsed="false">
      <c r="A913" s="2" t="s">
        <v>1021</v>
      </c>
      <c r="B913" s="13" t="n">
        <v>46277</v>
      </c>
      <c r="C913" s="2" t="s">
        <v>79</v>
      </c>
      <c r="D913" s="2" t="n">
        <v>1</v>
      </c>
      <c r="E913" s="15" t="n">
        <v>0.523611111111111</v>
      </c>
      <c r="F913" s="7" t="n">
        <v>16000</v>
      </c>
      <c r="G913" s="7" t="n">
        <f aca="false">D913*F913</f>
        <v>16000</v>
      </c>
      <c r="H913" s="2" t="str">
        <f aca="false">INDEX(Daftar_Menu!$B$2:$B$13,MATCH(C913,Daftar_Menu!$A$2:$A$13,0))</f>
        <v>Makanan</v>
      </c>
      <c r="I913" s="2" t="str">
        <f aca="false">CHOOSE(WEEKDAY(B913,2),"Senin","Selasa","Rabu","Kamis","Jumat","Sabtu","Minggu")</f>
        <v>Sabtu</v>
      </c>
      <c r="J913" s="2" t="n">
        <f aca="false">HOUR(E913)</f>
        <v>12</v>
      </c>
      <c r="K913" s="2" t="str">
        <f aca="false">IF(J913&lt;11,"Pagi",IF(J913&lt;17,"Siang","Malam"))</f>
        <v>Siang</v>
      </c>
      <c r="L913" s="2" t="n">
        <f aca="false">IF(A913&lt;&gt;A912,1,0)</f>
        <v>1</v>
      </c>
    </row>
    <row r="914" customFormat="false" ht="15" hidden="false" customHeight="false" outlineLevel="0" collapsed="false">
      <c r="A914" s="2" t="s">
        <v>1022</v>
      </c>
      <c r="B914" s="13" t="n">
        <v>46277</v>
      </c>
      <c r="C914" s="2" t="s">
        <v>132</v>
      </c>
      <c r="D914" s="2" t="n">
        <v>1</v>
      </c>
      <c r="E914" s="15" t="n">
        <v>0.528472222222222</v>
      </c>
      <c r="F914" s="7" t="n">
        <v>15000</v>
      </c>
      <c r="G914" s="7" t="n">
        <f aca="false">D914*F914</f>
        <v>15000</v>
      </c>
      <c r="H914" s="2" t="str">
        <f aca="false">INDEX(Daftar_Menu!$B$2:$B$13,MATCH(C914,Daftar_Menu!$A$2:$A$13,0))</f>
        <v>Makanan</v>
      </c>
      <c r="I914" s="2" t="str">
        <f aca="false">CHOOSE(WEEKDAY(B914,2),"Senin","Selasa","Rabu","Kamis","Jumat","Sabtu","Minggu")</f>
        <v>Sabtu</v>
      </c>
      <c r="J914" s="2" t="n">
        <f aca="false">HOUR(E914)</f>
        <v>12</v>
      </c>
      <c r="K914" s="2" t="str">
        <f aca="false">IF(J914&lt;11,"Pagi",IF(J914&lt;17,"Siang","Malam"))</f>
        <v>Siang</v>
      </c>
      <c r="L914" s="2" t="n">
        <f aca="false">IF(A914&lt;&gt;A913,1,0)</f>
        <v>1</v>
      </c>
    </row>
    <row r="915" customFormat="false" ht="15" hidden="false" customHeight="false" outlineLevel="0" collapsed="false">
      <c r="A915" s="2" t="s">
        <v>1023</v>
      </c>
      <c r="B915" s="13" t="n">
        <v>46277</v>
      </c>
      <c r="C915" s="2" t="s">
        <v>101</v>
      </c>
      <c r="D915" s="2" t="n">
        <v>1</v>
      </c>
      <c r="E915" s="15" t="n">
        <v>0.532638888888889</v>
      </c>
      <c r="F915" s="7" t="n">
        <v>18000</v>
      </c>
      <c r="G915" s="7" t="n">
        <f aca="false">D915*F915</f>
        <v>18000</v>
      </c>
      <c r="H915" s="2" t="str">
        <f aca="false">INDEX(Daftar_Menu!$B$2:$B$13,MATCH(C915,Daftar_Menu!$A$2:$A$13,0))</f>
        <v>Makanan</v>
      </c>
      <c r="I915" s="2" t="str">
        <f aca="false">CHOOSE(WEEKDAY(B915,2),"Senin","Selasa","Rabu","Kamis","Jumat","Sabtu","Minggu")</f>
        <v>Sabtu</v>
      </c>
      <c r="J915" s="2" t="n">
        <f aca="false">HOUR(E915)</f>
        <v>12</v>
      </c>
      <c r="K915" s="2" t="str">
        <f aca="false">IF(J915&lt;11,"Pagi",IF(J915&lt;17,"Siang","Malam"))</f>
        <v>Siang</v>
      </c>
      <c r="L915" s="2" t="n">
        <f aca="false">IF(A915&lt;&gt;A914,1,0)</f>
        <v>1</v>
      </c>
    </row>
    <row r="916" customFormat="false" ht="15" hidden="false" customHeight="false" outlineLevel="0" collapsed="false">
      <c r="A916" s="2" t="s">
        <v>1025</v>
      </c>
      <c r="B916" s="13" t="n">
        <v>46277</v>
      </c>
      <c r="C916" s="2" t="s">
        <v>84</v>
      </c>
      <c r="D916" s="2" t="n">
        <v>1</v>
      </c>
      <c r="E916" s="15" t="n">
        <v>0.536111111111111</v>
      </c>
      <c r="F916" s="7" t="n">
        <v>5000</v>
      </c>
      <c r="G916" s="7" t="n">
        <f aca="false">D916*F916</f>
        <v>5000</v>
      </c>
      <c r="H916" s="2" t="str">
        <f aca="false">INDEX(Daftar_Menu!$B$2:$B$13,MATCH(C916,Daftar_Menu!$A$2:$A$13,0))</f>
        <v>Minuman</v>
      </c>
      <c r="I916" s="2" t="str">
        <f aca="false">CHOOSE(WEEKDAY(B916,2),"Senin","Selasa","Rabu","Kamis","Jumat","Sabtu","Minggu")</f>
        <v>Sabtu</v>
      </c>
      <c r="J916" s="2" t="n">
        <f aca="false">HOUR(E916)</f>
        <v>12</v>
      </c>
      <c r="K916" s="2" t="str">
        <f aca="false">IF(J916&lt;11,"Pagi",IF(J916&lt;17,"Siang","Malam"))</f>
        <v>Siang</v>
      </c>
      <c r="L916" s="2" t="n">
        <f aca="false">IF(A916&lt;&gt;A915,1,0)</f>
        <v>1</v>
      </c>
    </row>
    <row r="917" customFormat="false" ht="15" hidden="false" customHeight="false" outlineLevel="0" collapsed="false">
      <c r="A917" s="2" t="s">
        <v>1026</v>
      </c>
      <c r="B917" s="13" t="n">
        <v>46277</v>
      </c>
      <c r="C917" s="2" t="s">
        <v>84</v>
      </c>
      <c r="D917" s="2" t="n">
        <v>1</v>
      </c>
      <c r="E917" s="15" t="n">
        <v>0.552083333333333</v>
      </c>
      <c r="F917" s="7" t="n">
        <v>5000</v>
      </c>
      <c r="G917" s="7" t="n">
        <f aca="false">D917*F917</f>
        <v>5000</v>
      </c>
      <c r="H917" s="2" t="str">
        <f aca="false">INDEX(Daftar_Menu!$B$2:$B$13,MATCH(C917,Daftar_Menu!$A$2:$A$13,0))</f>
        <v>Minuman</v>
      </c>
      <c r="I917" s="2" t="str">
        <f aca="false">CHOOSE(WEEKDAY(B917,2),"Senin","Selasa","Rabu","Kamis","Jumat","Sabtu","Minggu")</f>
        <v>Sabtu</v>
      </c>
      <c r="J917" s="2" t="n">
        <f aca="false">HOUR(E917)</f>
        <v>13</v>
      </c>
      <c r="K917" s="2" t="str">
        <f aca="false">IF(J917&lt;11,"Pagi",IF(J917&lt;17,"Siang","Malam"))</f>
        <v>Siang</v>
      </c>
      <c r="L917" s="2" t="n">
        <f aca="false">IF(A917&lt;&gt;A916,1,0)</f>
        <v>1</v>
      </c>
    </row>
    <row r="918" customFormat="false" ht="15" hidden="false" customHeight="false" outlineLevel="0" collapsed="false">
      <c r="A918" s="2" t="s">
        <v>1028</v>
      </c>
      <c r="B918" s="13" t="n">
        <v>46277</v>
      </c>
      <c r="C918" s="2" t="s">
        <v>92</v>
      </c>
      <c r="D918" s="2" t="n">
        <v>1</v>
      </c>
      <c r="E918" s="15" t="n">
        <v>0.553472222222222</v>
      </c>
      <c r="F918" s="7" t="n">
        <v>4000</v>
      </c>
      <c r="G918" s="7" t="n">
        <f aca="false">D918*F918</f>
        <v>4000</v>
      </c>
      <c r="H918" s="2" t="str">
        <f aca="false">INDEX(Daftar_Menu!$B$2:$B$13,MATCH(C918,Daftar_Menu!$A$2:$A$13,0))</f>
        <v>Minuman</v>
      </c>
      <c r="I918" s="2" t="str">
        <f aca="false">CHOOSE(WEEKDAY(B918,2),"Senin","Selasa","Rabu","Kamis","Jumat","Sabtu","Minggu")</f>
        <v>Sabtu</v>
      </c>
      <c r="J918" s="2" t="n">
        <f aca="false">HOUR(E918)</f>
        <v>13</v>
      </c>
      <c r="K918" s="2" t="str">
        <f aca="false">IF(J918&lt;11,"Pagi",IF(J918&lt;17,"Siang","Malam"))</f>
        <v>Siang</v>
      </c>
      <c r="L918" s="2" t="n">
        <f aca="false">IF(A918&lt;&gt;A917,1,0)</f>
        <v>1</v>
      </c>
    </row>
    <row r="919" customFormat="false" ht="15" hidden="false" customHeight="false" outlineLevel="0" collapsed="false">
      <c r="A919" s="2" t="s">
        <v>1028</v>
      </c>
      <c r="B919" s="13" t="n">
        <v>46277</v>
      </c>
      <c r="C919" s="2" t="s">
        <v>89</v>
      </c>
      <c r="D919" s="2" t="n">
        <v>1</v>
      </c>
      <c r="E919" s="15" t="n">
        <v>0.553472222222222</v>
      </c>
      <c r="F919" s="7" t="n">
        <v>14000</v>
      </c>
      <c r="G919" s="7" t="n">
        <f aca="false">D919*F919</f>
        <v>14000</v>
      </c>
      <c r="H919" s="2" t="str">
        <f aca="false">INDEX(Daftar_Menu!$B$2:$B$13,MATCH(C919,Daftar_Menu!$A$2:$A$13,0))</f>
        <v>Makanan</v>
      </c>
      <c r="I919" s="2" t="str">
        <f aca="false">CHOOSE(WEEKDAY(B919,2),"Senin","Selasa","Rabu","Kamis","Jumat","Sabtu","Minggu")</f>
        <v>Sabtu</v>
      </c>
      <c r="J919" s="2" t="n">
        <f aca="false">HOUR(E919)</f>
        <v>13</v>
      </c>
      <c r="K919" s="2" t="str">
        <f aca="false">IF(J919&lt;11,"Pagi",IF(J919&lt;17,"Siang","Malam"))</f>
        <v>Siang</v>
      </c>
      <c r="L919" s="2" t="n">
        <f aca="false">IF(A919&lt;&gt;A918,1,0)</f>
        <v>0</v>
      </c>
    </row>
    <row r="920" customFormat="false" ht="15" hidden="false" customHeight="false" outlineLevel="0" collapsed="false">
      <c r="A920" s="2" t="s">
        <v>1030</v>
      </c>
      <c r="B920" s="13" t="n">
        <v>46277</v>
      </c>
      <c r="C920" s="2" t="s">
        <v>132</v>
      </c>
      <c r="D920" s="2" t="n">
        <v>1</v>
      </c>
      <c r="E920" s="15" t="n">
        <v>0.561111111111111</v>
      </c>
      <c r="F920" s="7" t="n">
        <v>15000</v>
      </c>
      <c r="G920" s="7" t="n">
        <f aca="false">D920*F920</f>
        <v>15000</v>
      </c>
      <c r="H920" s="2" t="str">
        <f aca="false">INDEX(Daftar_Menu!$B$2:$B$13,MATCH(C920,Daftar_Menu!$A$2:$A$13,0))</f>
        <v>Makanan</v>
      </c>
      <c r="I920" s="2" t="str">
        <f aca="false">CHOOSE(WEEKDAY(B920,2),"Senin","Selasa","Rabu","Kamis","Jumat","Sabtu","Minggu")</f>
        <v>Sabtu</v>
      </c>
      <c r="J920" s="2" t="n">
        <f aca="false">HOUR(E920)</f>
        <v>13</v>
      </c>
      <c r="K920" s="2" t="str">
        <f aca="false">IF(J920&lt;11,"Pagi",IF(J920&lt;17,"Siang","Malam"))</f>
        <v>Siang</v>
      </c>
      <c r="L920" s="2" t="n">
        <f aca="false">IF(A920&lt;&gt;A919,1,0)</f>
        <v>1</v>
      </c>
    </row>
    <row r="921" customFormat="false" ht="15" hidden="false" customHeight="false" outlineLevel="0" collapsed="false">
      <c r="A921" s="2" t="s">
        <v>1030</v>
      </c>
      <c r="B921" s="13" t="n">
        <v>46277</v>
      </c>
      <c r="C921" s="2" t="s">
        <v>84</v>
      </c>
      <c r="D921" s="2" t="n">
        <v>3</v>
      </c>
      <c r="E921" s="15" t="n">
        <v>0.561111111111111</v>
      </c>
      <c r="F921" s="7" t="n">
        <v>5000</v>
      </c>
      <c r="G921" s="7" t="n">
        <f aca="false">D921*F921</f>
        <v>15000</v>
      </c>
      <c r="H921" s="2" t="str">
        <f aca="false">INDEX(Daftar_Menu!$B$2:$B$13,MATCH(C921,Daftar_Menu!$A$2:$A$13,0))</f>
        <v>Minuman</v>
      </c>
      <c r="I921" s="2" t="str">
        <f aca="false">CHOOSE(WEEKDAY(B921,2),"Senin","Selasa","Rabu","Kamis","Jumat","Sabtu","Minggu")</f>
        <v>Sabtu</v>
      </c>
      <c r="J921" s="2" t="n">
        <f aca="false">HOUR(E921)</f>
        <v>13</v>
      </c>
      <c r="K921" s="2" t="str">
        <f aca="false">IF(J921&lt;11,"Pagi",IF(J921&lt;17,"Siang","Malam"))</f>
        <v>Siang</v>
      </c>
      <c r="L921" s="2" t="n">
        <f aca="false">IF(A921&lt;&gt;A920,1,0)</f>
        <v>0</v>
      </c>
    </row>
    <row r="922" customFormat="false" ht="15" hidden="false" customHeight="false" outlineLevel="0" collapsed="false">
      <c r="A922" s="2" t="s">
        <v>1030</v>
      </c>
      <c r="B922" s="13" t="n">
        <v>46277</v>
      </c>
      <c r="C922" s="2" t="s">
        <v>112</v>
      </c>
      <c r="D922" s="2" t="n">
        <v>1</v>
      </c>
      <c r="E922" s="15" t="n">
        <v>0.561111111111111</v>
      </c>
      <c r="F922" s="7" t="n">
        <v>10000</v>
      </c>
      <c r="G922" s="7" t="n">
        <f aca="false">D922*F922</f>
        <v>10000</v>
      </c>
      <c r="H922" s="2" t="str">
        <f aca="false">INDEX(Daftar_Menu!$B$2:$B$13,MATCH(C922,Daftar_Menu!$A$2:$A$13,0))</f>
        <v>Minuman</v>
      </c>
      <c r="I922" s="2" t="str">
        <f aca="false">CHOOSE(WEEKDAY(B922,2),"Senin","Selasa","Rabu","Kamis","Jumat","Sabtu","Minggu")</f>
        <v>Sabtu</v>
      </c>
      <c r="J922" s="2" t="n">
        <f aca="false">HOUR(E922)</f>
        <v>13</v>
      </c>
      <c r="K922" s="2" t="str">
        <f aca="false">IF(J922&lt;11,"Pagi",IF(J922&lt;17,"Siang","Malam"))</f>
        <v>Siang</v>
      </c>
      <c r="L922" s="2" t="n">
        <f aca="false">IF(A922&lt;&gt;A921,1,0)</f>
        <v>0</v>
      </c>
    </row>
    <row r="923" customFormat="false" ht="15" hidden="false" customHeight="false" outlineLevel="0" collapsed="false">
      <c r="A923" s="2" t="s">
        <v>1033</v>
      </c>
      <c r="B923" s="13" t="n">
        <v>46277</v>
      </c>
      <c r="C923" s="2" t="s">
        <v>186</v>
      </c>
      <c r="D923" s="2" t="n">
        <v>1</v>
      </c>
      <c r="E923" s="15" t="n">
        <v>0.569444444444444</v>
      </c>
      <c r="F923" s="7" t="n">
        <v>7000</v>
      </c>
      <c r="G923" s="7" t="n">
        <f aca="false">D923*F923</f>
        <v>7000</v>
      </c>
      <c r="H923" s="2" t="str">
        <f aca="false">INDEX(Daftar_Menu!$B$2:$B$13,MATCH(C923,Daftar_Menu!$A$2:$A$13,0))</f>
        <v>Minuman</v>
      </c>
      <c r="I923" s="2" t="str">
        <f aca="false">CHOOSE(WEEKDAY(B923,2),"Senin","Selasa","Rabu","Kamis","Jumat","Sabtu","Minggu")</f>
        <v>Sabtu</v>
      </c>
      <c r="J923" s="2" t="n">
        <f aca="false">HOUR(E923)</f>
        <v>13</v>
      </c>
      <c r="K923" s="2" t="str">
        <f aca="false">IF(J923&lt;11,"Pagi",IF(J923&lt;17,"Siang","Malam"))</f>
        <v>Siang</v>
      </c>
      <c r="L923" s="2" t="n">
        <f aca="false">IF(A923&lt;&gt;A922,1,0)</f>
        <v>1</v>
      </c>
    </row>
    <row r="924" customFormat="false" ht="15" hidden="false" customHeight="false" outlineLevel="0" collapsed="false">
      <c r="A924" s="2" t="s">
        <v>1035</v>
      </c>
      <c r="B924" s="13" t="n">
        <v>46277</v>
      </c>
      <c r="C924" s="2" t="s">
        <v>84</v>
      </c>
      <c r="D924" s="2" t="n">
        <v>1</v>
      </c>
      <c r="E924" s="15" t="n">
        <v>0.601388888888889</v>
      </c>
      <c r="F924" s="7" t="n">
        <v>5000</v>
      </c>
      <c r="G924" s="7" t="n">
        <f aca="false">D924*F924</f>
        <v>5000</v>
      </c>
      <c r="H924" s="2" t="str">
        <f aca="false">INDEX(Daftar_Menu!$B$2:$B$13,MATCH(C924,Daftar_Menu!$A$2:$A$13,0))</f>
        <v>Minuman</v>
      </c>
      <c r="I924" s="2" t="str">
        <f aca="false">CHOOSE(WEEKDAY(B924,2),"Senin","Selasa","Rabu","Kamis","Jumat","Sabtu","Minggu")</f>
        <v>Sabtu</v>
      </c>
      <c r="J924" s="2" t="n">
        <f aca="false">HOUR(E924)</f>
        <v>14</v>
      </c>
      <c r="K924" s="2" t="str">
        <f aca="false">IF(J924&lt;11,"Pagi",IF(J924&lt;17,"Siang","Malam"))</f>
        <v>Siang</v>
      </c>
      <c r="L924" s="2" t="n">
        <f aca="false">IF(A924&lt;&gt;A923,1,0)</f>
        <v>1</v>
      </c>
    </row>
    <row r="925" customFormat="false" ht="15" hidden="false" customHeight="false" outlineLevel="0" collapsed="false">
      <c r="A925" s="2" t="s">
        <v>1037</v>
      </c>
      <c r="B925" s="13" t="n">
        <v>46277</v>
      </c>
      <c r="C925" s="2" t="s">
        <v>84</v>
      </c>
      <c r="D925" s="2" t="n">
        <v>1</v>
      </c>
      <c r="E925" s="15" t="n">
        <v>0.613888888888889</v>
      </c>
      <c r="F925" s="7" t="n">
        <v>5000</v>
      </c>
      <c r="G925" s="7" t="n">
        <f aca="false">D925*F925</f>
        <v>5000</v>
      </c>
      <c r="H925" s="2" t="str">
        <f aca="false">INDEX(Daftar_Menu!$B$2:$B$13,MATCH(C925,Daftar_Menu!$A$2:$A$13,0))</f>
        <v>Minuman</v>
      </c>
      <c r="I925" s="2" t="str">
        <f aca="false">CHOOSE(WEEKDAY(B925,2),"Senin","Selasa","Rabu","Kamis","Jumat","Sabtu","Minggu")</f>
        <v>Sabtu</v>
      </c>
      <c r="J925" s="2" t="n">
        <f aca="false">HOUR(E925)</f>
        <v>14</v>
      </c>
      <c r="K925" s="2" t="str">
        <f aca="false">IF(J925&lt;11,"Pagi",IF(J925&lt;17,"Siang","Malam"))</f>
        <v>Siang</v>
      </c>
      <c r="L925" s="2" t="n">
        <f aca="false">IF(A925&lt;&gt;A924,1,0)</f>
        <v>1</v>
      </c>
    </row>
    <row r="926" customFormat="false" ht="15" hidden="false" customHeight="false" outlineLevel="0" collapsed="false">
      <c r="A926" s="2" t="s">
        <v>1037</v>
      </c>
      <c r="B926" s="13" t="n">
        <v>46277</v>
      </c>
      <c r="C926" s="2" t="s">
        <v>132</v>
      </c>
      <c r="D926" s="2" t="n">
        <v>2</v>
      </c>
      <c r="E926" s="15" t="n">
        <v>0.613888888888889</v>
      </c>
      <c r="F926" s="7" t="n">
        <v>15000</v>
      </c>
      <c r="G926" s="7" t="n">
        <f aca="false">D926*F926</f>
        <v>30000</v>
      </c>
      <c r="H926" s="2" t="str">
        <f aca="false">INDEX(Daftar_Menu!$B$2:$B$13,MATCH(C926,Daftar_Menu!$A$2:$A$13,0))</f>
        <v>Makanan</v>
      </c>
      <c r="I926" s="2" t="str">
        <f aca="false">CHOOSE(WEEKDAY(B926,2),"Senin","Selasa","Rabu","Kamis","Jumat","Sabtu","Minggu")</f>
        <v>Sabtu</v>
      </c>
      <c r="J926" s="2" t="n">
        <f aca="false">HOUR(E926)</f>
        <v>14</v>
      </c>
      <c r="K926" s="2" t="str">
        <f aca="false">IF(J926&lt;11,"Pagi",IF(J926&lt;17,"Siang","Malam"))</f>
        <v>Siang</v>
      </c>
      <c r="L926" s="2" t="n">
        <f aca="false">IF(A926&lt;&gt;A925,1,0)</f>
        <v>0</v>
      </c>
    </row>
    <row r="927" customFormat="false" ht="15" hidden="false" customHeight="false" outlineLevel="0" collapsed="false">
      <c r="A927" s="2" t="s">
        <v>1039</v>
      </c>
      <c r="B927" s="13" t="n">
        <v>46277</v>
      </c>
      <c r="C927" s="2" t="s">
        <v>112</v>
      </c>
      <c r="D927" s="2" t="n">
        <v>1</v>
      </c>
      <c r="E927" s="15" t="n">
        <v>0.621527777777778</v>
      </c>
      <c r="F927" s="7" t="n">
        <v>10000</v>
      </c>
      <c r="G927" s="7" t="n">
        <f aca="false">D927*F927</f>
        <v>10000</v>
      </c>
      <c r="H927" s="2" t="str">
        <f aca="false">INDEX(Daftar_Menu!$B$2:$B$13,MATCH(C927,Daftar_Menu!$A$2:$A$13,0))</f>
        <v>Minuman</v>
      </c>
      <c r="I927" s="2" t="str">
        <f aca="false">CHOOSE(WEEKDAY(B927,2),"Senin","Selasa","Rabu","Kamis","Jumat","Sabtu","Minggu")</f>
        <v>Sabtu</v>
      </c>
      <c r="J927" s="2" t="n">
        <f aca="false">HOUR(E927)</f>
        <v>14</v>
      </c>
      <c r="K927" s="2" t="str">
        <f aca="false">IF(J927&lt;11,"Pagi",IF(J927&lt;17,"Siang","Malam"))</f>
        <v>Siang</v>
      </c>
      <c r="L927" s="2" t="n">
        <f aca="false">IF(A927&lt;&gt;A926,1,0)</f>
        <v>1</v>
      </c>
    </row>
    <row r="928" customFormat="false" ht="15" hidden="false" customHeight="false" outlineLevel="0" collapsed="false">
      <c r="A928" s="2" t="s">
        <v>1039</v>
      </c>
      <c r="B928" s="13" t="n">
        <v>46277</v>
      </c>
      <c r="C928" s="2" t="s">
        <v>132</v>
      </c>
      <c r="D928" s="2" t="n">
        <v>1</v>
      </c>
      <c r="E928" s="15" t="n">
        <v>0.621527777777778</v>
      </c>
      <c r="F928" s="7" t="n">
        <v>15000</v>
      </c>
      <c r="G928" s="7" t="n">
        <f aca="false">D928*F928</f>
        <v>15000</v>
      </c>
      <c r="H928" s="2" t="str">
        <f aca="false">INDEX(Daftar_Menu!$B$2:$B$13,MATCH(C928,Daftar_Menu!$A$2:$A$13,0))</f>
        <v>Makanan</v>
      </c>
      <c r="I928" s="2" t="str">
        <f aca="false">CHOOSE(WEEKDAY(B928,2),"Senin","Selasa","Rabu","Kamis","Jumat","Sabtu","Minggu")</f>
        <v>Sabtu</v>
      </c>
      <c r="J928" s="2" t="n">
        <f aca="false">HOUR(E928)</f>
        <v>14</v>
      </c>
      <c r="K928" s="2" t="str">
        <f aca="false">IF(J928&lt;11,"Pagi",IF(J928&lt;17,"Siang","Malam"))</f>
        <v>Siang</v>
      </c>
      <c r="L928" s="2" t="n">
        <f aca="false">IF(A928&lt;&gt;A927,1,0)</f>
        <v>0</v>
      </c>
    </row>
    <row r="929" customFormat="false" ht="15" hidden="false" customHeight="false" outlineLevel="0" collapsed="false">
      <c r="A929" s="2" t="s">
        <v>1040</v>
      </c>
      <c r="B929" s="13" t="n">
        <v>46277</v>
      </c>
      <c r="C929" s="2" t="s">
        <v>112</v>
      </c>
      <c r="D929" s="2" t="n">
        <v>1</v>
      </c>
      <c r="E929" s="15" t="n">
        <v>0.640277777777778</v>
      </c>
      <c r="F929" s="7" t="n">
        <v>10000</v>
      </c>
      <c r="G929" s="7" t="n">
        <f aca="false">D929*F929</f>
        <v>10000</v>
      </c>
      <c r="H929" s="2" t="str">
        <f aca="false">INDEX(Daftar_Menu!$B$2:$B$13,MATCH(C929,Daftar_Menu!$A$2:$A$13,0))</f>
        <v>Minuman</v>
      </c>
      <c r="I929" s="2" t="str">
        <f aca="false">CHOOSE(WEEKDAY(B929,2),"Senin","Selasa","Rabu","Kamis","Jumat","Sabtu","Minggu")</f>
        <v>Sabtu</v>
      </c>
      <c r="J929" s="2" t="n">
        <f aca="false">HOUR(E929)</f>
        <v>15</v>
      </c>
      <c r="K929" s="2" t="str">
        <f aca="false">IF(J929&lt;11,"Pagi",IF(J929&lt;17,"Siang","Malam"))</f>
        <v>Siang</v>
      </c>
      <c r="L929" s="2" t="n">
        <f aca="false">IF(A929&lt;&gt;A928,1,0)</f>
        <v>1</v>
      </c>
    </row>
    <row r="930" customFormat="false" ht="15" hidden="false" customHeight="false" outlineLevel="0" collapsed="false">
      <c r="A930" s="2" t="s">
        <v>1042</v>
      </c>
      <c r="B930" s="13" t="n">
        <v>46277</v>
      </c>
      <c r="C930" s="2" t="s">
        <v>81</v>
      </c>
      <c r="D930" s="2" t="n">
        <v>2</v>
      </c>
      <c r="E930" s="15" t="n">
        <v>0.672222222222222</v>
      </c>
      <c r="F930" s="7" t="n">
        <v>15000</v>
      </c>
      <c r="G930" s="7" t="n">
        <f aca="false">D930*F930</f>
        <v>30000</v>
      </c>
      <c r="H930" s="2" t="str">
        <f aca="false">INDEX(Daftar_Menu!$B$2:$B$13,MATCH(C930,Daftar_Menu!$A$2:$A$13,0))</f>
        <v>Makanan</v>
      </c>
      <c r="I930" s="2" t="str">
        <f aca="false">CHOOSE(WEEKDAY(B930,2),"Senin","Selasa","Rabu","Kamis","Jumat","Sabtu","Minggu")</f>
        <v>Sabtu</v>
      </c>
      <c r="J930" s="2" t="n">
        <f aca="false">HOUR(E930)</f>
        <v>16</v>
      </c>
      <c r="K930" s="2" t="str">
        <f aca="false">IF(J930&lt;11,"Pagi",IF(J930&lt;17,"Siang","Malam"))</f>
        <v>Siang</v>
      </c>
      <c r="L930" s="2" t="n">
        <f aca="false">IF(A930&lt;&gt;A929,1,0)</f>
        <v>1</v>
      </c>
    </row>
    <row r="931" customFormat="false" ht="15" hidden="false" customHeight="false" outlineLevel="0" collapsed="false">
      <c r="A931" s="2" t="s">
        <v>1044</v>
      </c>
      <c r="B931" s="13" t="n">
        <v>46277</v>
      </c>
      <c r="C931" s="2" t="s">
        <v>84</v>
      </c>
      <c r="D931" s="2" t="n">
        <v>1</v>
      </c>
      <c r="E931" s="15" t="n">
        <v>0.677083333333333</v>
      </c>
      <c r="F931" s="7" t="n">
        <v>5000</v>
      </c>
      <c r="G931" s="7" t="n">
        <f aca="false">D931*F931</f>
        <v>5000</v>
      </c>
      <c r="H931" s="2" t="str">
        <f aca="false">INDEX(Daftar_Menu!$B$2:$B$13,MATCH(C931,Daftar_Menu!$A$2:$A$13,0))</f>
        <v>Minuman</v>
      </c>
      <c r="I931" s="2" t="str">
        <f aca="false">CHOOSE(WEEKDAY(B931,2),"Senin","Selasa","Rabu","Kamis","Jumat","Sabtu","Minggu")</f>
        <v>Sabtu</v>
      </c>
      <c r="J931" s="2" t="n">
        <f aca="false">HOUR(E931)</f>
        <v>16</v>
      </c>
      <c r="K931" s="2" t="str">
        <f aca="false">IF(J931&lt;11,"Pagi",IF(J931&lt;17,"Siang","Malam"))</f>
        <v>Siang</v>
      </c>
      <c r="L931" s="2" t="n">
        <f aca="false">IF(A931&lt;&gt;A930,1,0)</f>
        <v>1</v>
      </c>
    </row>
    <row r="932" customFormat="false" ht="15" hidden="false" customHeight="false" outlineLevel="0" collapsed="false">
      <c r="A932" s="2" t="s">
        <v>1044</v>
      </c>
      <c r="B932" s="13" t="n">
        <v>46277</v>
      </c>
      <c r="C932" s="2" t="s">
        <v>112</v>
      </c>
      <c r="D932" s="2" t="n">
        <v>1</v>
      </c>
      <c r="E932" s="15" t="n">
        <v>0.677083333333333</v>
      </c>
      <c r="F932" s="7" t="n">
        <v>10000</v>
      </c>
      <c r="G932" s="7" t="n">
        <f aca="false">D932*F932</f>
        <v>10000</v>
      </c>
      <c r="H932" s="2" t="str">
        <f aca="false">INDEX(Daftar_Menu!$B$2:$B$13,MATCH(C932,Daftar_Menu!$A$2:$A$13,0))</f>
        <v>Minuman</v>
      </c>
      <c r="I932" s="2" t="str">
        <f aca="false">CHOOSE(WEEKDAY(B932,2),"Senin","Selasa","Rabu","Kamis","Jumat","Sabtu","Minggu")</f>
        <v>Sabtu</v>
      </c>
      <c r="J932" s="2" t="n">
        <f aca="false">HOUR(E932)</f>
        <v>16</v>
      </c>
      <c r="K932" s="2" t="str">
        <f aca="false">IF(J932&lt;11,"Pagi",IF(J932&lt;17,"Siang","Malam"))</f>
        <v>Siang</v>
      </c>
      <c r="L932" s="2" t="n">
        <f aca="false">IF(A932&lt;&gt;A931,1,0)</f>
        <v>0</v>
      </c>
    </row>
    <row r="933" customFormat="false" ht="15" hidden="false" customHeight="false" outlineLevel="0" collapsed="false">
      <c r="A933" s="2" t="s">
        <v>1046</v>
      </c>
      <c r="B933" s="13" t="n">
        <v>46277</v>
      </c>
      <c r="C933" s="2" t="s">
        <v>81</v>
      </c>
      <c r="D933" s="2" t="n">
        <v>1</v>
      </c>
      <c r="E933" s="15" t="n">
        <v>0.686111111111111</v>
      </c>
      <c r="F933" s="7" t="n">
        <v>15000</v>
      </c>
      <c r="G933" s="7" t="n">
        <f aca="false">D933*F933</f>
        <v>15000</v>
      </c>
      <c r="H933" s="2" t="str">
        <f aca="false">INDEX(Daftar_Menu!$B$2:$B$13,MATCH(C933,Daftar_Menu!$A$2:$A$13,0))</f>
        <v>Makanan</v>
      </c>
      <c r="I933" s="2" t="str">
        <f aca="false">CHOOSE(WEEKDAY(B933,2),"Senin","Selasa","Rabu","Kamis","Jumat","Sabtu","Minggu")</f>
        <v>Sabtu</v>
      </c>
      <c r="J933" s="2" t="n">
        <f aca="false">HOUR(E933)</f>
        <v>16</v>
      </c>
      <c r="K933" s="2" t="str">
        <f aca="false">IF(J933&lt;11,"Pagi",IF(J933&lt;17,"Siang","Malam"))</f>
        <v>Siang</v>
      </c>
      <c r="L933" s="2" t="n">
        <f aca="false">IF(A933&lt;&gt;A932,1,0)</f>
        <v>1</v>
      </c>
    </row>
    <row r="934" customFormat="false" ht="15" hidden="false" customHeight="false" outlineLevel="0" collapsed="false">
      <c r="A934" s="2" t="s">
        <v>1048</v>
      </c>
      <c r="B934" s="13" t="n">
        <v>46277</v>
      </c>
      <c r="C934" s="2" t="s">
        <v>81</v>
      </c>
      <c r="D934" s="2" t="n">
        <v>1</v>
      </c>
      <c r="E934" s="15" t="n">
        <v>0.688888888888889</v>
      </c>
      <c r="F934" s="7" t="n">
        <v>15000</v>
      </c>
      <c r="G934" s="7" t="n">
        <f aca="false">D934*F934</f>
        <v>15000</v>
      </c>
      <c r="H934" s="2" t="str">
        <f aca="false">INDEX(Daftar_Menu!$B$2:$B$13,MATCH(C934,Daftar_Menu!$A$2:$A$13,0))</f>
        <v>Makanan</v>
      </c>
      <c r="I934" s="2" t="str">
        <f aca="false">CHOOSE(WEEKDAY(B934,2),"Senin","Selasa","Rabu","Kamis","Jumat","Sabtu","Minggu")</f>
        <v>Sabtu</v>
      </c>
      <c r="J934" s="2" t="n">
        <f aca="false">HOUR(E934)</f>
        <v>16</v>
      </c>
      <c r="K934" s="2" t="str">
        <f aca="false">IF(J934&lt;11,"Pagi",IF(J934&lt;17,"Siang","Malam"))</f>
        <v>Siang</v>
      </c>
      <c r="L934" s="2" t="n">
        <f aca="false">IF(A934&lt;&gt;A933,1,0)</f>
        <v>1</v>
      </c>
    </row>
    <row r="935" customFormat="false" ht="15" hidden="false" customHeight="false" outlineLevel="0" collapsed="false">
      <c r="A935" s="2" t="s">
        <v>1049</v>
      </c>
      <c r="B935" s="13" t="n">
        <v>46277</v>
      </c>
      <c r="C935" s="2" t="s">
        <v>81</v>
      </c>
      <c r="D935" s="2" t="n">
        <v>1</v>
      </c>
      <c r="E935" s="15" t="n">
        <v>0.695138888888889</v>
      </c>
      <c r="F935" s="7" t="n">
        <v>15000</v>
      </c>
      <c r="G935" s="7" t="n">
        <f aca="false">D935*F935</f>
        <v>15000</v>
      </c>
      <c r="H935" s="2" t="str">
        <f aca="false">INDEX(Daftar_Menu!$B$2:$B$13,MATCH(C935,Daftar_Menu!$A$2:$A$13,0))</f>
        <v>Makanan</v>
      </c>
      <c r="I935" s="2" t="str">
        <f aca="false">CHOOSE(WEEKDAY(B935,2),"Senin","Selasa","Rabu","Kamis","Jumat","Sabtu","Minggu")</f>
        <v>Sabtu</v>
      </c>
      <c r="J935" s="2" t="n">
        <f aca="false">HOUR(E935)</f>
        <v>16</v>
      </c>
      <c r="K935" s="2" t="str">
        <f aca="false">IF(J935&lt;11,"Pagi",IF(J935&lt;17,"Siang","Malam"))</f>
        <v>Siang</v>
      </c>
      <c r="L935" s="2" t="n">
        <f aca="false">IF(A935&lt;&gt;A934,1,0)</f>
        <v>1</v>
      </c>
    </row>
    <row r="936" customFormat="false" ht="15" hidden="false" customHeight="false" outlineLevel="0" collapsed="false">
      <c r="A936" s="2" t="s">
        <v>1051</v>
      </c>
      <c r="B936" s="13" t="n">
        <v>46277</v>
      </c>
      <c r="C936" s="2" t="s">
        <v>89</v>
      </c>
      <c r="D936" s="2" t="n">
        <v>1</v>
      </c>
      <c r="E936" s="15" t="n">
        <v>0.713194444444445</v>
      </c>
      <c r="F936" s="7" t="n">
        <v>14000</v>
      </c>
      <c r="G936" s="7" t="n">
        <f aca="false">D936*F936</f>
        <v>14000</v>
      </c>
      <c r="H936" s="2" t="str">
        <f aca="false">INDEX(Daftar_Menu!$B$2:$B$13,MATCH(C936,Daftar_Menu!$A$2:$A$13,0))</f>
        <v>Makanan</v>
      </c>
      <c r="I936" s="2" t="str">
        <f aca="false">CHOOSE(WEEKDAY(B936,2),"Senin","Selasa","Rabu","Kamis","Jumat","Sabtu","Minggu")</f>
        <v>Sabtu</v>
      </c>
      <c r="J936" s="2" t="n">
        <f aca="false">HOUR(E936)</f>
        <v>17</v>
      </c>
      <c r="K936" s="2" t="str">
        <f aca="false">IF(J936&lt;11,"Pagi",IF(J936&lt;17,"Siang","Malam"))</f>
        <v>Malam</v>
      </c>
      <c r="L936" s="2" t="n">
        <f aca="false">IF(A936&lt;&gt;A935,1,0)</f>
        <v>1</v>
      </c>
    </row>
    <row r="937" customFormat="false" ht="15" hidden="false" customHeight="false" outlineLevel="0" collapsed="false">
      <c r="A937" s="2" t="s">
        <v>1052</v>
      </c>
      <c r="B937" s="13" t="n">
        <v>46277</v>
      </c>
      <c r="C937" s="2" t="s">
        <v>126</v>
      </c>
      <c r="D937" s="2" t="n">
        <v>1</v>
      </c>
      <c r="E937" s="15" t="n">
        <v>0.715972222222222</v>
      </c>
      <c r="F937" s="7" t="n">
        <v>3000</v>
      </c>
      <c r="G937" s="7" t="n">
        <f aca="false">D937*F937</f>
        <v>3000</v>
      </c>
      <c r="H937" s="2" t="str">
        <f aca="false">INDEX(Daftar_Menu!$B$2:$B$13,MATCH(C937,Daftar_Menu!$A$2:$A$13,0))</f>
        <v>Minuman</v>
      </c>
      <c r="I937" s="2" t="str">
        <f aca="false">CHOOSE(WEEKDAY(B937,2),"Senin","Selasa","Rabu","Kamis","Jumat","Sabtu","Minggu")</f>
        <v>Sabtu</v>
      </c>
      <c r="J937" s="2" t="n">
        <f aca="false">HOUR(E937)</f>
        <v>17</v>
      </c>
      <c r="K937" s="2" t="str">
        <f aca="false">IF(J937&lt;11,"Pagi",IF(J937&lt;17,"Siang","Malam"))</f>
        <v>Malam</v>
      </c>
      <c r="L937" s="2" t="n">
        <f aca="false">IF(A937&lt;&gt;A936,1,0)</f>
        <v>1</v>
      </c>
    </row>
    <row r="938" customFormat="false" ht="15" hidden="false" customHeight="false" outlineLevel="0" collapsed="false">
      <c r="A938" s="2" t="s">
        <v>1053</v>
      </c>
      <c r="B938" s="13" t="n">
        <v>46277</v>
      </c>
      <c r="C938" s="2" t="s">
        <v>108</v>
      </c>
      <c r="D938" s="2" t="n">
        <v>1</v>
      </c>
      <c r="E938" s="15" t="n">
        <v>0.721527777777778</v>
      </c>
      <c r="F938" s="7" t="n">
        <v>20000</v>
      </c>
      <c r="G938" s="7" t="n">
        <f aca="false">D938*F938</f>
        <v>20000</v>
      </c>
      <c r="H938" s="2" t="str">
        <f aca="false">INDEX(Daftar_Menu!$B$2:$B$13,MATCH(C938,Daftar_Menu!$A$2:$A$13,0))</f>
        <v>Makanan</v>
      </c>
      <c r="I938" s="2" t="str">
        <f aca="false">CHOOSE(WEEKDAY(B938,2),"Senin","Selasa","Rabu","Kamis","Jumat","Sabtu","Minggu")</f>
        <v>Sabtu</v>
      </c>
      <c r="J938" s="2" t="n">
        <f aca="false">HOUR(E938)</f>
        <v>17</v>
      </c>
      <c r="K938" s="2" t="str">
        <f aca="false">IF(J938&lt;11,"Pagi",IF(J938&lt;17,"Siang","Malam"))</f>
        <v>Malam</v>
      </c>
      <c r="L938" s="2" t="n">
        <f aca="false">IF(A938&lt;&gt;A937,1,0)</f>
        <v>1</v>
      </c>
    </row>
    <row r="939" customFormat="false" ht="15" hidden="false" customHeight="false" outlineLevel="0" collapsed="false">
      <c r="A939" s="2" t="s">
        <v>1053</v>
      </c>
      <c r="B939" s="13" t="n">
        <v>46277</v>
      </c>
      <c r="C939" s="2" t="s">
        <v>112</v>
      </c>
      <c r="D939" s="2" t="n">
        <v>1</v>
      </c>
      <c r="E939" s="15" t="n">
        <v>0.721527777777778</v>
      </c>
      <c r="F939" s="7" t="n">
        <v>10000</v>
      </c>
      <c r="G939" s="7" t="n">
        <f aca="false">D939*F939</f>
        <v>10000</v>
      </c>
      <c r="H939" s="2" t="str">
        <f aca="false">INDEX(Daftar_Menu!$B$2:$B$13,MATCH(C939,Daftar_Menu!$A$2:$A$13,0))</f>
        <v>Minuman</v>
      </c>
      <c r="I939" s="2" t="str">
        <f aca="false">CHOOSE(WEEKDAY(B939,2),"Senin","Selasa","Rabu","Kamis","Jumat","Sabtu","Minggu")</f>
        <v>Sabtu</v>
      </c>
      <c r="J939" s="2" t="n">
        <f aca="false">HOUR(E939)</f>
        <v>17</v>
      </c>
      <c r="K939" s="2" t="str">
        <f aca="false">IF(J939&lt;11,"Pagi",IF(J939&lt;17,"Siang","Malam"))</f>
        <v>Malam</v>
      </c>
      <c r="L939" s="2" t="n">
        <f aca="false">IF(A939&lt;&gt;A938,1,0)</f>
        <v>0</v>
      </c>
    </row>
    <row r="940" customFormat="false" ht="15" hidden="false" customHeight="false" outlineLevel="0" collapsed="false">
      <c r="A940" s="2" t="s">
        <v>1054</v>
      </c>
      <c r="B940" s="13" t="n">
        <v>46277</v>
      </c>
      <c r="C940" s="2" t="s">
        <v>79</v>
      </c>
      <c r="D940" s="2" t="n">
        <v>2</v>
      </c>
      <c r="E940" s="15" t="n">
        <v>0.722916666666667</v>
      </c>
      <c r="F940" s="7" t="n">
        <v>16000</v>
      </c>
      <c r="G940" s="7" t="n">
        <f aca="false">D940*F940</f>
        <v>32000</v>
      </c>
      <c r="H940" s="2" t="str">
        <f aca="false">INDEX(Daftar_Menu!$B$2:$B$13,MATCH(C940,Daftar_Menu!$A$2:$A$13,0))</f>
        <v>Makanan</v>
      </c>
      <c r="I940" s="2" t="str">
        <f aca="false">CHOOSE(WEEKDAY(B940,2),"Senin","Selasa","Rabu","Kamis","Jumat","Sabtu","Minggu")</f>
        <v>Sabtu</v>
      </c>
      <c r="J940" s="2" t="n">
        <f aca="false">HOUR(E940)</f>
        <v>17</v>
      </c>
      <c r="K940" s="2" t="str">
        <f aca="false">IF(J940&lt;11,"Pagi",IF(J940&lt;17,"Siang","Malam"))</f>
        <v>Malam</v>
      </c>
      <c r="L940" s="2" t="n">
        <f aca="false">IF(A940&lt;&gt;A939,1,0)</f>
        <v>1</v>
      </c>
    </row>
    <row r="941" customFormat="false" ht="15" hidden="false" customHeight="false" outlineLevel="0" collapsed="false">
      <c r="A941" s="2" t="s">
        <v>1056</v>
      </c>
      <c r="B941" s="13" t="n">
        <v>46277</v>
      </c>
      <c r="C941" s="2" t="s">
        <v>84</v>
      </c>
      <c r="D941" s="2" t="n">
        <v>1</v>
      </c>
      <c r="E941" s="15" t="n">
        <v>0.728472222222222</v>
      </c>
      <c r="F941" s="7" t="n">
        <v>5000</v>
      </c>
      <c r="G941" s="7" t="n">
        <f aca="false">D941*F941</f>
        <v>5000</v>
      </c>
      <c r="H941" s="2" t="str">
        <f aca="false">INDEX(Daftar_Menu!$B$2:$B$13,MATCH(C941,Daftar_Menu!$A$2:$A$13,0))</f>
        <v>Minuman</v>
      </c>
      <c r="I941" s="2" t="str">
        <f aca="false">CHOOSE(WEEKDAY(B941,2),"Senin","Selasa","Rabu","Kamis","Jumat","Sabtu","Minggu")</f>
        <v>Sabtu</v>
      </c>
      <c r="J941" s="2" t="n">
        <f aca="false">HOUR(E941)</f>
        <v>17</v>
      </c>
      <c r="K941" s="2" t="str">
        <f aca="false">IF(J941&lt;11,"Pagi",IF(J941&lt;17,"Siang","Malam"))</f>
        <v>Malam</v>
      </c>
      <c r="L941" s="2" t="n">
        <f aca="false">IF(A941&lt;&gt;A940,1,0)</f>
        <v>1</v>
      </c>
    </row>
    <row r="942" customFormat="false" ht="15" hidden="false" customHeight="false" outlineLevel="0" collapsed="false">
      <c r="A942" s="2" t="s">
        <v>1056</v>
      </c>
      <c r="B942" s="13" t="n">
        <v>46277</v>
      </c>
      <c r="C942" s="2" t="s">
        <v>81</v>
      </c>
      <c r="D942" s="2" t="n">
        <v>1</v>
      </c>
      <c r="E942" s="15" t="n">
        <v>0.728472222222222</v>
      </c>
      <c r="F942" s="7" t="n">
        <v>15000</v>
      </c>
      <c r="G942" s="7" t="n">
        <f aca="false">D942*F942</f>
        <v>15000</v>
      </c>
      <c r="H942" s="2" t="str">
        <f aca="false">INDEX(Daftar_Menu!$B$2:$B$13,MATCH(C942,Daftar_Menu!$A$2:$A$13,0))</f>
        <v>Makanan</v>
      </c>
      <c r="I942" s="2" t="str">
        <f aca="false">CHOOSE(WEEKDAY(B942,2),"Senin","Selasa","Rabu","Kamis","Jumat","Sabtu","Minggu")</f>
        <v>Sabtu</v>
      </c>
      <c r="J942" s="2" t="n">
        <f aca="false">HOUR(E942)</f>
        <v>17</v>
      </c>
      <c r="K942" s="2" t="str">
        <f aca="false">IF(J942&lt;11,"Pagi",IF(J942&lt;17,"Siang","Malam"))</f>
        <v>Malam</v>
      </c>
      <c r="L942" s="2" t="n">
        <f aca="false">IF(A942&lt;&gt;A941,1,0)</f>
        <v>0</v>
      </c>
    </row>
    <row r="943" customFormat="false" ht="15" hidden="false" customHeight="false" outlineLevel="0" collapsed="false">
      <c r="A943" s="2" t="s">
        <v>1057</v>
      </c>
      <c r="B943" s="13" t="n">
        <v>46277</v>
      </c>
      <c r="C943" s="2" t="s">
        <v>186</v>
      </c>
      <c r="D943" s="2" t="n">
        <v>1</v>
      </c>
      <c r="E943" s="15" t="n">
        <v>0.738194444444445</v>
      </c>
      <c r="F943" s="7" t="n">
        <v>7000</v>
      </c>
      <c r="G943" s="7" t="n">
        <f aca="false">D943*F943</f>
        <v>7000</v>
      </c>
      <c r="H943" s="2" t="str">
        <f aca="false">INDEX(Daftar_Menu!$B$2:$B$13,MATCH(C943,Daftar_Menu!$A$2:$A$13,0))</f>
        <v>Minuman</v>
      </c>
      <c r="I943" s="2" t="str">
        <f aca="false">CHOOSE(WEEKDAY(B943,2),"Senin","Selasa","Rabu","Kamis","Jumat","Sabtu","Minggu")</f>
        <v>Sabtu</v>
      </c>
      <c r="J943" s="2" t="n">
        <f aca="false">HOUR(E943)</f>
        <v>17</v>
      </c>
      <c r="K943" s="2" t="str">
        <f aca="false">IF(J943&lt;11,"Pagi",IF(J943&lt;17,"Siang","Malam"))</f>
        <v>Malam</v>
      </c>
      <c r="L943" s="2" t="n">
        <f aca="false">IF(A943&lt;&gt;A942,1,0)</f>
        <v>1</v>
      </c>
    </row>
    <row r="944" customFormat="false" ht="15" hidden="false" customHeight="false" outlineLevel="0" collapsed="false">
      <c r="A944" s="2" t="s">
        <v>1057</v>
      </c>
      <c r="B944" s="13" t="n">
        <v>46277</v>
      </c>
      <c r="C944" s="2" t="s">
        <v>101</v>
      </c>
      <c r="D944" s="2" t="n">
        <v>2</v>
      </c>
      <c r="E944" s="15" t="n">
        <v>0.738194444444445</v>
      </c>
      <c r="F944" s="7" t="n">
        <v>18000</v>
      </c>
      <c r="G944" s="7" t="n">
        <f aca="false">D944*F944</f>
        <v>36000</v>
      </c>
      <c r="H944" s="2" t="str">
        <f aca="false">INDEX(Daftar_Menu!$B$2:$B$13,MATCH(C944,Daftar_Menu!$A$2:$A$13,0))</f>
        <v>Makanan</v>
      </c>
      <c r="I944" s="2" t="str">
        <f aca="false">CHOOSE(WEEKDAY(B944,2),"Senin","Selasa","Rabu","Kamis","Jumat","Sabtu","Minggu")</f>
        <v>Sabtu</v>
      </c>
      <c r="J944" s="2" t="n">
        <f aca="false">HOUR(E944)</f>
        <v>17</v>
      </c>
      <c r="K944" s="2" t="str">
        <f aca="false">IF(J944&lt;11,"Pagi",IF(J944&lt;17,"Siang","Malam"))</f>
        <v>Malam</v>
      </c>
      <c r="L944" s="2" t="n">
        <f aca="false">IF(A944&lt;&gt;A943,1,0)</f>
        <v>0</v>
      </c>
    </row>
    <row r="945" customFormat="false" ht="15" hidden="false" customHeight="false" outlineLevel="0" collapsed="false">
      <c r="A945" s="2" t="s">
        <v>1058</v>
      </c>
      <c r="B945" s="13" t="n">
        <v>46277</v>
      </c>
      <c r="C945" s="2" t="s">
        <v>108</v>
      </c>
      <c r="D945" s="2" t="n">
        <v>1</v>
      </c>
      <c r="E945" s="15" t="n">
        <v>0.741666666666667</v>
      </c>
      <c r="F945" s="7" t="n">
        <v>20000</v>
      </c>
      <c r="G945" s="7" t="n">
        <f aca="false">D945*F945</f>
        <v>20000</v>
      </c>
      <c r="H945" s="2" t="str">
        <f aca="false">INDEX(Daftar_Menu!$B$2:$B$13,MATCH(C945,Daftar_Menu!$A$2:$A$13,0))</f>
        <v>Makanan</v>
      </c>
      <c r="I945" s="2" t="str">
        <f aca="false">CHOOSE(WEEKDAY(B945,2),"Senin","Selasa","Rabu","Kamis","Jumat","Sabtu","Minggu")</f>
        <v>Sabtu</v>
      </c>
      <c r="J945" s="2" t="n">
        <f aca="false">HOUR(E945)</f>
        <v>17</v>
      </c>
      <c r="K945" s="2" t="str">
        <f aca="false">IF(J945&lt;11,"Pagi",IF(J945&lt;17,"Siang","Malam"))</f>
        <v>Malam</v>
      </c>
      <c r="L945" s="2" t="n">
        <f aca="false">IF(A945&lt;&gt;A944,1,0)</f>
        <v>1</v>
      </c>
    </row>
    <row r="946" customFormat="false" ht="15" hidden="false" customHeight="false" outlineLevel="0" collapsed="false">
      <c r="A946" s="2" t="s">
        <v>1060</v>
      </c>
      <c r="B946" s="13" t="n">
        <v>46277</v>
      </c>
      <c r="C946" s="2" t="s">
        <v>186</v>
      </c>
      <c r="D946" s="2" t="n">
        <v>1</v>
      </c>
      <c r="E946" s="15" t="n">
        <v>0.767361111111111</v>
      </c>
      <c r="F946" s="7" t="n">
        <v>7000</v>
      </c>
      <c r="G946" s="7" t="n">
        <f aca="false">D946*F946</f>
        <v>7000</v>
      </c>
      <c r="H946" s="2" t="str">
        <f aca="false">INDEX(Daftar_Menu!$B$2:$B$13,MATCH(C946,Daftar_Menu!$A$2:$A$13,0))</f>
        <v>Minuman</v>
      </c>
      <c r="I946" s="2" t="str">
        <f aca="false">CHOOSE(WEEKDAY(B946,2),"Senin","Selasa","Rabu","Kamis","Jumat","Sabtu","Minggu")</f>
        <v>Sabtu</v>
      </c>
      <c r="J946" s="2" t="n">
        <f aca="false">HOUR(E946)</f>
        <v>18</v>
      </c>
      <c r="K946" s="2" t="str">
        <f aca="false">IF(J946&lt;11,"Pagi",IF(J946&lt;17,"Siang","Malam"))</f>
        <v>Malam</v>
      </c>
      <c r="L946" s="2" t="n">
        <f aca="false">IF(A946&lt;&gt;A945,1,0)</f>
        <v>1</v>
      </c>
    </row>
    <row r="947" customFormat="false" ht="15" hidden="false" customHeight="false" outlineLevel="0" collapsed="false">
      <c r="A947" s="2" t="s">
        <v>1061</v>
      </c>
      <c r="B947" s="13" t="n">
        <v>46277</v>
      </c>
      <c r="C947" s="2" t="s">
        <v>89</v>
      </c>
      <c r="D947" s="2" t="n">
        <v>1</v>
      </c>
      <c r="E947" s="15" t="n">
        <v>0.768055555555556</v>
      </c>
      <c r="F947" s="7" t="n">
        <v>14000</v>
      </c>
      <c r="G947" s="7" t="n">
        <f aca="false">D947*F947</f>
        <v>14000</v>
      </c>
      <c r="H947" s="2" t="str">
        <f aca="false">INDEX(Daftar_Menu!$B$2:$B$13,MATCH(C947,Daftar_Menu!$A$2:$A$13,0))</f>
        <v>Makanan</v>
      </c>
      <c r="I947" s="2" t="str">
        <f aca="false">CHOOSE(WEEKDAY(B947,2),"Senin","Selasa","Rabu","Kamis","Jumat","Sabtu","Minggu")</f>
        <v>Sabtu</v>
      </c>
      <c r="J947" s="2" t="n">
        <f aca="false">HOUR(E947)</f>
        <v>18</v>
      </c>
      <c r="K947" s="2" t="str">
        <f aca="false">IF(J947&lt;11,"Pagi",IF(J947&lt;17,"Siang","Malam"))</f>
        <v>Malam</v>
      </c>
      <c r="L947" s="2" t="n">
        <f aca="false">IF(A947&lt;&gt;A946,1,0)</f>
        <v>1</v>
      </c>
    </row>
    <row r="948" customFormat="false" ht="15" hidden="false" customHeight="false" outlineLevel="0" collapsed="false">
      <c r="A948" s="2" t="s">
        <v>1062</v>
      </c>
      <c r="B948" s="13" t="n">
        <v>46277</v>
      </c>
      <c r="C948" s="2" t="s">
        <v>84</v>
      </c>
      <c r="D948" s="2" t="n">
        <v>1</v>
      </c>
      <c r="E948" s="15" t="n">
        <v>0.786805555555556</v>
      </c>
      <c r="F948" s="7" t="n">
        <v>5000</v>
      </c>
      <c r="G948" s="7" t="n">
        <f aca="false">D948*F948</f>
        <v>5000</v>
      </c>
      <c r="H948" s="2" t="str">
        <f aca="false">INDEX(Daftar_Menu!$B$2:$B$13,MATCH(C948,Daftar_Menu!$A$2:$A$13,0))</f>
        <v>Minuman</v>
      </c>
      <c r="I948" s="2" t="str">
        <f aca="false">CHOOSE(WEEKDAY(B948,2),"Senin","Selasa","Rabu","Kamis","Jumat","Sabtu","Minggu")</f>
        <v>Sabtu</v>
      </c>
      <c r="J948" s="2" t="n">
        <f aca="false">HOUR(E948)</f>
        <v>18</v>
      </c>
      <c r="K948" s="2" t="str">
        <f aca="false">IF(J948&lt;11,"Pagi",IF(J948&lt;17,"Siang","Malam"))</f>
        <v>Malam</v>
      </c>
      <c r="L948" s="2" t="n">
        <f aca="false">IF(A948&lt;&gt;A947,1,0)</f>
        <v>1</v>
      </c>
    </row>
    <row r="949" customFormat="false" ht="15" hidden="false" customHeight="false" outlineLevel="0" collapsed="false">
      <c r="A949" s="2" t="s">
        <v>1064</v>
      </c>
      <c r="B949" s="13" t="n">
        <v>46277</v>
      </c>
      <c r="C949" s="2" t="s">
        <v>101</v>
      </c>
      <c r="D949" s="2" t="n">
        <v>2</v>
      </c>
      <c r="E949" s="15" t="n">
        <v>0.7875</v>
      </c>
      <c r="F949" s="7" t="n">
        <v>18000</v>
      </c>
      <c r="G949" s="7" t="n">
        <f aca="false">D949*F949</f>
        <v>36000</v>
      </c>
      <c r="H949" s="2" t="str">
        <f aca="false">INDEX(Daftar_Menu!$B$2:$B$13,MATCH(C949,Daftar_Menu!$A$2:$A$13,0))</f>
        <v>Makanan</v>
      </c>
      <c r="I949" s="2" t="str">
        <f aca="false">CHOOSE(WEEKDAY(B949,2),"Senin","Selasa","Rabu","Kamis","Jumat","Sabtu","Minggu")</f>
        <v>Sabtu</v>
      </c>
      <c r="J949" s="2" t="n">
        <f aca="false">HOUR(E949)</f>
        <v>18</v>
      </c>
      <c r="K949" s="2" t="str">
        <f aca="false">IF(J949&lt;11,"Pagi",IF(J949&lt;17,"Siang","Malam"))</f>
        <v>Malam</v>
      </c>
      <c r="L949" s="2" t="n">
        <f aca="false">IF(A949&lt;&gt;A948,1,0)</f>
        <v>1</v>
      </c>
    </row>
    <row r="950" customFormat="false" ht="15" hidden="false" customHeight="false" outlineLevel="0" collapsed="false">
      <c r="A950" s="2" t="s">
        <v>1065</v>
      </c>
      <c r="B950" s="13" t="n">
        <v>46277</v>
      </c>
      <c r="C950" s="2" t="s">
        <v>112</v>
      </c>
      <c r="D950" s="2" t="n">
        <v>1</v>
      </c>
      <c r="E950" s="15" t="n">
        <v>0.811111111111111</v>
      </c>
      <c r="F950" s="7" t="n">
        <v>10000</v>
      </c>
      <c r="G950" s="7" t="n">
        <f aca="false">D950*F950</f>
        <v>10000</v>
      </c>
      <c r="H950" s="2" t="str">
        <f aca="false">INDEX(Daftar_Menu!$B$2:$B$13,MATCH(C950,Daftar_Menu!$A$2:$A$13,0))</f>
        <v>Minuman</v>
      </c>
      <c r="I950" s="2" t="str">
        <f aca="false">CHOOSE(WEEKDAY(B950,2),"Senin","Selasa","Rabu","Kamis","Jumat","Sabtu","Minggu")</f>
        <v>Sabtu</v>
      </c>
      <c r="J950" s="2" t="n">
        <f aca="false">HOUR(E950)</f>
        <v>19</v>
      </c>
      <c r="K950" s="2" t="str">
        <f aca="false">IF(J950&lt;11,"Pagi",IF(J950&lt;17,"Siang","Malam"))</f>
        <v>Malam</v>
      </c>
      <c r="L950" s="2" t="n">
        <f aca="false">IF(A950&lt;&gt;A949,1,0)</f>
        <v>1</v>
      </c>
    </row>
    <row r="951" customFormat="false" ht="15" hidden="false" customHeight="false" outlineLevel="0" collapsed="false">
      <c r="A951" s="2" t="s">
        <v>1065</v>
      </c>
      <c r="B951" s="13" t="n">
        <v>46277</v>
      </c>
      <c r="C951" s="2" t="s">
        <v>101</v>
      </c>
      <c r="D951" s="2" t="n">
        <v>2</v>
      </c>
      <c r="E951" s="15" t="n">
        <v>0.811111111111111</v>
      </c>
      <c r="F951" s="7" t="n">
        <v>18000</v>
      </c>
      <c r="G951" s="7" t="n">
        <f aca="false">D951*F951</f>
        <v>36000</v>
      </c>
      <c r="H951" s="2" t="str">
        <f aca="false">INDEX(Daftar_Menu!$B$2:$B$13,MATCH(C951,Daftar_Menu!$A$2:$A$13,0))</f>
        <v>Makanan</v>
      </c>
      <c r="I951" s="2" t="str">
        <f aca="false">CHOOSE(WEEKDAY(B951,2),"Senin","Selasa","Rabu","Kamis","Jumat","Sabtu","Minggu")</f>
        <v>Sabtu</v>
      </c>
      <c r="J951" s="2" t="n">
        <f aca="false">HOUR(E951)</f>
        <v>19</v>
      </c>
      <c r="K951" s="2" t="str">
        <f aca="false">IF(J951&lt;11,"Pagi",IF(J951&lt;17,"Siang","Malam"))</f>
        <v>Malam</v>
      </c>
      <c r="L951" s="2" t="n">
        <f aca="false">IF(A951&lt;&gt;A950,1,0)</f>
        <v>0</v>
      </c>
    </row>
    <row r="952" customFormat="false" ht="15" hidden="false" customHeight="false" outlineLevel="0" collapsed="false">
      <c r="A952" s="2" t="s">
        <v>1066</v>
      </c>
      <c r="B952" s="13" t="n">
        <v>46277</v>
      </c>
      <c r="C952" s="2" t="s">
        <v>108</v>
      </c>
      <c r="D952" s="2" t="n">
        <v>1</v>
      </c>
      <c r="E952" s="15" t="n">
        <v>0.825694444444444</v>
      </c>
      <c r="F952" s="7" t="n">
        <v>20000</v>
      </c>
      <c r="G952" s="7" t="n">
        <f aca="false">D952*F952</f>
        <v>20000</v>
      </c>
      <c r="H952" s="2" t="str">
        <f aca="false">INDEX(Daftar_Menu!$B$2:$B$13,MATCH(C952,Daftar_Menu!$A$2:$A$13,0))</f>
        <v>Makanan</v>
      </c>
      <c r="I952" s="2" t="str">
        <f aca="false">CHOOSE(WEEKDAY(B952,2),"Senin","Selasa","Rabu","Kamis","Jumat","Sabtu","Minggu")</f>
        <v>Sabtu</v>
      </c>
      <c r="J952" s="2" t="n">
        <f aca="false">HOUR(E952)</f>
        <v>19</v>
      </c>
      <c r="K952" s="2" t="str">
        <f aca="false">IF(J952&lt;11,"Pagi",IF(J952&lt;17,"Siang","Malam"))</f>
        <v>Malam</v>
      </c>
      <c r="L952" s="2" t="n">
        <f aca="false">IF(A952&lt;&gt;A951,1,0)</f>
        <v>1</v>
      </c>
    </row>
    <row r="953" customFormat="false" ht="15" hidden="false" customHeight="false" outlineLevel="0" collapsed="false">
      <c r="A953" s="2" t="s">
        <v>1066</v>
      </c>
      <c r="B953" s="13" t="n">
        <v>46277</v>
      </c>
      <c r="C953" s="2" t="s">
        <v>82</v>
      </c>
      <c r="D953" s="2" t="n">
        <v>1</v>
      </c>
      <c r="E953" s="15" t="n">
        <v>0.825694444444444</v>
      </c>
      <c r="F953" s="7" t="n">
        <v>13000</v>
      </c>
      <c r="G953" s="7" t="n">
        <f aca="false">D953*F953</f>
        <v>13000</v>
      </c>
      <c r="H953" s="2" t="str">
        <f aca="false">INDEX(Daftar_Menu!$B$2:$B$13,MATCH(C953,Daftar_Menu!$A$2:$A$13,0))</f>
        <v>Makanan</v>
      </c>
      <c r="I953" s="2" t="str">
        <f aca="false">CHOOSE(WEEKDAY(B953,2),"Senin","Selasa","Rabu","Kamis","Jumat","Sabtu","Minggu")</f>
        <v>Sabtu</v>
      </c>
      <c r="J953" s="2" t="n">
        <f aca="false">HOUR(E953)</f>
        <v>19</v>
      </c>
      <c r="K953" s="2" t="str">
        <f aca="false">IF(J953&lt;11,"Pagi",IF(J953&lt;17,"Siang","Malam"))</f>
        <v>Malam</v>
      </c>
      <c r="L953" s="2" t="n">
        <f aca="false">IF(A953&lt;&gt;A952,1,0)</f>
        <v>0</v>
      </c>
    </row>
    <row r="954" customFormat="false" ht="15" hidden="false" customHeight="false" outlineLevel="0" collapsed="false">
      <c r="A954" s="2" t="s">
        <v>1066</v>
      </c>
      <c r="B954" s="13" t="n">
        <v>46277</v>
      </c>
      <c r="C954" s="2" t="s">
        <v>84</v>
      </c>
      <c r="D954" s="2" t="n">
        <v>1</v>
      </c>
      <c r="E954" s="15" t="n">
        <v>0.825694444444444</v>
      </c>
      <c r="F954" s="7" t="n">
        <v>5000</v>
      </c>
      <c r="G954" s="7" t="n">
        <f aca="false">D954*F954</f>
        <v>5000</v>
      </c>
      <c r="H954" s="2" t="str">
        <f aca="false">INDEX(Daftar_Menu!$B$2:$B$13,MATCH(C954,Daftar_Menu!$A$2:$A$13,0))</f>
        <v>Minuman</v>
      </c>
      <c r="I954" s="2" t="str">
        <f aca="false">CHOOSE(WEEKDAY(B954,2),"Senin","Selasa","Rabu","Kamis","Jumat","Sabtu","Minggu")</f>
        <v>Sabtu</v>
      </c>
      <c r="J954" s="2" t="n">
        <f aca="false">HOUR(E954)</f>
        <v>19</v>
      </c>
      <c r="K954" s="2" t="str">
        <f aca="false">IF(J954&lt;11,"Pagi",IF(J954&lt;17,"Siang","Malam"))</f>
        <v>Malam</v>
      </c>
      <c r="L954" s="2" t="n">
        <f aca="false">IF(A954&lt;&gt;A953,1,0)</f>
        <v>0</v>
      </c>
    </row>
    <row r="955" customFormat="false" ht="15" hidden="false" customHeight="false" outlineLevel="0" collapsed="false">
      <c r="A955" s="2" t="s">
        <v>1067</v>
      </c>
      <c r="B955" s="13" t="n">
        <v>46277</v>
      </c>
      <c r="C955" s="2" t="s">
        <v>89</v>
      </c>
      <c r="D955" s="2" t="n">
        <v>1</v>
      </c>
      <c r="E955" s="15" t="n">
        <v>0.840972222222222</v>
      </c>
      <c r="F955" s="7" t="n">
        <v>14000</v>
      </c>
      <c r="G955" s="7" t="n">
        <f aca="false">D955*F955</f>
        <v>14000</v>
      </c>
      <c r="H955" s="2" t="str">
        <f aca="false">INDEX(Daftar_Menu!$B$2:$B$13,MATCH(C955,Daftar_Menu!$A$2:$A$13,0))</f>
        <v>Makanan</v>
      </c>
      <c r="I955" s="2" t="str">
        <f aca="false">CHOOSE(WEEKDAY(B955,2),"Senin","Selasa","Rabu","Kamis","Jumat","Sabtu","Minggu")</f>
        <v>Sabtu</v>
      </c>
      <c r="J955" s="2" t="n">
        <f aca="false">HOUR(E955)</f>
        <v>20</v>
      </c>
      <c r="K955" s="2" t="str">
        <f aca="false">IF(J955&lt;11,"Pagi",IF(J955&lt;17,"Siang","Malam"))</f>
        <v>Malam</v>
      </c>
      <c r="L955" s="2" t="n">
        <f aca="false">IF(A955&lt;&gt;A954,1,0)</f>
        <v>1</v>
      </c>
    </row>
    <row r="956" customFormat="false" ht="15" hidden="false" customHeight="false" outlineLevel="0" collapsed="false">
      <c r="A956" s="2" t="s">
        <v>1069</v>
      </c>
      <c r="B956" s="13" t="n">
        <v>46277</v>
      </c>
      <c r="C956" s="2" t="s">
        <v>108</v>
      </c>
      <c r="D956" s="2" t="n">
        <v>1</v>
      </c>
      <c r="E956" s="15" t="n">
        <v>0.859722222222222</v>
      </c>
      <c r="F956" s="7" t="n">
        <v>20000</v>
      </c>
      <c r="G956" s="7" t="n">
        <f aca="false">D956*F956</f>
        <v>20000</v>
      </c>
      <c r="H956" s="2" t="str">
        <f aca="false">INDEX(Daftar_Menu!$B$2:$B$13,MATCH(C956,Daftar_Menu!$A$2:$A$13,0))</f>
        <v>Makanan</v>
      </c>
      <c r="I956" s="2" t="str">
        <f aca="false">CHOOSE(WEEKDAY(B956,2),"Senin","Selasa","Rabu","Kamis","Jumat","Sabtu","Minggu")</f>
        <v>Sabtu</v>
      </c>
      <c r="J956" s="2" t="n">
        <f aca="false">HOUR(E956)</f>
        <v>20</v>
      </c>
      <c r="K956" s="2" t="str">
        <f aca="false">IF(J956&lt;11,"Pagi",IF(J956&lt;17,"Siang","Malam"))</f>
        <v>Malam</v>
      </c>
      <c r="L956" s="2" t="n">
        <f aca="false">IF(A956&lt;&gt;A955,1,0)</f>
        <v>1</v>
      </c>
    </row>
    <row r="957" customFormat="false" ht="15" hidden="false" customHeight="false" outlineLevel="0" collapsed="false">
      <c r="A957" s="2" t="s">
        <v>1069</v>
      </c>
      <c r="B957" s="13" t="n">
        <v>46277</v>
      </c>
      <c r="C957" s="2" t="s">
        <v>89</v>
      </c>
      <c r="D957" s="2" t="n">
        <v>1</v>
      </c>
      <c r="E957" s="15" t="n">
        <v>0.859722222222222</v>
      </c>
      <c r="F957" s="7" t="n">
        <v>14000</v>
      </c>
      <c r="G957" s="7" t="n">
        <f aca="false">D957*F957</f>
        <v>14000</v>
      </c>
      <c r="H957" s="2" t="str">
        <f aca="false">INDEX(Daftar_Menu!$B$2:$B$13,MATCH(C957,Daftar_Menu!$A$2:$A$13,0))</f>
        <v>Makanan</v>
      </c>
      <c r="I957" s="2" t="str">
        <f aca="false">CHOOSE(WEEKDAY(B957,2),"Senin","Selasa","Rabu","Kamis","Jumat","Sabtu","Minggu")</f>
        <v>Sabtu</v>
      </c>
      <c r="J957" s="2" t="n">
        <f aca="false">HOUR(E957)</f>
        <v>20</v>
      </c>
      <c r="K957" s="2" t="str">
        <f aca="false">IF(J957&lt;11,"Pagi",IF(J957&lt;17,"Siang","Malam"))</f>
        <v>Malam</v>
      </c>
      <c r="L957" s="2" t="n">
        <f aca="false">IF(A957&lt;&gt;A956,1,0)</f>
        <v>0</v>
      </c>
    </row>
    <row r="958" customFormat="false" ht="15" hidden="false" customHeight="false" outlineLevel="0" collapsed="false">
      <c r="A958" s="2" t="s">
        <v>1069</v>
      </c>
      <c r="B958" s="13" t="n">
        <v>46277</v>
      </c>
      <c r="C958" s="2" t="s">
        <v>101</v>
      </c>
      <c r="D958" s="2" t="n">
        <v>1</v>
      </c>
      <c r="E958" s="15" t="n">
        <v>0.859722222222222</v>
      </c>
      <c r="F958" s="7" t="n">
        <v>18000</v>
      </c>
      <c r="G958" s="7" t="n">
        <f aca="false">D958*F958</f>
        <v>18000</v>
      </c>
      <c r="H958" s="2" t="str">
        <f aca="false">INDEX(Daftar_Menu!$B$2:$B$13,MATCH(C958,Daftar_Menu!$A$2:$A$13,0))</f>
        <v>Makanan</v>
      </c>
      <c r="I958" s="2" t="str">
        <f aca="false">CHOOSE(WEEKDAY(B958,2),"Senin","Selasa","Rabu","Kamis","Jumat","Sabtu","Minggu")</f>
        <v>Sabtu</v>
      </c>
      <c r="J958" s="2" t="n">
        <f aca="false">HOUR(E958)</f>
        <v>20</v>
      </c>
      <c r="K958" s="2" t="str">
        <f aca="false">IF(J958&lt;11,"Pagi",IF(J958&lt;17,"Siang","Malam"))</f>
        <v>Malam</v>
      </c>
      <c r="L958" s="2" t="n">
        <f aca="false">IF(A958&lt;&gt;A957,1,0)</f>
        <v>0</v>
      </c>
    </row>
    <row r="959" customFormat="false" ht="15" hidden="false" customHeight="false" outlineLevel="0" collapsed="false">
      <c r="A959" s="2" t="s">
        <v>1071</v>
      </c>
      <c r="B959" s="13" t="n">
        <v>46277</v>
      </c>
      <c r="C959" s="2" t="s">
        <v>79</v>
      </c>
      <c r="D959" s="2" t="n">
        <v>1</v>
      </c>
      <c r="E959" s="15" t="n">
        <v>0.859722222222222</v>
      </c>
      <c r="F959" s="7" t="n">
        <v>16000</v>
      </c>
      <c r="G959" s="7" t="n">
        <f aca="false">D959*F959</f>
        <v>16000</v>
      </c>
      <c r="H959" s="2" t="str">
        <f aca="false">INDEX(Daftar_Menu!$B$2:$B$13,MATCH(C959,Daftar_Menu!$A$2:$A$13,0))</f>
        <v>Makanan</v>
      </c>
      <c r="I959" s="2" t="str">
        <f aca="false">CHOOSE(WEEKDAY(B959,2),"Senin","Selasa","Rabu","Kamis","Jumat","Sabtu","Minggu")</f>
        <v>Sabtu</v>
      </c>
      <c r="J959" s="2" t="n">
        <f aca="false">HOUR(E959)</f>
        <v>20</v>
      </c>
      <c r="K959" s="2" t="str">
        <f aca="false">IF(J959&lt;11,"Pagi",IF(J959&lt;17,"Siang","Malam"))</f>
        <v>Malam</v>
      </c>
      <c r="L959" s="2" t="n">
        <f aca="false">IF(A959&lt;&gt;A958,1,0)</f>
        <v>1</v>
      </c>
    </row>
    <row r="960" customFormat="false" ht="15" hidden="false" customHeight="false" outlineLevel="0" collapsed="false">
      <c r="A960" s="2" t="s">
        <v>1071</v>
      </c>
      <c r="B960" s="13" t="n">
        <v>46277</v>
      </c>
      <c r="C960" s="2" t="s">
        <v>84</v>
      </c>
      <c r="D960" s="2" t="n">
        <v>3</v>
      </c>
      <c r="E960" s="15" t="n">
        <v>0.859722222222222</v>
      </c>
      <c r="F960" s="7" t="n">
        <v>5000</v>
      </c>
      <c r="G960" s="7" t="n">
        <f aca="false">D960*F960</f>
        <v>15000</v>
      </c>
      <c r="H960" s="2" t="str">
        <f aca="false">INDEX(Daftar_Menu!$B$2:$B$13,MATCH(C960,Daftar_Menu!$A$2:$A$13,0))</f>
        <v>Minuman</v>
      </c>
      <c r="I960" s="2" t="str">
        <f aca="false">CHOOSE(WEEKDAY(B960,2),"Senin","Selasa","Rabu","Kamis","Jumat","Sabtu","Minggu")</f>
        <v>Sabtu</v>
      </c>
      <c r="J960" s="2" t="n">
        <f aca="false">HOUR(E960)</f>
        <v>20</v>
      </c>
      <c r="K960" s="2" t="str">
        <f aca="false">IF(J960&lt;11,"Pagi",IF(J960&lt;17,"Siang","Malam"))</f>
        <v>Malam</v>
      </c>
      <c r="L960" s="2" t="n">
        <f aca="false">IF(A960&lt;&gt;A959,1,0)</f>
        <v>0</v>
      </c>
    </row>
    <row r="961" customFormat="false" ht="15" hidden="false" customHeight="false" outlineLevel="0" collapsed="false">
      <c r="A961" s="2" t="s">
        <v>1072</v>
      </c>
      <c r="B961" s="13" t="n">
        <v>46277</v>
      </c>
      <c r="C961" s="2" t="s">
        <v>79</v>
      </c>
      <c r="D961" s="2" t="n">
        <v>2</v>
      </c>
      <c r="E961" s="15" t="n">
        <v>0.874305555555556</v>
      </c>
      <c r="F961" s="7" t="n">
        <v>16000</v>
      </c>
      <c r="G961" s="7" t="n">
        <f aca="false">D961*F961</f>
        <v>32000</v>
      </c>
      <c r="H961" s="2" t="str">
        <f aca="false">INDEX(Daftar_Menu!$B$2:$B$13,MATCH(C961,Daftar_Menu!$A$2:$A$13,0))</f>
        <v>Makanan</v>
      </c>
      <c r="I961" s="2" t="str">
        <f aca="false">CHOOSE(WEEKDAY(B961,2),"Senin","Selasa","Rabu","Kamis","Jumat","Sabtu","Minggu")</f>
        <v>Sabtu</v>
      </c>
      <c r="J961" s="2" t="n">
        <f aca="false">HOUR(E961)</f>
        <v>20</v>
      </c>
      <c r="K961" s="2" t="str">
        <f aca="false">IF(J961&lt;11,"Pagi",IF(J961&lt;17,"Siang","Malam"))</f>
        <v>Malam</v>
      </c>
      <c r="L961" s="2" t="n">
        <f aca="false">IF(A961&lt;&gt;A960,1,0)</f>
        <v>1</v>
      </c>
    </row>
    <row r="962" customFormat="false" ht="15" hidden="false" customHeight="false" outlineLevel="0" collapsed="false">
      <c r="A962" s="2" t="s">
        <v>1072</v>
      </c>
      <c r="B962" s="13" t="n">
        <v>46277</v>
      </c>
      <c r="C962" s="2" t="s">
        <v>112</v>
      </c>
      <c r="D962" s="2" t="n">
        <v>1</v>
      </c>
      <c r="E962" s="15" t="n">
        <v>0.874305555555556</v>
      </c>
      <c r="F962" s="7" t="n">
        <v>10000</v>
      </c>
      <c r="G962" s="7" t="n">
        <f aca="false">D962*F962</f>
        <v>10000</v>
      </c>
      <c r="H962" s="2" t="str">
        <f aca="false">INDEX(Daftar_Menu!$B$2:$B$13,MATCH(C962,Daftar_Menu!$A$2:$A$13,0))</f>
        <v>Minuman</v>
      </c>
      <c r="I962" s="2" t="str">
        <f aca="false">CHOOSE(WEEKDAY(B962,2),"Senin","Selasa","Rabu","Kamis","Jumat","Sabtu","Minggu")</f>
        <v>Sabtu</v>
      </c>
      <c r="J962" s="2" t="n">
        <f aca="false">HOUR(E962)</f>
        <v>20</v>
      </c>
      <c r="K962" s="2" t="str">
        <f aca="false">IF(J962&lt;11,"Pagi",IF(J962&lt;17,"Siang","Malam"))</f>
        <v>Malam</v>
      </c>
      <c r="L962" s="2" t="n">
        <f aca="false">IF(A962&lt;&gt;A961,1,0)</f>
        <v>0</v>
      </c>
    </row>
    <row r="963" customFormat="false" ht="15" hidden="false" customHeight="false" outlineLevel="0" collapsed="false">
      <c r="A963" s="2" t="s">
        <v>1073</v>
      </c>
      <c r="B963" s="13" t="n">
        <v>46278</v>
      </c>
      <c r="C963" s="2" t="s">
        <v>126</v>
      </c>
      <c r="D963" s="2" t="n">
        <v>1</v>
      </c>
      <c r="E963" s="15" t="n">
        <v>0.35625</v>
      </c>
      <c r="F963" s="7" t="n">
        <v>3000</v>
      </c>
      <c r="G963" s="7" t="n">
        <f aca="false">D963*F963</f>
        <v>3000</v>
      </c>
      <c r="H963" s="2" t="str">
        <f aca="false">INDEX(Daftar_Menu!$B$2:$B$13,MATCH(C963,Daftar_Menu!$A$2:$A$13,0))</f>
        <v>Minuman</v>
      </c>
      <c r="I963" s="2" t="str">
        <f aca="false">CHOOSE(WEEKDAY(B963,2),"Senin","Selasa","Rabu","Kamis","Jumat","Sabtu","Minggu")</f>
        <v>Minggu</v>
      </c>
      <c r="J963" s="2" t="n">
        <f aca="false">HOUR(E963)</f>
        <v>8</v>
      </c>
      <c r="K963" s="2" t="str">
        <f aca="false">IF(J963&lt;11,"Pagi",IF(J963&lt;17,"Siang","Malam"))</f>
        <v>Pagi</v>
      </c>
      <c r="L963" s="2" t="n">
        <f aca="false">IF(A963&lt;&gt;A962,1,0)</f>
        <v>1</v>
      </c>
    </row>
    <row r="964" customFormat="false" ht="15" hidden="false" customHeight="false" outlineLevel="0" collapsed="false">
      <c r="A964" s="2" t="s">
        <v>1073</v>
      </c>
      <c r="B964" s="13" t="n">
        <v>46278</v>
      </c>
      <c r="C964" s="2" t="s">
        <v>81</v>
      </c>
      <c r="D964" s="2" t="n">
        <v>1</v>
      </c>
      <c r="E964" s="15" t="n">
        <v>0.35625</v>
      </c>
      <c r="F964" s="7" t="n">
        <v>15000</v>
      </c>
      <c r="G964" s="7" t="n">
        <f aca="false">D964*F964</f>
        <v>15000</v>
      </c>
      <c r="H964" s="2" t="str">
        <f aca="false">INDEX(Daftar_Menu!$B$2:$B$13,MATCH(C964,Daftar_Menu!$A$2:$A$13,0))</f>
        <v>Makanan</v>
      </c>
      <c r="I964" s="2" t="str">
        <f aca="false">CHOOSE(WEEKDAY(B964,2),"Senin","Selasa","Rabu","Kamis","Jumat","Sabtu","Minggu")</f>
        <v>Minggu</v>
      </c>
      <c r="J964" s="2" t="n">
        <f aca="false">HOUR(E964)</f>
        <v>8</v>
      </c>
      <c r="K964" s="2" t="str">
        <f aca="false">IF(J964&lt;11,"Pagi",IF(J964&lt;17,"Siang","Malam"))</f>
        <v>Pagi</v>
      </c>
      <c r="L964" s="2" t="n">
        <f aca="false">IF(A964&lt;&gt;A963,1,0)</f>
        <v>0</v>
      </c>
    </row>
    <row r="965" customFormat="false" ht="15" hidden="false" customHeight="false" outlineLevel="0" collapsed="false">
      <c r="A965" s="2" t="s">
        <v>1075</v>
      </c>
      <c r="B965" s="13" t="n">
        <v>46278</v>
      </c>
      <c r="C965" s="2" t="s">
        <v>84</v>
      </c>
      <c r="D965" s="2" t="n">
        <v>1</v>
      </c>
      <c r="E965" s="15" t="n">
        <v>0.385416666666667</v>
      </c>
      <c r="F965" s="7" t="n">
        <v>5000</v>
      </c>
      <c r="G965" s="7" t="n">
        <f aca="false">D965*F965</f>
        <v>5000</v>
      </c>
      <c r="H965" s="2" t="str">
        <f aca="false">INDEX(Daftar_Menu!$B$2:$B$13,MATCH(C965,Daftar_Menu!$A$2:$A$13,0))</f>
        <v>Minuman</v>
      </c>
      <c r="I965" s="2" t="str">
        <f aca="false">CHOOSE(WEEKDAY(B965,2),"Senin","Selasa","Rabu","Kamis","Jumat","Sabtu","Minggu")</f>
        <v>Minggu</v>
      </c>
      <c r="J965" s="2" t="n">
        <f aca="false">HOUR(E965)</f>
        <v>9</v>
      </c>
      <c r="K965" s="2" t="str">
        <f aca="false">IF(J965&lt;11,"Pagi",IF(J965&lt;17,"Siang","Malam"))</f>
        <v>Pagi</v>
      </c>
      <c r="L965" s="2" t="n">
        <f aca="false">IF(A965&lt;&gt;A964,1,0)</f>
        <v>1</v>
      </c>
    </row>
    <row r="966" customFormat="false" ht="15" hidden="false" customHeight="false" outlineLevel="0" collapsed="false">
      <c r="A966" s="2" t="s">
        <v>1075</v>
      </c>
      <c r="B966" s="13" t="n">
        <v>46278</v>
      </c>
      <c r="C966" s="2" t="s">
        <v>101</v>
      </c>
      <c r="D966" s="2" t="n">
        <v>1</v>
      </c>
      <c r="E966" s="15" t="n">
        <v>0.385416666666667</v>
      </c>
      <c r="F966" s="7" t="n">
        <v>18000</v>
      </c>
      <c r="G966" s="7" t="n">
        <f aca="false">D966*F966</f>
        <v>18000</v>
      </c>
      <c r="H966" s="2" t="str">
        <f aca="false">INDEX(Daftar_Menu!$B$2:$B$13,MATCH(C966,Daftar_Menu!$A$2:$A$13,0))</f>
        <v>Makanan</v>
      </c>
      <c r="I966" s="2" t="str">
        <f aca="false">CHOOSE(WEEKDAY(B966,2),"Senin","Selasa","Rabu","Kamis","Jumat","Sabtu","Minggu")</f>
        <v>Minggu</v>
      </c>
      <c r="J966" s="2" t="n">
        <f aca="false">HOUR(E966)</f>
        <v>9</v>
      </c>
      <c r="K966" s="2" t="str">
        <f aca="false">IF(J966&lt;11,"Pagi",IF(J966&lt;17,"Siang","Malam"))</f>
        <v>Pagi</v>
      </c>
      <c r="L966" s="2" t="n">
        <f aca="false">IF(A966&lt;&gt;A965,1,0)</f>
        <v>0</v>
      </c>
    </row>
    <row r="967" customFormat="false" ht="15" hidden="false" customHeight="false" outlineLevel="0" collapsed="false">
      <c r="A967" s="2" t="s">
        <v>1076</v>
      </c>
      <c r="B967" s="13" t="n">
        <v>46278</v>
      </c>
      <c r="C967" s="2" t="s">
        <v>132</v>
      </c>
      <c r="D967" s="2" t="n">
        <v>1</v>
      </c>
      <c r="E967" s="15" t="n">
        <v>0.388194444444445</v>
      </c>
      <c r="F967" s="7" t="n">
        <v>15000</v>
      </c>
      <c r="G967" s="7" t="n">
        <f aca="false">D967*F967</f>
        <v>15000</v>
      </c>
      <c r="H967" s="2" t="str">
        <f aca="false">INDEX(Daftar_Menu!$B$2:$B$13,MATCH(C967,Daftar_Menu!$A$2:$A$13,0))</f>
        <v>Makanan</v>
      </c>
      <c r="I967" s="2" t="str">
        <f aca="false">CHOOSE(WEEKDAY(B967,2),"Senin","Selasa","Rabu","Kamis","Jumat","Sabtu","Minggu")</f>
        <v>Minggu</v>
      </c>
      <c r="J967" s="2" t="n">
        <f aca="false">HOUR(E967)</f>
        <v>9</v>
      </c>
      <c r="K967" s="2" t="str">
        <f aca="false">IF(J967&lt;11,"Pagi",IF(J967&lt;17,"Siang","Malam"))</f>
        <v>Pagi</v>
      </c>
      <c r="L967" s="2" t="n">
        <f aca="false">IF(A967&lt;&gt;A966,1,0)</f>
        <v>1</v>
      </c>
    </row>
    <row r="968" customFormat="false" ht="15" hidden="false" customHeight="false" outlineLevel="0" collapsed="false">
      <c r="A968" s="2" t="s">
        <v>1078</v>
      </c>
      <c r="B968" s="13" t="n">
        <v>46278</v>
      </c>
      <c r="C968" s="2" t="s">
        <v>84</v>
      </c>
      <c r="D968" s="2" t="n">
        <v>1</v>
      </c>
      <c r="E968" s="15" t="n">
        <v>0.420833333333333</v>
      </c>
      <c r="F968" s="7" t="n">
        <v>5000</v>
      </c>
      <c r="G968" s="7" t="n">
        <f aca="false">D968*F968</f>
        <v>5000</v>
      </c>
      <c r="H968" s="2" t="str">
        <f aca="false">INDEX(Daftar_Menu!$B$2:$B$13,MATCH(C968,Daftar_Menu!$A$2:$A$13,0))</f>
        <v>Minuman</v>
      </c>
      <c r="I968" s="2" t="str">
        <f aca="false">CHOOSE(WEEKDAY(B968,2),"Senin","Selasa","Rabu","Kamis","Jumat","Sabtu","Minggu")</f>
        <v>Minggu</v>
      </c>
      <c r="J968" s="2" t="n">
        <f aca="false">HOUR(E968)</f>
        <v>10</v>
      </c>
      <c r="K968" s="2" t="str">
        <f aca="false">IF(J968&lt;11,"Pagi",IF(J968&lt;17,"Siang","Malam"))</f>
        <v>Pagi</v>
      </c>
      <c r="L968" s="2" t="n">
        <f aca="false">IF(A968&lt;&gt;A967,1,0)</f>
        <v>1</v>
      </c>
    </row>
    <row r="969" customFormat="false" ht="15" hidden="false" customHeight="false" outlineLevel="0" collapsed="false">
      <c r="A969" s="2" t="s">
        <v>1080</v>
      </c>
      <c r="B969" s="13" t="n">
        <v>46278</v>
      </c>
      <c r="C969" s="2" t="s">
        <v>126</v>
      </c>
      <c r="D969" s="2" t="n">
        <v>1</v>
      </c>
      <c r="E969" s="15" t="n">
        <v>0.433333333333333</v>
      </c>
      <c r="F969" s="7" t="n">
        <v>3000</v>
      </c>
      <c r="G969" s="7" t="n">
        <f aca="false">D969*F969</f>
        <v>3000</v>
      </c>
      <c r="H969" s="2" t="str">
        <f aca="false">INDEX(Daftar_Menu!$B$2:$B$13,MATCH(C969,Daftar_Menu!$A$2:$A$13,0))</f>
        <v>Minuman</v>
      </c>
      <c r="I969" s="2" t="str">
        <f aca="false">CHOOSE(WEEKDAY(B969,2),"Senin","Selasa","Rabu","Kamis","Jumat","Sabtu","Minggu")</f>
        <v>Minggu</v>
      </c>
      <c r="J969" s="2" t="n">
        <f aca="false">HOUR(E969)</f>
        <v>10</v>
      </c>
      <c r="K969" s="2" t="str">
        <f aca="false">IF(J969&lt;11,"Pagi",IF(J969&lt;17,"Siang","Malam"))</f>
        <v>Pagi</v>
      </c>
      <c r="L969" s="2" t="n">
        <f aca="false">IF(A969&lt;&gt;A968,1,0)</f>
        <v>1</v>
      </c>
    </row>
    <row r="970" customFormat="false" ht="15" hidden="false" customHeight="false" outlineLevel="0" collapsed="false">
      <c r="A970" s="2" t="s">
        <v>1080</v>
      </c>
      <c r="B970" s="13" t="n">
        <v>46278</v>
      </c>
      <c r="C970" s="2" t="s">
        <v>186</v>
      </c>
      <c r="D970" s="2" t="n">
        <v>1</v>
      </c>
      <c r="E970" s="15" t="n">
        <v>0.433333333333333</v>
      </c>
      <c r="F970" s="7" t="n">
        <v>7000</v>
      </c>
      <c r="G970" s="7" t="n">
        <f aca="false">D970*F970</f>
        <v>7000</v>
      </c>
      <c r="H970" s="2" t="str">
        <f aca="false">INDEX(Daftar_Menu!$B$2:$B$13,MATCH(C970,Daftar_Menu!$A$2:$A$13,0))</f>
        <v>Minuman</v>
      </c>
      <c r="I970" s="2" t="str">
        <f aca="false">CHOOSE(WEEKDAY(B970,2),"Senin","Selasa","Rabu","Kamis","Jumat","Sabtu","Minggu")</f>
        <v>Minggu</v>
      </c>
      <c r="J970" s="2" t="n">
        <f aca="false">HOUR(E970)</f>
        <v>10</v>
      </c>
      <c r="K970" s="2" t="str">
        <f aca="false">IF(J970&lt;11,"Pagi",IF(J970&lt;17,"Siang","Malam"))</f>
        <v>Pagi</v>
      </c>
      <c r="L970" s="2" t="n">
        <f aca="false">IF(A970&lt;&gt;A969,1,0)</f>
        <v>0</v>
      </c>
    </row>
    <row r="971" customFormat="false" ht="15" hidden="false" customHeight="false" outlineLevel="0" collapsed="false">
      <c r="A971" s="2" t="s">
        <v>1082</v>
      </c>
      <c r="B971" s="13" t="n">
        <v>46278</v>
      </c>
      <c r="C971" s="2" t="s">
        <v>81</v>
      </c>
      <c r="D971" s="2" t="n">
        <v>1</v>
      </c>
      <c r="E971" s="15" t="n">
        <v>0.472916666666667</v>
      </c>
      <c r="F971" s="7" t="n">
        <v>15000</v>
      </c>
      <c r="G971" s="7" t="n">
        <f aca="false">D971*F971</f>
        <v>15000</v>
      </c>
      <c r="H971" s="2" t="str">
        <f aca="false">INDEX(Daftar_Menu!$B$2:$B$13,MATCH(C971,Daftar_Menu!$A$2:$A$13,0))</f>
        <v>Makanan</v>
      </c>
      <c r="I971" s="2" t="str">
        <f aca="false">CHOOSE(WEEKDAY(B971,2),"Senin","Selasa","Rabu","Kamis","Jumat","Sabtu","Minggu")</f>
        <v>Minggu</v>
      </c>
      <c r="J971" s="2" t="n">
        <f aca="false">HOUR(E971)</f>
        <v>11</v>
      </c>
      <c r="K971" s="2" t="str">
        <f aca="false">IF(J971&lt;11,"Pagi",IF(J971&lt;17,"Siang","Malam"))</f>
        <v>Siang</v>
      </c>
      <c r="L971" s="2" t="n">
        <f aca="false">IF(A971&lt;&gt;A970,1,0)</f>
        <v>1</v>
      </c>
    </row>
    <row r="972" customFormat="false" ht="15" hidden="false" customHeight="false" outlineLevel="0" collapsed="false">
      <c r="A972" s="2" t="s">
        <v>1082</v>
      </c>
      <c r="B972" s="13" t="n">
        <v>46278</v>
      </c>
      <c r="C972" s="2" t="s">
        <v>186</v>
      </c>
      <c r="D972" s="2" t="n">
        <v>1</v>
      </c>
      <c r="E972" s="15" t="n">
        <v>0.472916666666667</v>
      </c>
      <c r="F972" s="7" t="n">
        <v>7000</v>
      </c>
      <c r="G972" s="7" t="n">
        <f aca="false">D972*F972</f>
        <v>7000</v>
      </c>
      <c r="H972" s="2" t="str">
        <f aca="false">INDEX(Daftar_Menu!$B$2:$B$13,MATCH(C972,Daftar_Menu!$A$2:$A$13,0))</f>
        <v>Minuman</v>
      </c>
      <c r="I972" s="2" t="str">
        <f aca="false">CHOOSE(WEEKDAY(B972,2),"Senin","Selasa","Rabu","Kamis","Jumat","Sabtu","Minggu")</f>
        <v>Minggu</v>
      </c>
      <c r="J972" s="2" t="n">
        <f aca="false">HOUR(E972)</f>
        <v>11</v>
      </c>
      <c r="K972" s="2" t="str">
        <f aca="false">IF(J972&lt;11,"Pagi",IF(J972&lt;17,"Siang","Malam"))</f>
        <v>Siang</v>
      </c>
      <c r="L972" s="2" t="n">
        <f aca="false">IF(A972&lt;&gt;A971,1,0)</f>
        <v>0</v>
      </c>
    </row>
    <row r="973" customFormat="false" ht="15" hidden="false" customHeight="false" outlineLevel="0" collapsed="false">
      <c r="A973" s="2" t="s">
        <v>1084</v>
      </c>
      <c r="B973" s="13" t="n">
        <v>46278</v>
      </c>
      <c r="C973" s="2" t="s">
        <v>84</v>
      </c>
      <c r="D973" s="2" t="n">
        <v>1</v>
      </c>
      <c r="E973" s="15" t="n">
        <v>0.475</v>
      </c>
      <c r="F973" s="7" t="n">
        <v>5000</v>
      </c>
      <c r="G973" s="7" t="n">
        <f aca="false">D973*F973</f>
        <v>5000</v>
      </c>
      <c r="H973" s="2" t="str">
        <f aca="false">INDEX(Daftar_Menu!$B$2:$B$13,MATCH(C973,Daftar_Menu!$A$2:$A$13,0))</f>
        <v>Minuman</v>
      </c>
      <c r="I973" s="2" t="str">
        <f aca="false">CHOOSE(WEEKDAY(B973,2),"Senin","Selasa","Rabu","Kamis","Jumat","Sabtu","Minggu")</f>
        <v>Minggu</v>
      </c>
      <c r="J973" s="2" t="n">
        <f aca="false">HOUR(E973)</f>
        <v>11</v>
      </c>
      <c r="K973" s="2" t="str">
        <f aca="false">IF(J973&lt;11,"Pagi",IF(J973&lt;17,"Siang","Malam"))</f>
        <v>Siang</v>
      </c>
      <c r="L973" s="2" t="n">
        <f aca="false">IF(A973&lt;&gt;A972,1,0)</f>
        <v>1</v>
      </c>
    </row>
    <row r="974" customFormat="false" ht="15" hidden="false" customHeight="false" outlineLevel="0" collapsed="false">
      <c r="A974" s="2" t="s">
        <v>1084</v>
      </c>
      <c r="B974" s="13" t="n">
        <v>46278</v>
      </c>
      <c r="C974" s="2" t="s">
        <v>132</v>
      </c>
      <c r="D974" s="2" t="n">
        <v>1</v>
      </c>
      <c r="E974" s="15" t="n">
        <v>0.475</v>
      </c>
      <c r="F974" s="7" t="n">
        <v>15000</v>
      </c>
      <c r="G974" s="7" t="n">
        <f aca="false">D974*F974</f>
        <v>15000</v>
      </c>
      <c r="H974" s="2" t="str">
        <f aca="false">INDEX(Daftar_Menu!$B$2:$B$13,MATCH(C974,Daftar_Menu!$A$2:$A$13,0))</f>
        <v>Makanan</v>
      </c>
      <c r="I974" s="2" t="str">
        <f aca="false">CHOOSE(WEEKDAY(B974,2),"Senin","Selasa","Rabu","Kamis","Jumat","Sabtu","Minggu")</f>
        <v>Minggu</v>
      </c>
      <c r="J974" s="2" t="n">
        <f aca="false">HOUR(E974)</f>
        <v>11</v>
      </c>
      <c r="K974" s="2" t="str">
        <f aca="false">IF(J974&lt;11,"Pagi",IF(J974&lt;17,"Siang","Malam"))</f>
        <v>Siang</v>
      </c>
      <c r="L974" s="2" t="n">
        <f aca="false">IF(A974&lt;&gt;A973,1,0)</f>
        <v>0</v>
      </c>
    </row>
    <row r="975" customFormat="false" ht="15" hidden="false" customHeight="false" outlineLevel="0" collapsed="false">
      <c r="A975" s="2" t="s">
        <v>1086</v>
      </c>
      <c r="B975" s="13" t="n">
        <v>46278</v>
      </c>
      <c r="C975" s="2" t="s">
        <v>101</v>
      </c>
      <c r="D975" s="2" t="n">
        <v>1</v>
      </c>
      <c r="E975" s="15" t="n">
        <v>0.475694444444444</v>
      </c>
      <c r="F975" s="7" t="n">
        <v>18000</v>
      </c>
      <c r="G975" s="7" t="n">
        <f aca="false">D975*F975</f>
        <v>18000</v>
      </c>
      <c r="H975" s="2" t="str">
        <f aca="false">INDEX(Daftar_Menu!$B$2:$B$13,MATCH(C975,Daftar_Menu!$A$2:$A$13,0))</f>
        <v>Makanan</v>
      </c>
      <c r="I975" s="2" t="str">
        <f aca="false">CHOOSE(WEEKDAY(B975,2),"Senin","Selasa","Rabu","Kamis","Jumat","Sabtu","Minggu")</f>
        <v>Minggu</v>
      </c>
      <c r="J975" s="2" t="n">
        <f aca="false">HOUR(E975)</f>
        <v>11</v>
      </c>
      <c r="K975" s="2" t="str">
        <f aca="false">IF(J975&lt;11,"Pagi",IF(J975&lt;17,"Siang","Malam"))</f>
        <v>Siang</v>
      </c>
      <c r="L975" s="2" t="n">
        <f aca="false">IF(A975&lt;&gt;A974,1,0)</f>
        <v>1</v>
      </c>
    </row>
    <row r="976" customFormat="false" ht="15" hidden="false" customHeight="false" outlineLevel="0" collapsed="false">
      <c r="A976" s="2" t="s">
        <v>1086</v>
      </c>
      <c r="B976" s="13" t="n">
        <v>46278</v>
      </c>
      <c r="C976" s="2" t="s">
        <v>81</v>
      </c>
      <c r="D976" s="2" t="n">
        <v>1</v>
      </c>
      <c r="E976" s="15" t="n">
        <v>0.475694444444444</v>
      </c>
      <c r="F976" s="7" t="n">
        <v>15000</v>
      </c>
      <c r="G976" s="7" t="n">
        <f aca="false">D976*F976</f>
        <v>15000</v>
      </c>
      <c r="H976" s="2" t="str">
        <f aca="false">INDEX(Daftar_Menu!$B$2:$B$13,MATCH(C976,Daftar_Menu!$A$2:$A$13,0))</f>
        <v>Makanan</v>
      </c>
      <c r="I976" s="2" t="str">
        <f aca="false">CHOOSE(WEEKDAY(B976,2),"Senin","Selasa","Rabu","Kamis","Jumat","Sabtu","Minggu")</f>
        <v>Minggu</v>
      </c>
      <c r="J976" s="2" t="n">
        <f aca="false">HOUR(E976)</f>
        <v>11</v>
      </c>
      <c r="K976" s="2" t="str">
        <f aca="false">IF(J976&lt;11,"Pagi",IF(J976&lt;17,"Siang","Malam"))</f>
        <v>Siang</v>
      </c>
      <c r="L976" s="2" t="n">
        <f aca="false">IF(A976&lt;&gt;A975,1,0)</f>
        <v>0</v>
      </c>
    </row>
    <row r="977" customFormat="false" ht="15" hidden="false" customHeight="false" outlineLevel="0" collapsed="false">
      <c r="A977" s="2" t="s">
        <v>1088</v>
      </c>
      <c r="B977" s="13" t="n">
        <v>46278</v>
      </c>
      <c r="C977" s="2" t="s">
        <v>112</v>
      </c>
      <c r="D977" s="2" t="n">
        <v>1</v>
      </c>
      <c r="E977" s="15" t="n">
        <v>0.484722222222222</v>
      </c>
      <c r="F977" s="7" t="n">
        <v>10000</v>
      </c>
      <c r="G977" s="7" t="n">
        <f aca="false">D977*F977</f>
        <v>10000</v>
      </c>
      <c r="H977" s="2" t="str">
        <f aca="false">INDEX(Daftar_Menu!$B$2:$B$13,MATCH(C977,Daftar_Menu!$A$2:$A$13,0))</f>
        <v>Minuman</v>
      </c>
      <c r="I977" s="2" t="str">
        <f aca="false">CHOOSE(WEEKDAY(B977,2),"Senin","Selasa","Rabu","Kamis","Jumat","Sabtu","Minggu")</f>
        <v>Minggu</v>
      </c>
      <c r="J977" s="2" t="n">
        <f aca="false">HOUR(E977)</f>
        <v>11</v>
      </c>
      <c r="K977" s="2" t="str">
        <f aca="false">IF(J977&lt;11,"Pagi",IF(J977&lt;17,"Siang","Malam"))</f>
        <v>Siang</v>
      </c>
      <c r="L977" s="2" t="n">
        <f aca="false">IF(A977&lt;&gt;A976,1,0)</f>
        <v>1</v>
      </c>
    </row>
    <row r="978" customFormat="false" ht="15" hidden="false" customHeight="false" outlineLevel="0" collapsed="false">
      <c r="A978" s="2" t="s">
        <v>1088</v>
      </c>
      <c r="B978" s="13" t="n">
        <v>46278</v>
      </c>
      <c r="C978" s="2" t="s">
        <v>92</v>
      </c>
      <c r="D978" s="2" t="n">
        <v>1</v>
      </c>
      <c r="E978" s="15" t="n">
        <v>0.484722222222222</v>
      </c>
      <c r="F978" s="7" t="n">
        <v>4000</v>
      </c>
      <c r="G978" s="7" t="n">
        <f aca="false">D978*F978</f>
        <v>4000</v>
      </c>
      <c r="H978" s="2" t="str">
        <f aca="false">INDEX(Daftar_Menu!$B$2:$B$13,MATCH(C978,Daftar_Menu!$A$2:$A$13,0))</f>
        <v>Minuman</v>
      </c>
      <c r="I978" s="2" t="str">
        <f aca="false">CHOOSE(WEEKDAY(B978,2),"Senin","Selasa","Rabu","Kamis","Jumat","Sabtu","Minggu")</f>
        <v>Minggu</v>
      </c>
      <c r="J978" s="2" t="n">
        <f aca="false">HOUR(E978)</f>
        <v>11</v>
      </c>
      <c r="K978" s="2" t="str">
        <f aca="false">IF(J978&lt;11,"Pagi",IF(J978&lt;17,"Siang","Malam"))</f>
        <v>Siang</v>
      </c>
      <c r="L978" s="2" t="n">
        <f aca="false">IF(A978&lt;&gt;A977,1,0)</f>
        <v>0</v>
      </c>
    </row>
    <row r="979" customFormat="false" ht="15" hidden="false" customHeight="false" outlineLevel="0" collapsed="false">
      <c r="A979" s="2" t="s">
        <v>1090</v>
      </c>
      <c r="B979" s="13" t="n">
        <v>46278</v>
      </c>
      <c r="C979" s="2" t="s">
        <v>81</v>
      </c>
      <c r="D979" s="2" t="n">
        <v>2</v>
      </c>
      <c r="E979" s="15" t="n">
        <v>0.521527777777778</v>
      </c>
      <c r="F979" s="7" t="n">
        <v>15000</v>
      </c>
      <c r="G979" s="7" t="n">
        <f aca="false">D979*F979</f>
        <v>30000</v>
      </c>
      <c r="H979" s="2" t="str">
        <f aca="false">INDEX(Daftar_Menu!$B$2:$B$13,MATCH(C979,Daftar_Menu!$A$2:$A$13,0))</f>
        <v>Makanan</v>
      </c>
      <c r="I979" s="2" t="str">
        <f aca="false">CHOOSE(WEEKDAY(B979,2),"Senin","Selasa","Rabu","Kamis","Jumat","Sabtu","Minggu")</f>
        <v>Minggu</v>
      </c>
      <c r="J979" s="2" t="n">
        <f aca="false">HOUR(E979)</f>
        <v>12</v>
      </c>
      <c r="K979" s="2" t="str">
        <f aca="false">IF(J979&lt;11,"Pagi",IF(J979&lt;17,"Siang","Malam"))</f>
        <v>Siang</v>
      </c>
      <c r="L979" s="2" t="n">
        <f aca="false">IF(A979&lt;&gt;A978,1,0)</f>
        <v>1</v>
      </c>
    </row>
    <row r="980" customFormat="false" ht="15" hidden="false" customHeight="false" outlineLevel="0" collapsed="false">
      <c r="A980" s="2" t="s">
        <v>1090</v>
      </c>
      <c r="B980" s="13" t="n">
        <v>46278</v>
      </c>
      <c r="C980" s="2" t="s">
        <v>112</v>
      </c>
      <c r="D980" s="2" t="n">
        <v>1</v>
      </c>
      <c r="E980" s="15" t="n">
        <v>0.521527777777778</v>
      </c>
      <c r="F980" s="7" t="n">
        <v>10000</v>
      </c>
      <c r="G980" s="7" t="n">
        <f aca="false">D980*F980</f>
        <v>10000</v>
      </c>
      <c r="H980" s="2" t="str">
        <f aca="false">INDEX(Daftar_Menu!$B$2:$B$13,MATCH(C980,Daftar_Menu!$A$2:$A$13,0))</f>
        <v>Minuman</v>
      </c>
      <c r="I980" s="2" t="str">
        <f aca="false">CHOOSE(WEEKDAY(B980,2),"Senin","Selasa","Rabu","Kamis","Jumat","Sabtu","Minggu")</f>
        <v>Minggu</v>
      </c>
      <c r="J980" s="2" t="n">
        <f aca="false">HOUR(E980)</f>
        <v>12</v>
      </c>
      <c r="K980" s="2" t="str">
        <f aca="false">IF(J980&lt;11,"Pagi",IF(J980&lt;17,"Siang","Malam"))</f>
        <v>Siang</v>
      </c>
      <c r="L980" s="2" t="n">
        <f aca="false">IF(A980&lt;&gt;A979,1,0)</f>
        <v>0</v>
      </c>
    </row>
    <row r="981" customFormat="false" ht="15" hidden="false" customHeight="false" outlineLevel="0" collapsed="false">
      <c r="A981" s="2" t="s">
        <v>1091</v>
      </c>
      <c r="B981" s="13" t="n">
        <v>46278</v>
      </c>
      <c r="C981" s="2" t="s">
        <v>79</v>
      </c>
      <c r="D981" s="2" t="n">
        <v>1</v>
      </c>
      <c r="E981" s="15" t="n">
        <v>0.522222222222222</v>
      </c>
      <c r="F981" s="7" t="n">
        <v>16000</v>
      </c>
      <c r="G981" s="7" t="n">
        <f aca="false">D981*F981</f>
        <v>16000</v>
      </c>
      <c r="H981" s="2" t="str">
        <f aca="false">INDEX(Daftar_Menu!$B$2:$B$13,MATCH(C981,Daftar_Menu!$A$2:$A$13,0))</f>
        <v>Makanan</v>
      </c>
      <c r="I981" s="2" t="str">
        <f aca="false">CHOOSE(WEEKDAY(B981,2),"Senin","Selasa","Rabu","Kamis","Jumat","Sabtu","Minggu")</f>
        <v>Minggu</v>
      </c>
      <c r="J981" s="2" t="n">
        <f aca="false">HOUR(E981)</f>
        <v>12</v>
      </c>
      <c r="K981" s="2" t="str">
        <f aca="false">IF(J981&lt;11,"Pagi",IF(J981&lt;17,"Siang","Malam"))</f>
        <v>Siang</v>
      </c>
      <c r="L981" s="2" t="n">
        <f aca="false">IF(A981&lt;&gt;A980,1,0)</f>
        <v>1</v>
      </c>
    </row>
    <row r="982" customFormat="false" ht="15" hidden="false" customHeight="false" outlineLevel="0" collapsed="false">
      <c r="A982" s="2" t="s">
        <v>1091</v>
      </c>
      <c r="B982" s="13" t="n">
        <v>46278</v>
      </c>
      <c r="C982" s="2" t="s">
        <v>84</v>
      </c>
      <c r="D982" s="2" t="n">
        <v>1</v>
      </c>
      <c r="E982" s="15" t="n">
        <v>0.522222222222222</v>
      </c>
      <c r="F982" s="7" t="n">
        <v>5000</v>
      </c>
      <c r="G982" s="7" t="n">
        <f aca="false">D982*F982</f>
        <v>5000</v>
      </c>
      <c r="H982" s="2" t="str">
        <f aca="false">INDEX(Daftar_Menu!$B$2:$B$13,MATCH(C982,Daftar_Menu!$A$2:$A$13,0))</f>
        <v>Minuman</v>
      </c>
      <c r="I982" s="2" t="str">
        <f aca="false">CHOOSE(WEEKDAY(B982,2),"Senin","Selasa","Rabu","Kamis","Jumat","Sabtu","Minggu")</f>
        <v>Minggu</v>
      </c>
      <c r="J982" s="2" t="n">
        <f aca="false">HOUR(E982)</f>
        <v>12</v>
      </c>
      <c r="K982" s="2" t="str">
        <f aca="false">IF(J982&lt;11,"Pagi",IF(J982&lt;17,"Siang","Malam"))</f>
        <v>Siang</v>
      </c>
      <c r="L982" s="2" t="n">
        <f aca="false">IF(A982&lt;&gt;A981,1,0)</f>
        <v>0</v>
      </c>
    </row>
    <row r="983" customFormat="false" ht="15" hidden="false" customHeight="false" outlineLevel="0" collapsed="false">
      <c r="A983" s="2" t="s">
        <v>1092</v>
      </c>
      <c r="B983" s="13" t="n">
        <v>46278</v>
      </c>
      <c r="C983" s="2" t="s">
        <v>101</v>
      </c>
      <c r="D983" s="2" t="n">
        <v>1</v>
      </c>
      <c r="E983" s="15" t="n">
        <v>0.523611111111111</v>
      </c>
      <c r="F983" s="7" t="n">
        <v>18000</v>
      </c>
      <c r="G983" s="7" t="n">
        <f aca="false">D983*F983</f>
        <v>18000</v>
      </c>
      <c r="H983" s="2" t="str">
        <f aca="false">INDEX(Daftar_Menu!$B$2:$B$13,MATCH(C983,Daftar_Menu!$A$2:$A$13,0))</f>
        <v>Makanan</v>
      </c>
      <c r="I983" s="2" t="str">
        <f aca="false">CHOOSE(WEEKDAY(B983,2),"Senin","Selasa","Rabu","Kamis","Jumat","Sabtu","Minggu")</f>
        <v>Minggu</v>
      </c>
      <c r="J983" s="2" t="n">
        <f aca="false">HOUR(E983)</f>
        <v>12</v>
      </c>
      <c r="K983" s="2" t="str">
        <f aca="false">IF(J983&lt;11,"Pagi",IF(J983&lt;17,"Siang","Malam"))</f>
        <v>Siang</v>
      </c>
      <c r="L983" s="2" t="n">
        <f aca="false">IF(A983&lt;&gt;A982,1,0)</f>
        <v>1</v>
      </c>
    </row>
    <row r="984" customFormat="false" ht="15" hidden="false" customHeight="false" outlineLevel="0" collapsed="false">
      <c r="A984" s="2" t="s">
        <v>1092</v>
      </c>
      <c r="B984" s="13" t="n">
        <v>46278</v>
      </c>
      <c r="C984" s="2" t="s">
        <v>132</v>
      </c>
      <c r="D984" s="2" t="n">
        <v>1</v>
      </c>
      <c r="E984" s="15" t="n">
        <v>0.523611111111111</v>
      </c>
      <c r="F984" s="7" t="n">
        <v>15000</v>
      </c>
      <c r="G984" s="7" t="n">
        <f aca="false">D984*F984</f>
        <v>15000</v>
      </c>
      <c r="H984" s="2" t="str">
        <f aca="false">INDEX(Daftar_Menu!$B$2:$B$13,MATCH(C984,Daftar_Menu!$A$2:$A$13,0))</f>
        <v>Makanan</v>
      </c>
      <c r="I984" s="2" t="str">
        <f aca="false">CHOOSE(WEEKDAY(B984,2),"Senin","Selasa","Rabu","Kamis","Jumat","Sabtu","Minggu")</f>
        <v>Minggu</v>
      </c>
      <c r="J984" s="2" t="n">
        <f aca="false">HOUR(E984)</f>
        <v>12</v>
      </c>
      <c r="K984" s="2" t="str">
        <f aca="false">IF(J984&lt;11,"Pagi",IF(J984&lt;17,"Siang","Malam"))</f>
        <v>Siang</v>
      </c>
      <c r="L984" s="2" t="n">
        <f aca="false">IF(A984&lt;&gt;A983,1,0)</f>
        <v>0</v>
      </c>
    </row>
    <row r="985" customFormat="false" ht="15" hidden="false" customHeight="false" outlineLevel="0" collapsed="false">
      <c r="A985" s="2" t="s">
        <v>1093</v>
      </c>
      <c r="B985" s="13" t="n">
        <v>46278</v>
      </c>
      <c r="C985" s="2" t="s">
        <v>89</v>
      </c>
      <c r="D985" s="2" t="n">
        <v>1</v>
      </c>
      <c r="E985" s="15" t="n">
        <v>0.524305555555556</v>
      </c>
      <c r="F985" s="7" t="n">
        <v>14000</v>
      </c>
      <c r="G985" s="7" t="n">
        <f aca="false">D985*F985</f>
        <v>14000</v>
      </c>
      <c r="H985" s="2" t="str">
        <f aca="false">INDEX(Daftar_Menu!$B$2:$B$13,MATCH(C985,Daftar_Menu!$A$2:$A$13,0))</f>
        <v>Makanan</v>
      </c>
      <c r="I985" s="2" t="str">
        <f aca="false">CHOOSE(WEEKDAY(B985,2),"Senin","Selasa","Rabu","Kamis","Jumat","Sabtu","Minggu")</f>
        <v>Minggu</v>
      </c>
      <c r="J985" s="2" t="n">
        <f aca="false">HOUR(E985)</f>
        <v>12</v>
      </c>
      <c r="K985" s="2" t="str">
        <f aca="false">IF(J985&lt;11,"Pagi",IF(J985&lt;17,"Siang","Malam"))</f>
        <v>Siang</v>
      </c>
      <c r="L985" s="2" t="n">
        <f aca="false">IF(A985&lt;&gt;A984,1,0)</f>
        <v>1</v>
      </c>
    </row>
    <row r="986" customFormat="false" ht="15" hidden="false" customHeight="false" outlineLevel="0" collapsed="false">
      <c r="A986" s="2" t="s">
        <v>1094</v>
      </c>
      <c r="B986" s="13" t="n">
        <v>46278</v>
      </c>
      <c r="C986" s="2" t="s">
        <v>84</v>
      </c>
      <c r="D986" s="2" t="n">
        <v>2</v>
      </c>
      <c r="E986" s="15" t="n">
        <v>0.525694444444445</v>
      </c>
      <c r="F986" s="7" t="n">
        <v>5000</v>
      </c>
      <c r="G986" s="7" t="n">
        <f aca="false">D986*F986</f>
        <v>10000</v>
      </c>
      <c r="H986" s="2" t="str">
        <f aca="false">INDEX(Daftar_Menu!$B$2:$B$13,MATCH(C986,Daftar_Menu!$A$2:$A$13,0))</f>
        <v>Minuman</v>
      </c>
      <c r="I986" s="2" t="str">
        <f aca="false">CHOOSE(WEEKDAY(B986,2),"Senin","Selasa","Rabu","Kamis","Jumat","Sabtu","Minggu")</f>
        <v>Minggu</v>
      </c>
      <c r="J986" s="2" t="n">
        <f aca="false">HOUR(E986)</f>
        <v>12</v>
      </c>
      <c r="K986" s="2" t="str">
        <f aca="false">IF(J986&lt;11,"Pagi",IF(J986&lt;17,"Siang","Malam"))</f>
        <v>Siang</v>
      </c>
      <c r="L986" s="2" t="n">
        <f aca="false">IF(A986&lt;&gt;A985,1,0)</f>
        <v>1</v>
      </c>
    </row>
    <row r="987" customFormat="false" ht="15" hidden="false" customHeight="false" outlineLevel="0" collapsed="false">
      <c r="A987" s="2" t="s">
        <v>1094</v>
      </c>
      <c r="B987" s="13" t="n">
        <v>46278</v>
      </c>
      <c r="C987" s="2" t="s">
        <v>132</v>
      </c>
      <c r="D987" s="2" t="n">
        <v>1</v>
      </c>
      <c r="E987" s="15" t="n">
        <v>0.525694444444445</v>
      </c>
      <c r="F987" s="7" t="n">
        <v>15000</v>
      </c>
      <c r="G987" s="7" t="n">
        <f aca="false">D987*F987</f>
        <v>15000</v>
      </c>
      <c r="H987" s="2" t="str">
        <f aca="false">INDEX(Daftar_Menu!$B$2:$B$13,MATCH(C987,Daftar_Menu!$A$2:$A$13,0))</f>
        <v>Makanan</v>
      </c>
      <c r="I987" s="2" t="str">
        <f aca="false">CHOOSE(WEEKDAY(B987,2),"Senin","Selasa","Rabu","Kamis","Jumat","Sabtu","Minggu")</f>
        <v>Minggu</v>
      </c>
      <c r="J987" s="2" t="n">
        <f aca="false">HOUR(E987)</f>
        <v>12</v>
      </c>
      <c r="K987" s="2" t="str">
        <f aca="false">IF(J987&lt;11,"Pagi",IF(J987&lt;17,"Siang","Malam"))</f>
        <v>Siang</v>
      </c>
      <c r="L987" s="2" t="n">
        <f aca="false">IF(A987&lt;&gt;A986,1,0)</f>
        <v>0</v>
      </c>
    </row>
    <row r="988" customFormat="false" ht="15" hidden="false" customHeight="false" outlineLevel="0" collapsed="false">
      <c r="A988" s="2" t="s">
        <v>1096</v>
      </c>
      <c r="B988" s="13" t="n">
        <v>46278</v>
      </c>
      <c r="C988" s="2" t="s">
        <v>132</v>
      </c>
      <c r="D988" s="2" t="n">
        <v>1</v>
      </c>
      <c r="E988" s="15" t="n">
        <v>0.529166666666667</v>
      </c>
      <c r="F988" s="7" t="n">
        <v>15000</v>
      </c>
      <c r="G988" s="7" t="n">
        <f aca="false">D988*F988</f>
        <v>15000</v>
      </c>
      <c r="H988" s="2" t="str">
        <f aca="false">INDEX(Daftar_Menu!$B$2:$B$13,MATCH(C988,Daftar_Menu!$A$2:$A$13,0))</f>
        <v>Makanan</v>
      </c>
      <c r="I988" s="2" t="str">
        <f aca="false">CHOOSE(WEEKDAY(B988,2),"Senin","Selasa","Rabu","Kamis","Jumat","Sabtu","Minggu")</f>
        <v>Minggu</v>
      </c>
      <c r="J988" s="2" t="n">
        <f aca="false">HOUR(E988)</f>
        <v>12</v>
      </c>
      <c r="K988" s="2" t="str">
        <f aca="false">IF(J988&lt;11,"Pagi",IF(J988&lt;17,"Siang","Malam"))</f>
        <v>Siang</v>
      </c>
      <c r="L988" s="2" t="n">
        <f aca="false">IF(A988&lt;&gt;A987,1,0)</f>
        <v>1</v>
      </c>
    </row>
    <row r="989" customFormat="false" ht="15" hidden="false" customHeight="false" outlineLevel="0" collapsed="false">
      <c r="A989" s="2" t="s">
        <v>1098</v>
      </c>
      <c r="B989" s="13" t="n">
        <v>46278</v>
      </c>
      <c r="C989" s="2" t="s">
        <v>108</v>
      </c>
      <c r="D989" s="2" t="n">
        <v>1</v>
      </c>
      <c r="E989" s="15" t="n">
        <v>0.530555555555556</v>
      </c>
      <c r="F989" s="7" t="n">
        <v>20000</v>
      </c>
      <c r="G989" s="7" t="n">
        <f aca="false">D989*F989</f>
        <v>20000</v>
      </c>
      <c r="H989" s="2" t="str">
        <f aca="false">INDEX(Daftar_Menu!$B$2:$B$13,MATCH(C989,Daftar_Menu!$A$2:$A$13,0))</f>
        <v>Makanan</v>
      </c>
      <c r="I989" s="2" t="str">
        <f aca="false">CHOOSE(WEEKDAY(B989,2),"Senin","Selasa","Rabu","Kamis","Jumat","Sabtu","Minggu")</f>
        <v>Minggu</v>
      </c>
      <c r="J989" s="2" t="n">
        <f aca="false">HOUR(E989)</f>
        <v>12</v>
      </c>
      <c r="K989" s="2" t="str">
        <f aca="false">IF(J989&lt;11,"Pagi",IF(J989&lt;17,"Siang","Malam"))</f>
        <v>Siang</v>
      </c>
      <c r="L989" s="2" t="n">
        <f aca="false">IF(A989&lt;&gt;A988,1,0)</f>
        <v>1</v>
      </c>
    </row>
    <row r="990" customFormat="false" ht="15" hidden="false" customHeight="false" outlineLevel="0" collapsed="false">
      <c r="A990" s="2" t="s">
        <v>1098</v>
      </c>
      <c r="B990" s="13" t="n">
        <v>46278</v>
      </c>
      <c r="C990" s="2" t="s">
        <v>101</v>
      </c>
      <c r="D990" s="2" t="n">
        <v>1</v>
      </c>
      <c r="E990" s="15" t="n">
        <v>0.530555555555556</v>
      </c>
      <c r="F990" s="7" t="n">
        <v>18000</v>
      </c>
      <c r="G990" s="7" t="n">
        <f aca="false">D990*F990</f>
        <v>18000</v>
      </c>
      <c r="H990" s="2" t="str">
        <f aca="false">INDEX(Daftar_Menu!$B$2:$B$13,MATCH(C990,Daftar_Menu!$A$2:$A$13,0))</f>
        <v>Makanan</v>
      </c>
      <c r="I990" s="2" t="str">
        <f aca="false">CHOOSE(WEEKDAY(B990,2),"Senin","Selasa","Rabu","Kamis","Jumat","Sabtu","Minggu")</f>
        <v>Minggu</v>
      </c>
      <c r="J990" s="2" t="n">
        <f aca="false">HOUR(E990)</f>
        <v>12</v>
      </c>
      <c r="K990" s="2" t="str">
        <f aca="false">IF(J990&lt;11,"Pagi",IF(J990&lt;17,"Siang","Malam"))</f>
        <v>Siang</v>
      </c>
      <c r="L990" s="2" t="n">
        <f aca="false">IF(A990&lt;&gt;A989,1,0)</f>
        <v>0</v>
      </c>
    </row>
    <row r="991" customFormat="false" ht="15" hidden="false" customHeight="false" outlineLevel="0" collapsed="false">
      <c r="A991" s="2" t="s">
        <v>1099</v>
      </c>
      <c r="B991" s="13" t="n">
        <v>46278</v>
      </c>
      <c r="C991" s="2" t="s">
        <v>81</v>
      </c>
      <c r="D991" s="2" t="n">
        <v>1</v>
      </c>
      <c r="E991" s="15" t="n">
        <v>0.532638888888889</v>
      </c>
      <c r="F991" s="7" t="n">
        <v>15000</v>
      </c>
      <c r="G991" s="7" t="n">
        <f aca="false">D991*F991</f>
        <v>15000</v>
      </c>
      <c r="H991" s="2" t="str">
        <f aca="false">INDEX(Daftar_Menu!$B$2:$B$13,MATCH(C991,Daftar_Menu!$A$2:$A$13,0))</f>
        <v>Makanan</v>
      </c>
      <c r="I991" s="2" t="str">
        <f aca="false">CHOOSE(WEEKDAY(B991,2),"Senin","Selasa","Rabu","Kamis","Jumat","Sabtu","Minggu")</f>
        <v>Minggu</v>
      </c>
      <c r="J991" s="2" t="n">
        <f aca="false">HOUR(E991)</f>
        <v>12</v>
      </c>
      <c r="K991" s="2" t="str">
        <f aca="false">IF(J991&lt;11,"Pagi",IF(J991&lt;17,"Siang","Malam"))</f>
        <v>Siang</v>
      </c>
      <c r="L991" s="2" t="n">
        <f aca="false">IF(A991&lt;&gt;A990,1,0)</f>
        <v>1</v>
      </c>
    </row>
    <row r="992" customFormat="false" ht="15" hidden="false" customHeight="false" outlineLevel="0" collapsed="false">
      <c r="A992" s="2" t="s">
        <v>1100</v>
      </c>
      <c r="B992" s="13" t="n">
        <v>46278</v>
      </c>
      <c r="C992" s="2" t="s">
        <v>92</v>
      </c>
      <c r="D992" s="2" t="n">
        <v>1</v>
      </c>
      <c r="E992" s="15" t="n">
        <v>0.533333333333333</v>
      </c>
      <c r="F992" s="7" t="n">
        <v>4000</v>
      </c>
      <c r="G992" s="7" t="n">
        <f aca="false">D992*F992</f>
        <v>4000</v>
      </c>
      <c r="H992" s="2" t="str">
        <f aca="false">INDEX(Daftar_Menu!$B$2:$B$13,MATCH(C992,Daftar_Menu!$A$2:$A$13,0))</f>
        <v>Minuman</v>
      </c>
      <c r="I992" s="2" t="str">
        <f aca="false">CHOOSE(WEEKDAY(B992,2),"Senin","Selasa","Rabu","Kamis","Jumat","Sabtu","Minggu")</f>
        <v>Minggu</v>
      </c>
      <c r="J992" s="2" t="n">
        <f aca="false">HOUR(E992)</f>
        <v>12</v>
      </c>
      <c r="K992" s="2" t="str">
        <f aca="false">IF(J992&lt;11,"Pagi",IF(J992&lt;17,"Siang","Malam"))</f>
        <v>Siang</v>
      </c>
      <c r="L992" s="2" t="n">
        <f aca="false">IF(A992&lt;&gt;A991,1,0)</f>
        <v>1</v>
      </c>
    </row>
    <row r="993" customFormat="false" ht="15" hidden="false" customHeight="false" outlineLevel="0" collapsed="false">
      <c r="A993" s="2" t="s">
        <v>1101</v>
      </c>
      <c r="B993" s="13" t="n">
        <v>46278</v>
      </c>
      <c r="C993" s="2" t="s">
        <v>81</v>
      </c>
      <c r="D993" s="2" t="n">
        <v>1</v>
      </c>
      <c r="E993" s="15" t="n">
        <v>0.535416666666667</v>
      </c>
      <c r="F993" s="7" t="n">
        <v>15000</v>
      </c>
      <c r="G993" s="7" t="n">
        <f aca="false">D993*F993</f>
        <v>15000</v>
      </c>
      <c r="H993" s="2" t="str">
        <f aca="false">INDEX(Daftar_Menu!$B$2:$B$13,MATCH(C993,Daftar_Menu!$A$2:$A$13,0))</f>
        <v>Makanan</v>
      </c>
      <c r="I993" s="2" t="str">
        <f aca="false">CHOOSE(WEEKDAY(B993,2),"Senin","Selasa","Rabu","Kamis","Jumat","Sabtu","Minggu")</f>
        <v>Minggu</v>
      </c>
      <c r="J993" s="2" t="n">
        <f aca="false">HOUR(E993)</f>
        <v>12</v>
      </c>
      <c r="K993" s="2" t="str">
        <f aca="false">IF(J993&lt;11,"Pagi",IF(J993&lt;17,"Siang","Malam"))</f>
        <v>Siang</v>
      </c>
      <c r="L993" s="2" t="n">
        <f aca="false">IF(A993&lt;&gt;A992,1,0)</f>
        <v>1</v>
      </c>
    </row>
    <row r="994" customFormat="false" ht="15" hidden="false" customHeight="false" outlineLevel="0" collapsed="false">
      <c r="A994" s="2" t="s">
        <v>1102</v>
      </c>
      <c r="B994" s="13" t="n">
        <v>46278</v>
      </c>
      <c r="C994" s="2" t="s">
        <v>92</v>
      </c>
      <c r="D994" s="2" t="n">
        <v>1</v>
      </c>
      <c r="E994" s="15" t="n">
        <v>0.5375</v>
      </c>
      <c r="F994" s="7" t="n">
        <v>4000</v>
      </c>
      <c r="G994" s="7" t="n">
        <f aca="false">D994*F994</f>
        <v>4000</v>
      </c>
      <c r="H994" s="2" t="str">
        <f aca="false">INDEX(Daftar_Menu!$B$2:$B$13,MATCH(C994,Daftar_Menu!$A$2:$A$13,0))</f>
        <v>Minuman</v>
      </c>
      <c r="I994" s="2" t="str">
        <f aca="false">CHOOSE(WEEKDAY(B994,2),"Senin","Selasa","Rabu","Kamis","Jumat","Sabtu","Minggu")</f>
        <v>Minggu</v>
      </c>
      <c r="J994" s="2" t="n">
        <f aca="false">HOUR(E994)</f>
        <v>12</v>
      </c>
      <c r="K994" s="2" t="str">
        <f aca="false">IF(J994&lt;11,"Pagi",IF(J994&lt;17,"Siang","Malam"))</f>
        <v>Siang</v>
      </c>
      <c r="L994" s="2" t="n">
        <f aca="false">IF(A994&lt;&gt;A993,1,0)</f>
        <v>1</v>
      </c>
    </row>
    <row r="995" customFormat="false" ht="15" hidden="false" customHeight="false" outlineLevel="0" collapsed="false">
      <c r="A995" s="2" t="s">
        <v>1102</v>
      </c>
      <c r="B995" s="13" t="n">
        <v>46278</v>
      </c>
      <c r="C995" s="2" t="s">
        <v>112</v>
      </c>
      <c r="D995" s="2" t="n">
        <v>2</v>
      </c>
      <c r="E995" s="15" t="n">
        <v>0.5375</v>
      </c>
      <c r="F995" s="7" t="n">
        <v>10000</v>
      </c>
      <c r="G995" s="7" t="n">
        <f aca="false">D995*F995</f>
        <v>20000</v>
      </c>
      <c r="H995" s="2" t="str">
        <f aca="false">INDEX(Daftar_Menu!$B$2:$B$13,MATCH(C995,Daftar_Menu!$A$2:$A$13,0))</f>
        <v>Minuman</v>
      </c>
      <c r="I995" s="2" t="str">
        <f aca="false">CHOOSE(WEEKDAY(B995,2),"Senin","Selasa","Rabu","Kamis","Jumat","Sabtu","Minggu")</f>
        <v>Minggu</v>
      </c>
      <c r="J995" s="2" t="n">
        <f aca="false">HOUR(E995)</f>
        <v>12</v>
      </c>
      <c r="K995" s="2" t="str">
        <f aca="false">IF(J995&lt;11,"Pagi",IF(J995&lt;17,"Siang","Malam"))</f>
        <v>Siang</v>
      </c>
      <c r="L995" s="2" t="n">
        <f aca="false">IF(A995&lt;&gt;A994,1,0)</f>
        <v>0</v>
      </c>
    </row>
    <row r="996" customFormat="false" ht="15" hidden="false" customHeight="false" outlineLevel="0" collapsed="false">
      <c r="A996" s="2" t="s">
        <v>1104</v>
      </c>
      <c r="B996" s="13" t="n">
        <v>46278</v>
      </c>
      <c r="C996" s="2" t="s">
        <v>89</v>
      </c>
      <c r="D996" s="2" t="n">
        <v>1</v>
      </c>
      <c r="E996" s="15" t="n">
        <v>0.55</v>
      </c>
      <c r="F996" s="7" t="n">
        <v>14000</v>
      </c>
      <c r="G996" s="7" t="n">
        <f aca="false">D996*F996</f>
        <v>14000</v>
      </c>
      <c r="H996" s="2" t="str">
        <f aca="false">INDEX(Daftar_Menu!$B$2:$B$13,MATCH(C996,Daftar_Menu!$A$2:$A$13,0))</f>
        <v>Makanan</v>
      </c>
      <c r="I996" s="2" t="str">
        <f aca="false">CHOOSE(WEEKDAY(B996,2),"Senin","Selasa","Rabu","Kamis","Jumat","Sabtu","Minggu")</f>
        <v>Minggu</v>
      </c>
      <c r="J996" s="2" t="n">
        <f aca="false">HOUR(E996)</f>
        <v>13</v>
      </c>
      <c r="K996" s="2" t="str">
        <f aca="false">IF(J996&lt;11,"Pagi",IF(J996&lt;17,"Siang","Malam"))</f>
        <v>Siang</v>
      </c>
      <c r="L996" s="2" t="n">
        <f aca="false">IF(A996&lt;&gt;A995,1,0)</f>
        <v>1</v>
      </c>
    </row>
    <row r="997" customFormat="false" ht="15" hidden="false" customHeight="false" outlineLevel="0" collapsed="false">
      <c r="A997" s="2" t="s">
        <v>1104</v>
      </c>
      <c r="B997" s="13" t="n">
        <v>46278</v>
      </c>
      <c r="C997" s="2" t="s">
        <v>186</v>
      </c>
      <c r="D997" s="2" t="n">
        <v>1</v>
      </c>
      <c r="E997" s="15" t="n">
        <v>0.55</v>
      </c>
      <c r="F997" s="7" t="n">
        <v>7000</v>
      </c>
      <c r="G997" s="7" t="n">
        <f aca="false">D997*F997</f>
        <v>7000</v>
      </c>
      <c r="H997" s="2" t="str">
        <f aca="false">INDEX(Daftar_Menu!$B$2:$B$13,MATCH(C997,Daftar_Menu!$A$2:$A$13,0))</f>
        <v>Minuman</v>
      </c>
      <c r="I997" s="2" t="str">
        <f aca="false">CHOOSE(WEEKDAY(B997,2),"Senin","Selasa","Rabu","Kamis","Jumat","Sabtu","Minggu")</f>
        <v>Minggu</v>
      </c>
      <c r="J997" s="2" t="n">
        <f aca="false">HOUR(E997)</f>
        <v>13</v>
      </c>
      <c r="K997" s="2" t="str">
        <f aca="false">IF(J997&lt;11,"Pagi",IF(J997&lt;17,"Siang","Malam"))</f>
        <v>Siang</v>
      </c>
      <c r="L997" s="2" t="n">
        <f aca="false">IF(A997&lt;&gt;A996,1,0)</f>
        <v>0</v>
      </c>
    </row>
    <row r="998" customFormat="false" ht="15" hidden="false" customHeight="false" outlineLevel="0" collapsed="false">
      <c r="A998" s="2" t="s">
        <v>1105</v>
      </c>
      <c r="B998" s="13" t="n">
        <v>46278</v>
      </c>
      <c r="C998" s="2" t="s">
        <v>108</v>
      </c>
      <c r="D998" s="2" t="n">
        <v>1</v>
      </c>
      <c r="E998" s="15" t="n">
        <v>0.551388888888889</v>
      </c>
      <c r="F998" s="7" t="n">
        <v>20000</v>
      </c>
      <c r="G998" s="7" t="n">
        <f aca="false">D998*F998</f>
        <v>20000</v>
      </c>
      <c r="H998" s="2" t="str">
        <f aca="false">INDEX(Daftar_Menu!$B$2:$B$13,MATCH(C998,Daftar_Menu!$A$2:$A$13,0))</f>
        <v>Makanan</v>
      </c>
      <c r="I998" s="2" t="str">
        <f aca="false">CHOOSE(WEEKDAY(B998,2),"Senin","Selasa","Rabu","Kamis","Jumat","Sabtu","Minggu")</f>
        <v>Minggu</v>
      </c>
      <c r="J998" s="2" t="n">
        <f aca="false">HOUR(E998)</f>
        <v>13</v>
      </c>
      <c r="K998" s="2" t="str">
        <f aca="false">IF(J998&lt;11,"Pagi",IF(J998&lt;17,"Siang","Malam"))</f>
        <v>Siang</v>
      </c>
      <c r="L998" s="2" t="n">
        <f aca="false">IF(A998&lt;&gt;A997,1,0)</f>
        <v>1</v>
      </c>
    </row>
    <row r="999" customFormat="false" ht="15" hidden="false" customHeight="false" outlineLevel="0" collapsed="false">
      <c r="A999" s="2" t="s">
        <v>1105</v>
      </c>
      <c r="B999" s="13" t="n">
        <v>46278</v>
      </c>
      <c r="C999" s="2" t="s">
        <v>81</v>
      </c>
      <c r="D999" s="2" t="n">
        <v>3</v>
      </c>
      <c r="E999" s="15" t="n">
        <v>0.551388888888889</v>
      </c>
      <c r="F999" s="7" t="n">
        <v>15000</v>
      </c>
      <c r="G999" s="7" t="n">
        <f aca="false">D999*F999</f>
        <v>45000</v>
      </c>
      <c r="H999" s="2" t="str">
        <f aca="false">INDEX(Daftar_Menu!$B$2:$B$13,MATCH(C999,Daftar_Menu!$A$2:$A$13,0))</f>
        <v>Makanan</v>
      </c>
      <c r="I999" s="2" t="str">
        <f aca="false">CHOOSE(WEEKDAY(B999,2),"Senin","Selasa","Rabu","Kamis","Jumat","Sabtu","Minggu")</f>
        <v>Minggu</v>
      </c>
      <c r="J999" s="2" t="n">
        <f aca="false">HOUR(E999)</f>
        <v>13</v>
      </c>
      <c r="K999" s="2" t="str">
        <f aca="false">IF(J999&lt;11,"Pagi",IF(J999&lt;17,"Siang","Malam"))</f>
        <v>Siang</v>
      </c>
      <c r="L999" s="2" t="n">
        <f aca="false">IF(A999&lt;&gt;A998,1,0)</f>
        <v>0</v>
      </c>
    </row>
    <row r="1000" customFormat="false" ht="15" hidden="false" customHeight="false" outlineLevel="0" collapsed="false">
      <c r="A1000" s="2" t="s">
        <v>1105</v>
      </c>
      <c r="B1000" s="13" t="n">
        <v>46278</v>
      </c>
      <c r="C1000" s="2" t="s">
        <v>79</v>
      </c>
      <c r="D1000" s="2" t="n">
        <v>2</v>
      </c>
      <c r="E1000" s="15" t="n">
        <v>0.551388888888889</v>
      </c>
      <c r="F1000" s="7" t="n">
        <v>16000</v>
      </c>
      <c r="G1000" s="7" t="n">
        <f aca="false">D1000*F1000</f>
        <v>32000</v>
      </c>
      <c r="H1000" s="2" t="str">
        <f aca="false">INDEX(Daftar_Menu!$B$2:$B$13,MATCH(C1000,Daftar_Menu!$A$2:$A$13,0))</f>
        <v>Makanan</v>
      </c>
      <c r="I1000" s="2" t="str">
        <f aca="false">CHOOSE(WEEKDAY(B1000,2),"Senin","Selasa","Rabu","Kamis","Jumat","Sabtu","Minggu")</f>
        <v>Minggu</v>
      </c>
      <c r="J1000" s="2" t="n">
        <f aca="false">HOUR(E1000)</f>
        <v>13</v>
      </c>
      <c r="K1000" s="2" t="str">
        <f aca="false">IF(J1000&lt;11,"Pagi",IF(J1000&lt;17,"Siang","Malam"))</f>
        <v>Siang</v>
      </c>
      <c r="L1000" s="2" t="n">
        <f aca="false">IF(A1000&lt;&gt;A999,1,0)</f>
        <v>0</v>
      </c>
    </row>
    <row r="1001" customFormat="false" ht="15" hidden="false" customHeight="false" outlineLevel="0" collapsed="false">
      <c r="A1001" s="2" t="s">
        <v>1107</v>
      </c>
      <c r="B1001" s="13" t="n">
        <v>46278</v>
      </c>
      <c r="C1001" s="2" t="s">
        <v>101</v>
      </c>
      <c r="D1001" s="2" t="n">
        <v>1</v>
      </c>
      <c r="E1001" s="15" t="n">
        <v>0.564583333333333</v>
      </c>
      <c r="F1001" s="7" t="n">
        <v>18000</v>
      </c>
      <c r="G1001" s="7" t="n">
        <f aca="false">D1001*F1001</f>
        <v>18000</v>
      </c>
      <c r="H1001" s="2" t="str">
        <f aca="false">INDEX(Daftar_Menu!$B$2:$B$13,MATCH(C1001,Daftar_Menu!$A$2:$A$13,0))</f>
        <v>Makanan</v>
      </c>
      <c r="I1001" s="2" t="str">
        <f aca="false">CHOOSE(WEEKDAY(B1001,2),"Senin","Selasa","Rabu","Kamis","Jumat","Sabtu","Minggu")</f>
        <v>Minggu</v>
      </c>
      <c r="J1001" s="2" t="n">
        <f aca="false">HOUR(E1001)</f>
        <v>13</v>
      </c>
      <c r="K1001" s="2" t="str">
        <f aca="false">IF(J1001&lt;11,"Pagi",IF(J1001&lt;17,"Siang","Malam"))</f>
        <v>Siang</v>
      </c>
      <c r="L1001" s="2" t="n">
        <f aca="false">IF(A1001&lt;&gt;A1000,1,0)</f>
        <v>1</v>
      </c>
    </row>
    <row r="1002" customFormat="false" ht="15" hidden="false" customHeight="false" outlineLevel="0" collapsed="false">
      <c r="A1002" s="2" t="s">
        <v>1107</v>
      </c>
      <c r="B1002" s="13" t="n">
        <v>46278</v>
      </c>
      <c r="C1002" s="2" t="s">
        <v>186</v>
      </c>
      <c r="D1002" s="2" t="n">
        <v>2</v>
      </c>
      <c r="E1002" s="15" t="n">
        <v>0.564583333333333</v>
      </c>
      <c r="F1002" s="7" t="n">
        <v>7000</v>
      </c>
      <c r="G1002" s="7" t="n">
        <f aca="false">D1002*F1002</f>
        <v>14000</v>
      </c>
      <c r="H1002" s="2" t="str">
        <f aca="false">INDEX(Daftar_Menu!$B$2:$B$13,MATCH(C1002,Daftar_Menu!$A$2:$A$13,0))</f>
        <v>Minuman</v>
      </c>
      <c r="I1002" s="2" t="str">
        <f aca="false">CHOOSE(WEEKDAY(B1002,2),"Senin","Selasa","Rabu","Kamis","Jumat","Sabtu","Minggu")</f>
        <v>Minggu</v>
      </c>
      <c r="J1002" s="2" t="n">
        <f aca="false">HOUR(E1002)</f>
        <v>13</v>
      </c>
      <c r="K1002" s="2" t="str">
        <f aca="false">IF(J1002&lt;11,"Pagi",IF(J1002&lt;17,"Siang","Malam"))</f>
        <v>Siang</v>
      </c>
      <c r="L1002" s="2" t="n">
        <f aca="false">IF(A1002&lt;&gt;A1001,1,0)</f>
        <v>0</v>
      </c>
    </row>
    <row r="1003" customFormat="false" ht="15" hidden="false" customHeight="false" outlineLevel="0" collapsed="false">
      <c r="A1003" s="2" t="s">
        <v>1108</v>
      </c>
      <c r="B1003" s="13" t="n">
        <v>46278</v>
      </c>
      <c r="C1003" s="2" t="s">
        <v>84</v>
      </c>
      <c r="D1003" s="2" t="n">
        <v>1</v>
      </c>
      <c r="E1003" s="15" t="n">
        <v>0.565277777777778</v>
      </c>
      <c r="F1003" s="7" t="n">
        <v>5000</v>
      </c>
      <c r="G1003" s="7" t="n">
        <f aca="false">D1003*F1003</f>
        <v>5000</v>
      </c>
      <c r="H1003" s="2" t="str">
        <f aca="false">INDEX(Daftar_Menu!$B$2:$B$13,MATCH(C1003,Daftar_Menu!$A$2:$A$13,0))</f>
        <v>Minuman</v>
      </c>
      <c r="I1003" s="2" t="str">
        <f aca="false">CHOOSE(WEEKDAY(B1003,2),"Senin","Selasa","Rabu","Kamis","Jumat","Sabtu","Minggu")</f>
        <v>Minggu</v>
      </c>
      <c r="J1003" s="2" t="n">
        <f aca="false">HOUR(E1003)</f>
        <v>13</v>
      </c>
      <c r="K1003" s="2" t="str">
        <f aca="false">IF(J1003&lt;11,"Pagi",IF(J1003&lt;17,"Siang","Malam"))</f>
        <v>Siang</v>
      </c>
      <c r="L1003" s="2" t="n">
        <f aca="false">IF(A1003&lt;&gt;A1002,1,0)</f>
        <v>1</v>
      </c>
    </row>
    <row r="1004" customFormat="false" ht="15" hidden="false" customHeight="false" outlineLevel="0" collapsed="false">
      <c r="A1004" s="2" t="s">
        <v>1109</v>
      </c>
      <c r="B1004" s="13" t="n">
        <v>46278</v>
      </c>
      <c r="C1004" s="2" t="s">
        <v>84</v>
      </c>
      <c r="D1004" s="2" t="n">
        <v>1</v>
      </c>
      <c r="E1004" s="15" t="n">
        <v>0.567361111111111</v>
      </c>
      <c r="F1004" s="7" t="n">
        <v>5000</v>
      </c>
      <c r="G1004" s="7" t="n">
        <f aca="false">D1004*F1004</f>
        <v>5000</v>
      </c>
      <c r="H1004" s="2" t="str">
        <f aca="false">INDEX(Daftar_Menu!$B$2:$B$13,MATCH(C1004,Daftar_Menu!$A$2:$A$13,0))</f>
        <v>Minuman</v>
      </c>
      <c r="I1004" s="2" t="str">
        <f aca="false">CHOOSE(WEEKDAY(B1004,2),"Senin","Selasa","Rabu","Kamis","Jumat","Sabtu","Minggu")</f>
        <v>Minggu</v>
      </c>
      <c r="J1004" s="2" t="n">
        <f aca="false">HOUR(E1004)</f>
        <v>13</v>
      </c>
      <c r="K1004" s="2" t="str">
        <f aca="false">IF(J1004&lt;11,"Pagi",IF(J1004&lt;17,"Siang","Malam"))</f>
        <v>Siang</v>
      </c>
      <c r="L1004" s="2" t="n">
        <f aca="false">IF(A1004&lt;&gt;A1003,1,0)</f>
        <v>1</v>
      </c>
    </row>
    <row r="1005" customFormat="false" ht="15" hidden="false" customHeight="false" outlineLevel="0" collapsed="false">
      <c r="A1005" s="2" t="s">
        <v>1111</v>
      </c>
      <c r="B1005" s="13" t="n">
        <v>46278</v>
      </c>
      <c r="C1005" s="2" t="s">
        <v>89</v>
      </c>
      <c r="D1005" s="2" t="n">
        <v>1</v>
      </c>
      <c r="E1005" s="15" t="n">
        <v>0.56875</v>
      </c>
      <c r="F1005" s="7" t="n">
        <v>14000</v>
      </c>
      <c r="G1005" s="7" t="n">
        <f aca="false">D1005*F1005</f>
        <v>14000</v>
      </c>
      <c r="H1005" s="2" t="str">
        <f aca="false">INDEX(Daftar_Menu!$B$2:$B$13,MATCH(C1005,Daftar_Menu!$A$2:$A$13,0))</f>
        <v>Makanan</v>
      </c>
      <c r="I1005" s="2" t="str">
        <f aca="false">CHOOSE(WEEKDAY(B1005,2),"Senin","Selasa","Rabu","Kamis","Jumat","Sabtu","Minggu")</f>
        <v>Minggu</v>
      </c>
      <c r="J1005" s="2" t="n">
        <f aca="false">HOUR(E1005)</f>
        <v>13</v>
      </c>
      <c r="K1005" s="2" t="str">
        <f aca="false">IF(J1005&lt;11,"Pagi",IF(J1005&lt;17,"Siang","Malam"))</f>
        <v>Siang</v>
      </c>
      <c r="L1005" s="2" t="n">
        <f aca="false">IF(A1005&lt;&gt;A1004,1,0)</f>
        <v>1</v>
      </c>
    </row>
    <row r="1006" customFormat="false" ht="15" hidden="false" customHeight="false" outlineLevel="0" collapsed="false">
      <c r="A1006" s="2" t="s">
        <v>1112</v>
      </c>
      <c r="B1006" s="13" t="n">
        <v>46278</v>
      </c>
      <c r="C1006" s="2" t="s">
        <v>79</v>
      </c>
      <c r="D1006" s="2" t="n">
        <v>1</v>
      </c>
      <c r="E1006" s="15" t="n">
        <v>0.572222222222222</v>
      </c>
      <c r="F1006" s="7" t="n">
        <v>16000</v>
      </c>
      <c r="G1006" s="7" t="n">
        <f aca="false">D1006*F1006</f>
        <v>16000</v>
      </c>
      <c r="H1006" s="2" t="str">
        <f aca="false">INDEX(Daftar_Menu!$B$2:$B$13,MATCH(C1006,Daftar_Menu!$A$2:$A$13,0))</f>
        <v>Makanan</v>
      </c>
      <c r="I1006" s="2" t="str">
        <f aca="false">CHOOSE(WEEKDAY(B1006,2),"Senin","Selasa","Rabu","Kamis","Jumat","Sabtu","Minggu")</f>
        <v>Minggu</v>
      </c>
      <c r="J1006" s="2" t="n">
        <f aca="false">HOUR(E1006)</f>
        <v>13</v>
      </c>
      <c r="K1006" s="2" t="str">
        <f aca="false">IF(J1006&lt;11,"Pagi",IF(J1006&lt;17,"Siang","Malam"))</f>
        <v>Siang</v>
      </c>
      <c r="L1006" s="2" t="n">
        <f aca="false">IF(A1006&lt;&gt;A1005,1,0)</f>
        <v>1</v>
      </c>
    </row>
    <row r="1007" customFormat="false" ht="15" hidden="false" customHeight="false" outlineLevel="0" collapsed="false">
      <c r="A1007" s="2" t="s">
        <v>1112</v>
      </c>
      <c r="B1007" s="13" t="n">
        <v>46278</v>
      </c>
      <c r="C1007" s="2" t="s">
        <v>186</v>
      </c>
      <c r="D1007" s="2" t="n">
        <v>2</v>
      </c>
      <c r="E1007" s="15" t="n">
        <v>0.572222222222222</v>
      </c>
      <c r="F1007" s="7" t="n">
        <v>7000</v>
      </c>
      <c r="G1007" s="7" t="n">
        <f aca="false">D1007*F1007</f>
        <v>14000</v>
      </c>
      <c r="H1007" s="2" t="str">
        <f aca="false">INDEX(Daftar_Menu!$B$2:$B$13,MATCH(C1007,Daftar_Menu!$A$2:$A$13,0))</f>
        <v>Minuman</v>
      </c>
      <c r="I1007" s="2" t="str">
        <f aca="false">CHOOSE(WEEKDAY(B1007,2),"Senin","Selasa","Rabu","Kamis","Jumat","Sabtu","Minggu")</f>
        <v>Minggu</v>
      </c>
      <c r="J1007" s="2" t="n">
        <f aca="false">HOUR(E1007)</f>
        <v>13</v>
      </c>
      <c r="K1007" s="2" t="str">
        <f aca="false">IF(J1007&lt;11,"Pagi",IF(J1007&lt;17,"Siang","Malam"))</f>
        <v>Siang</v>
      </c>
      <c r="L1007" s="2" t="n">
        <f aca="false">IF(A1007&lt;&gt;A1006,1,0)</f>
        <v>0</v>
      </c>
    </row>
    <row r="1008" customFormat="false" ht="15" hidden="false" customHeight="false" outlineLevel="0" collapsed="false">
      <c r="A1008" s="2" t="s">
        <v>1114</v>
      </c>
      <c r="B1008" s="13" t="n">
        <v>46278</v>
      </c>
      <c r="C1008" s="2" t="s">
        <v>84</v>
      </c>
      <c r="D1008" s="2" t="n">
        <v>2</v>
      </c>
      <c r="E1008" s="15" t="n">
        <v>0.579861111111111</v>
      </c>
      <c r="F1008" s="7" t="n">
        <v>5000</v>
      </c>
      <c r="G1008" s="7" t="n">
        <f aca="false">D1008*F1008</f>
        <v>10000</v>
      </c>
      <c r="H1008" s="2" t="str">
        <f aca="false">INDEX(Daftar_Menu!$B$2:$B$13,MATCH(C1008,Daftar_Menu!$A$2:$A$13,0))</f>
        <v>Minuman</v>
      </c>
      <c r="I1008" s="2" t="str">
        <f aca="false">CHOOSE(WEEKDAY(B1008,2),"Senin","Selasa","Rabu","Kamis","Jumat","Sabtu","Minggu")</f>
        <v>Minggu</v>
      </c>
      <c r="J1008" s="2" t="n">
        <f aca="false">HOUR(E1008)</f>
        <v>13</v>
      </c>
      <c r="K1008" s="2" t="str">
        <f aca="false">IF(J1008&lt;11,"Pagi",IF(J1008&lt;17,"Siang","Malam"))</f>
        <v>Siang</v>
      </c>
      <c r="L1008" s="2" t="n">
        <f aca="false">IF(A1008&lt;&gt;A1007,1,0)</f>
        <v>1</v>
      </c>
    </row>
    <row r="1009" customFormat="false" ht="15" hidden="false" customHeight="false" outlineLevel="0" collapsed="false">
      <c r="A1009" s="2" t="s">
        <v>1115</v>
      </c>
      <c r="B1009" s="13" t="n">
        <v>46278</v>
      </c>
      <c r="C1009" s="2" t="s">
        <v>79</v>
      </c>
      <c r="D1009" s="2" t="n">
        <v>2</v>
      </c>
      <c r="E1009" s="15" t="n">
        <v>0.641666666666667</v>
      </c>
      <c r="F1009" s="7" t="n">
        <v>16000</v>
      </c>
      <c r="G1009" s="7" t="n">
        <f aca="false">D1009*F1009</f>
        <v>32000</v>
      </c>
      <c r="H1009" s="2" t="str">
        <f aca="false">INDEX(Daftar_Menu!$B$2:$B$13,MATCH(C1009,Daftar_Menu!$A$2:$A$13,0))</f>
        <v>Makanan</v>
      </c>
      <c r="I1009" s="2" t="str">
        <f aca="false">CHOOSE(WEEKDAY(B1009,2),"Senin","Selasa","Rabu","Kamis","Jumat","Sabtu","Minggu")</f>
        <v>Minggu</v>
      </c>
      <c r="J1009" s="2" t="n">
        <f aca="false">HOUR(E1009)</f>
        <v>15</v>
      </c>
      <c r="K1009" s="2" t="str">
        <f aca="false">IF(J1009&lt;11,"Pagi",IF(J1009&lt;17,"Siang","Malam"))</f>
        <v>Siang</v>
      </c>
      <c r="L1009" s="2" t="n">
        <f aca="false">IF(A1009&lt;&gt;A1008,1,0)</f>
        <v>1</v>
      </c>
    </row>
    <row r="1010" customFormat="false" ht="15" hidden="false" customHeight="false" outlineLevel="0" collapsed="false">
      <c r="A1010" s="2" t="s">
        <v>1117</v>
      </c>
      <c r="B1010" s="13" t="n">
        <v>46278</v>
      </c>
      <c r="C1010" s="2" t="s">
        <v>84</v>
      </c>
      <c r="D1010" s="2" t="n">
        <v>1</v>
      </c>
      <c r="E1010" s="15" t="n">
        <v>0.661805555555556</v>
      </c>
      <c r="F1010" s="7" t="n">
        <v>5000</v>
      </c>
      <c r="G1010" s="7" t="n">
        <f aca="false">D1010*F1010</f>
        <v>5000</v>
      </c>
      <c r="H1010" s="2" t="str">
        <f aca="false">INDEX(Daftar_Menu!$B$2:$B$13,MATCH(C1010,Daftar_Menu!$A$2:$A$13,0))</f>
        <v>Minuman</v>
      </c>
      <c r="I1010" s="2" t="str">
        <f aca="false">CHOOSE(WEEKDAY(B1010,2),"Senin","Selasa","Rabu","Kamis","Jumat","Sabtu","Minggu")</f>
        <v>Minggu</v>
      </c>
      <c r="J1010" s="2" t="n">
        <f aca="false">HOUR(E1010)</f>
        <v>15</v>
      </c>
      <c r="K1010" s="2" t="str">
        <f aca="false">IF(J1010&lt;11,"Pagi",IF(J1010&lt;17,"Siang","Malam"))</f>
        <v>Siang</v>
      </c>
      <c r="L1010" s="2" t="n">
        <f aca="false">IF(A1010&lt;&gt;A1009,1,0)</f>
        <v>1</v>
      </c>
    </row>
    <row r="1011" customFormat="false" ht="15" hidden="false" customHeight="false" outlineLevel="0" collapsed="false">
      <c r="A1011" s="2" t="s">
        <v>1118</v>
      </c>
      <c r="B1011" s="13" t="n">
        <v>46278</v>
      </c>
      <c r="C1011" s="2" t="s">
        <v>79</v>
      </c>
      <c r="D1011" s="2" t="n">
        <v>1</v>
      </c>
      <c r="E1011" s="15" t="n">
        <v>0.68125</v>
      </c>
      <c r="F1011" s="7" t="n">
        <v>16000</v>
      </c>
      <c r="G1011" s="7" t="n">
        <f aca="false">D1011*F1011</f>
        <v>16000</v>
      </c>
      <c r="H1011" s="2" t="str">
        <f aca="false">INDEX(Daftar_Menu!$B$2:$B$13,MATCH(C1011,Daftar_Menu!$A$2:$A$13,0))</f>
        <v>Makanan</v>
      </c>
      <c r="I1011" s="2" t="str">
        <f aca="false">CHOOSE(WEEKDAY(B1011,2),"Senin","Selasa","Rabu","Kamis","Jumat","Sabtu","Minggu")</f>
        <v>Minggu</v>
      </c>
      <c r="J1011" s="2" t="n">
        <f aca="false">HOUR(E1011)</f>
        <v>16</v>
      </c>
      <c r="K1011" s="2" t="str">
        <f aca="false">IF(J1011&lt;11,"Pagi",IF(J1011&lt;17,"Siang","Malam"))</f>
        <v>Siang</v>
      </c>
      <c r="L1011" s="2" t="n">
        <f aca="false">IF(A1011&lt;&gt;A1010,1,0)</f>
        <v>1</v>
      </c>
    </row>
    <row r="1012" customFormat="false" ht="15" hidden="false" customHeight="false" outlineLevel="0" collapsed="false">
      <c r="A1012" s="2" t="s">
        <v>1118</v>
      </c>
      <c r="B1012" s="13" t="n">
        <v>46278</v>
      </c>
      <c r="C1012" s="2" t="s">
        <v>84</v>
      </c>
      <c r="D1012" s="2" t="n">
        <v>2</v>
      </c>
      <c r="E1012" s="15" t="n">
        <v>0.68125</v>
      </c>
      <c r="F1012" s="7" t="n">
        <v>5000</v>
      </c>
      <c r="G1012" s="7" t="n">
        <f aca="false">D1012*F1012</f>
        <v>10000</v>
      </c>
      <c r="H1012" s="2" t="str">
        <f aca="false">INDEX(Daftar_Menu!$B$2:$B$13,MATCH(C1012,Daftar_Menu!$A$2:$A$13,0))</f>
        <v>Minuman</v>
      </c>
      <c r="I1012" s="2" t="str">
        <f aca="false">CHOOSE(WEEKDAY(B1012,2),"Senin","Selasa","Rabu","Kamis","Jumat","Sabtu","Minggu")</f>
        <v>Minggu</v>
      </c>
      <c r="J1012" s="2" t="n">
        <f aca="false">HOUR(E1012)</f>
        <v>16</v>
      </c>
      <c r="K1012" s="2" t="str">
        <f aca="false">IF(J1012&lt;11,"Pagi",IF(J1012&lt;17,"Siang","Malam"))</f>
        <v>Siang</v>
      </c>
      <c r="L1012" s="2" t="n">
        <f aca="false">IF(A1012&lt;&gt;A1011,1,0)</f>
        <v>0</v>
      </c>
    </row>
    <row r="1013" customFormat="false" ht="15" hidden="false" customHeight="false" outlineLevel="0" collapsed="false">
      <c r="A1013" s="2" t="s">
        <v>1118</v>
      </c>
      <c r="B1013" s="13" t="n">
        <v>46278</v>
      </c>
      <c r="C1013" s="2" t="s">
        <v>82</v>
      </c>
      <c r="D1013" s="2" t="n">
        <v>1</v>
      </c>
      <c r="E1013" s="15" t="n">
        <v>0.68125</v>
      </c>
      <c r="F1013" s="7" t="n">
        <v>13000</v>
      </c>
      <c r="G1013" s="7" t="n">
        <f aca="false">D1013*F1013</f>
        <v>13000</v>
      </c>
      <c r="H1013" s="2" t="str">
        <f aca="false">INDEX(Daftar_Menu!$B$2:$B$13,MATCH(C1013,Daftar_Menu!$A$2:$A$13,0))</f>
        <v>Makanan</v>
      </c>
      <c r="I1013" s="2" t="str">
        <f aca="false">CHOOSE(WEEKDAY(B1013,2),"Senin","Selasa","Rabu","Kamis","Jumat","Sabtu","Minggu")</f>
        <v>Minggu</v>
      </c>
      <c r="J1013" s="2" t="n">
        <f aca="false">HOUR(E1013)</f>
        <v>16</v>
      </c>
      <c r="K1013" s="2" t="str">
        <f aca="false">IF(J1013&lt;11,"Pagi",IF(J1013&lt;17,"Siang","Malam"))</f>
        <v>Siang</v>
      </c>
      <c r="L1013" s="2" t="n">
        <f aca="false">IF(A1013&lt;&gt;A1012,1,0)</f>
        <v>0</v>
      </c>
    </row>
    <row r="1014" customFormat="false" ht="15" hidden="false" customHeight="false" outlineLevel="0" collapsed="false">
      <c r="A1014" s="2" t="s">
        <v>1120</v>
      </c>
      <c r="B1014" s="13" t="n">
        <v>46278</v>
      </c>
      <c r="C1014" s="2" t="s">
        <v>132</v>
      </c>
      <c r="D1014" s="2" t="n">
        <v>3</v>
      </c>
      <c r="E1014" s="15" t="n">
        <v>0.703472222222222</v>
      </c>
      <c r="F1014" s="7" t="n">
        <v>15000</v>
      </c>
      <c r="G1014" s="7" t="n">
        <f aca="false">D1014*F1014</f>
        <v>45000</v>
      </c>
      <c r="H1014" s="2" t="str">
        <f aca="false">INDEX(Daftar_Menu!$B$2:$B$13,MATCH(C1014,Daftar_Menu!$A$2:$A$13,0))</f>
        <v>Makanan</v>
      </c>
      <c r="I1014" s="2" t="str">
        <f aca="false">CHOOSE(WEEKDAY(B1014,2),"Senin","Selasa","Rabu","Kamis","Jumat","Sabtu","Minggu")</f>
        <v>Minggu</v>
      </c>
      <c r="J1014" s="2" t="n">
        <f aca="false">HOUR(E1014)</f>
        <v>16</v>
      </c>
      <c r="K1014" s="2" t="str">
        <f aca="false">IF(J1014&lt;11,"Pagi",IF(J1014&lt;17,"Siang","Malam"))</f>
        <v>Siang</v>
      </c>
      <c r="L1014" s="2" t="n">
        <f aca="false">IF(A1014&lt;&gt;A1013,1,0)</f>
        <v>1</v>
      </c>
    </row>
    <row r="1015" customFormat="false" ht="15" hidden="false" customHeight="false" outlineLevel="0" collapsed="false">
      <c r="A1015" s="2" t="s">
        <v>1120</v>
      </c>
      <c r="B1015" s="13" t="n">
        <v>46278</v>
      </c>
      <c r="C1015" s="2" t="s">
        <v>79</v>
      </c>
      <c r="D1015" s="2" t="n">
        <v>1</v>
      </c>
      <c r="E1015" s="15" t="n">
        <v>0.703472222222222</v>
      </c>
      <c r="F1015" s="7" t="n">
        <v>16000</v>
      </c>
      <c r="G1015" s="7" t="n">
        <f aca="false">D1015*F1015</f>
        <v>16000</v>
      </c>
      <c r="H1015" s="2" t="str">
        <f aca="false">INDEX(Daftar_Menu!$B$2:$B$13,MATCH(C1015,Daftar_Menu!$A$2:$A$13,0))</f>
        <v>Makanan</v>
      </c>
      <c r="I1015" s="2" t="str">
        <f aca="false">CHOOSE(WEEKDAY(B1015,2),"Senin","Selasa","Rabu","Kamis","Jumat","Sabtu","Minggu")</f>
        <v>Minggu</v>
      </c>
      <c r="J1015" s="2" t="n">
        <f aca="false">HOUR(E1015)</f>
        <v>16</v>
      </c>
      <c r="K1015" s="2" t="str">
        <f aca="false">IF(J1015&lt;11,"Pagi",IF(J1015&lt;17,"Siang","Malam"))</f>
        <v>Siang</v>
      </c>
      <c r="L1015" s="2" t="n">
        <f aca="false">IF(A1015&lt;&gt;A1014,1,0)</f>
        <v>0</v>
      </c>
    </row>
    <row r="1016" customFormat="false" ht="15" hidden="false" customHeight="false" outlineLevel="0" collapsed="false">
      <c r="A1016" s="2" t="s">
        <v>1121</v>
      </c>
      <c r="B1016" s="13" t="n">
        <v>46278</v>
      </c>
      <c r="C1016" s="2" t="s">
        <v>112</v>
      </c>
      <c r="D1016" s="2" t="n">
        <v>3</v>
      </c>
      <c r="E1016" s="15" t="n">
        <v>0.716666666666667</v>
      </c>
      <c r="F1016" s="7" t="n">
        <v>10000</v>
      </c>
      <c r="G1016" s="7" t="n">
        <f aca="false">D1016*F1016</f>
        <v>30000</v>
      </c>
      <c r="H1016" s="2" t="str">
        <f aca="false">INDEX(Daftar_Menu!$B$2:$B$13,MATCH(C1016,Daftar_Menu!$A$2:$A$13,0))</f>
        <v>Minuman</v>
      </c>
      <c r="I1016" s="2" t="str">
        <f aca="false">CHOOSE(WEEKDAY(B1016,2),"Senin","Selasa","Rabu","Kamis","Jumat","Sabtu","Minggu")</f>
        <v>Minggu</v>
      </c>
      <c r="J1016" s="2" t="n">
        <f aca="false">HOUR(E1016)</f>
        <v>17</v>
      </c>
      <c r="K1016" s="2" t="str">
        <f aca="false">IF(J1016&lt;11,"Pagi",IF(J1016&lt;17,"Siang","Malam"))</f>
        <v>Malam</v>
      </c>
      <c r="L1016" s="2" t="n">
        <f aca="false">IF(A1016&lt;&gt;A1015,1,0)</f>
        <v>1</v>
      </c>
    </row>
    <row r="1017" customFormat="false" ht="15" hidden="false" customHeight="false" outlineLevel="0" collapsed="false">
      <c r="A1017" s="2" t="s">
        <v>1121</v>
      </c>
      <c r="B1017" s="13" t="n">
        <v>46278</v>
      </c>
      <c r="C1017" s="2" t="s">
        <v>84</v>
      </c>
      <c r="D1017" s="2" t="n">
        <v>1</v>
      </c>
      <c r="E1017" s="15" t="n">
        <v>0.716666666666667</v>
      </c>
      <c r="F1017" s="7" t="n">
        <v>5000</v>
      </c>
      <c r="G1017" s="7" t="n">
        <f aca="false">D1017*F1017</f>
        <v>5000</v>
      </c>
      <c r="H1017" s="2" t="str">
        <f aca="false">INDEX(Daftar_Menu!$B$2:$B$13,MATCH(C1017,Daftar_Menu!$A$2:$A$13,0))</f>
        <v>Minuman</v>
      </c>
      <c r="I1017" s="2" t="str">
        <f aca="false">CHOOSE(WEEKDAY(B1017,2),"Senin","Selasa","Rabu","Kamis","Jumat","Sabtu","Minggu")</f>
        <v>Minggu</v>
      </c>
      <c r="J1017" s="2" t="n">
        <f aca="false">HOUR(E1017)</f>
        <v>17</v>
      </c>
      <c r="K1017" s="2" t="str">
        <f aca="false">IF(J1017&lt;11,"Pagi",IF(J1017&lt;17,"Siang","Malam"))</f>
        <v>Malam</v>
      </c>
      <c r="L1017" s="2" t="n">
        <f aca="false">IF(A1017&lt;&gt;A1016,1,0)</f>
        <v>0</v>
      </c>
    </row>
    <row r="1018" customFormat="false" ht="15" hidden="false" customHeight="false" outlineLevel="0" collapsed="false">
      <c r="A1018" s="2" t="s">
        <v>1121</v>
      </c>
      <c r="B1018" s="13" t="n">
        <v>46278</v>
      </c>
      <c r="C1018" s="2" t="s">
        <v>81</v>
      </c>
      <c r="D1018" s="2" t="n">
        <v>1</v>
      </c>
      <c r="E1018" s="15" t="n">
        <v>0.716666666666667</v>
      </c>
      <c r="F1018" s="7" t="n">
        <v>15000</v>
      </c>
      <c r="G1018" s="7" t="n">
        <f aca="false">D1018*F1018</f>
        <v>15000</v>
      </c>
      <c r="H1018" s="2" t="str">
        <f aca="false">INDEX(Daftar_Menu!$B$2:$B$13,MATCH(C1018,Daftar_Menu!$A$2:$A$13,0))</f>
        <v>Makanan</v>
      </c>
      <c r="I1018" s="2" t="str">
        <f aca="false">CHOOSE(WEEKDAY(B1018,2),"Senin","Selasa","Rabu","Kamis","Jumat","Sabtu","Minggu")</f>
        <v>Minggu</v>
      </c>
      <c r="J1018" s="2" t="n">
        <f aca="false">HOUR(E1018)</f>
        <v>17</v>
      </c>
      <c r="K1018" s="2" t="str">
        <f aca="false">IF(J1018&lt;11,"Pagi",IF(J1018&lt;17,"Siang","Malam"))</f>
        <v>Malam</v>
      </c>
      <c r="L1018" s="2" t="n">
        <f aca="false">IF(A1018&lt;&gt;A1017,1,0)</f>
        <v>0</v>
      </c>
    </row>
    <row r="1019" customFormat="false" ht="15" hidden="false" customHeight="false" outlineLevel="0" collapsed="false">
      <c r="A1019" s="2" t="s">
        <v>1122</v>
      </c>
      <c r="B1019" s="13" t="n">
        <v>46278</v>
      </c>
      <c r="C1019" s="2" t="s">
        <v>84</v>
      </c>
      <c r="D1019" s="2" t="n">
        <v>1</v>
      </c>
      <c r="E1019" s="15" t="n">
        <v>0.725694444444444</v>
      </c>
      <c r="F1019" s="7" t="n">
        <v>5000</v>
      </c>
      <c r="G1019" s="7" t="n">
        <f aca="false">D1019*F1019</f>
        <v>5000</v>
      </c>
      <c r="H1019" s="2" t="str">
        <f aca="false">INDEX(Daftar_Menu!$B$2:$B$13,MATCH(C1019,Daftar_Menu!$A$2:$A$13,0))</f>
        <v>Minuman</v>
      </c>
      <c r="I1019" s="2" t="str">
        <f aca="false">CHOOSE(WEEKDAY(B1019,2),"Senin","Selasa","Rabu","Kamis","Jumat","Sabtu","Minggu")</f>
        <v>Minggu</v>
      </c>
      <c r="J1019" s="2" t="n">
        <f aca="false">HOUR(E1019)</f>
        <v>17</v>
      </c>
      <c r="K1019" s="2" t="str">
        <f aca="false">IF(J1019&lt;11,"Pagi",IF(J1019&lt;17,"Siang","Malam"))</f>
        <v>Malam</v>
      </c>
      <c r="L1019" s="2" t="n">
        <f aca="false">IF(A1019&lt;&gt;A1018,1,0)</f>
        <v>1</v>
      </c>
    </row>
    <row r="1020" customFormat="false" ht="15" hidden="false" customHeight="false" outlineLevel="0" collapsed="false">
      <c r="A1020" s="2" t="s">
        <v>1122</v>
      </c>
      <c r="B1020" s="13" t="n">
        <v>46278</v>
      </c>
      <c r="C1020" s="2" t="s">
        <v>186</v>
      </c>
      <c r="D1020" s="2" t="n">
        <v>1</v>
      </c>
      <c r="E1020" s="15" t="n">
        <v>0.725694444444444</v>
      </c>
      <c r="F1020" s="7" t="n">
        <v>7000</v>
      </c>
      <c r="G1020" s="7" t="n">
        <f aca="false">D1020*F1020</f>
        <v>7000</v>
      </c>
      <c r="H1020" s="2" t="str">
        <f aca="false">INDEX(Daftar_Menu!$B$2:$B$13,MATCH(C1020,Daftar_Menu!$A$2:$A$13,0))</f>
        <v>Minuman</v>
      </c>
      <c r="I1020" s="2" t="str">
        <f aca="false">CHOOSE(WEEKDAY(B1020,2),"Senin","Selasa","Rabu","Kamis","Jumat","Sabtu","Minggu")</f>
        <v>Minggu</v>
      </c>
      <c r="J1020" s="2" t="n">
        <f aca="false">HOUR(E1020)</f>
        <v>17</v>
      </c>
      <c r="K1020" s="2" t="str">
        <f aca="false">IF(J1020&lt;11,"Pagi",IF(J1020&lt;17,"Siang","Malam"))</f>
        <v>Malam</v>
      </c>
      <c r="L1020" s="2" t="n">
        <f aca="false">IF(A1020&lt;&gt;A1019,1,0)</f>
        <v>0</v>
      </c>
    </row>
    <row r="1021" customFormat="false" ht="15" hidden="false" customHeight="false" outlineLevel="0" collapsed="false">
      <c r="A1021" s="2" t="s">
        <v>1124</v>
      </c>
      <c r="B1021" s="13" t="n">
        <v>46278</v>
      </c>
      <c r="C1021" s="2" t="s">
        <v>112</v>
      </c>
      <c r="D1021" s="2" t="n">
        <v>1</v>
      </c>
      <c r="E1021" s="15" t="n">
        <v>0.729166666666667</v>
      </c>
      <c r="F1021" s="7" t="n">
        <v>10000</v>
      </c>
      <c r="G1021" s="7" t="n">
        <f aca="false">D1021*F1021</f>
        <v>10000</v>
      </c>
      <c r="H1021" s="2" t="str">
        <f aca="false">INDEX(Daftar_Menu!$B$2:$B$13,MATCH(C1021,Daftar_Menu!$A$2:$A$13,0))</f>
        <v>Minuman</v>
      </c>
      <c r="I1021" s="2" t="str">
        <f aca="false">CHOOSE(WEEKDAY(B1021,2),"Senin","Selasa","Rabu","Kamis","Jumat","Sabtu","Minggu")</f>
        <v>Minggu</v>
      </c>
      <c r="J1021" s="2" t="n">
        <f aca="false">HOUR(E1021)</f>
        <v>17</v>
      </c>
      <c r="K1021" s="2" t="str">
        <f aca="false">IF(J1021&lt;11,"Pagi",IF(J1021&lt;17,"Siang","Malam"))</f>
        <v>Malam</v>
      </c>
      <c r="L1021" s="2" t="n">
        <f aca="false">IF(A1021&lt;&gt;A1020,1,0)</f>
        <v>1</v>
      </c>
    </row>
    <row r="1022" customFormat="false" ht="15" hidden="false" customHeight="false" outlineLevel="0" collapsed="false">
      <c r="A1022" s="2" t="s">
        <v>1125</v>
      </c>
      <c r="B1022" s="13" t="n">
        <v>46278</v>
      </c>
      <c r="C1022" s="2" t="s">
        <v>101</v>
      </c>
      <c r="D1022" s="2" t="n">
        <v>2</v>
      </c>
      <c r="E1022" s="15" t="n">
        <v>0.731944444444444</v>
      </c>
      <c r="F1022" s="7" t="n">
        <v>18000</v>
      </c>
      <c r="G1022" s="7" t="n">
        <f aca="false">D1022*F1022</f>
        <v>36000</v>
      </c>
      <c r="H1022" s="2" t="str">
        <f aca="false">INDEX(Daftar_Menu!$B$2:$B$13,MATCH(C1022,Daftar_Menu!$A$2:$A$13,0))</f>
        <v>Makanan</v>
      </c>
      <c r="I1022" s="2" t="str">
        <f aca="false">CHOOSE(WEEKDAY(B1022,2),"Senin","Selasa","Rabu","Kamis","Jumat","Sabtu","Minggu")</f>
        <v>Minggu</v>
      </c>
      <c r="J1022" s="2" t="n">
        <f aca="false">HOUR(E1022)</f>
        <v>17</v>
      </c>
      <c r="K1022" s="2" t="str">
        <f aca="false">IF(J1022&lt;11,"Pagi",IF(J1022&lt;17,"Siang","Malam"))</f>
        <v>Malam</v>
      </c>
      <c r="L1022" s="2" t="n">
        <f aca="false">IF(A1022&lt;&gt;A1021,1,0)</f>
        <v>1</v>
      </c>
    </row>
    <row r="1023" customFormat="false" ht="15" hidden="false" customHeight="false" outlineLevel="0" collapsed="false">
      <c r="A1023" s="2" t="s">
        <v>1125</v>
      </c>
      <c r="B1023" s="13" t="n">
        <v>46278</v>
      </c>
      <c r="C1023" s="2" t="s">
        <v>132</v>
      </c>
      <c r="D1023" s="2" t="n">
        <v>2</v>
      </c>
      <c r="E1023" s="15" t="n">
        <v>0.731944444444444</v>
      </c>
      <c r="F1023" s="7" t="n">
        <v>15000</v>
      </c>
      <c r="G1023" s="7" t="n">
        <f aca="false">D1023*F1023</f>
        <v>30000</v>
      </c>
      <c r="H1023" s="2" t="str">
        <f aca="false">INDEX(Daftar_Menu!$B$2:$B$13,MATCH(C1023,Daftar_Menu!$A$2:$A$13,0))</f>
        <v>Makanan</v>
      </c>
      <c r="I1023" s="2" t="str">
        <f aca="false">CHOOSE(WEEKDAY(B1023,2),"Senin","Selasa","Rabu","Kamis","Jumat","Sabtu","Minggu")</f>
        <v>Minggu</v>
      </c>
      <c r="J1023" s="2" t="n">
        <f aca="false">HOUR(E1023)</f>
        <v>17</v>
      </c>
      <c r="K1023" s="2" t="str">
        <f aca="false">IF(J1023&lt;11,"Pagi",IF(J1023&lt;17,"Siang","Malam"))</f>
        <v>Malam</v>
      </c>
      <c r="L1023" s="2" t="n">
        <f aca="false">IF(A1023&lt;&gt;A1022,1,0)</f>
        <v>0</v>
      </c>
    </row>
    <row r="1024" customFormat="false" ht="15" hidden="false" customHeight="false" outlineLevel="0" collapsed="false">
      <c r="A1024" s="2" t="s">
        <v>1126</v>
      </c>
      <c r="B1024" s="13" t="n">
        <v>46278</v>
      </c>
      <c r="C1024" s="2" t="s">
        <v>101</v>
      </c>
      <c r="D1024" s="2" t="n">
        <v>1</v>
      </c>
      <c r="E1024" s="15" t="n">
        <v>0.738194444444445</v>
      </c>
      <c r="F1024" s="7" t="n">
        <v>18000</v>
      </c>
      <c r="G1024" s="7" t="n">
        <f aca="false">D1024*F1024</f>
        <v>18000</v>
      </c>
      <c r="H1024" s="2" t="str">
        <f aca="false">INDEX(Daftar_Menu!$B$2:$B$13,MATCH(C1024,Daftar_Menu!$A$2:$A$13,0))</f>
        <v>Makanan</v>
      </c>
      <c r="I1024" s="2" t="str">
        <f aca="false">CHOOSE(WEEKDAY(B1024,2),"Senin","Selasa","Rabu","Kamis","Jumat","Sabtu","Minggu")</f>
        <v>Minggu</v>
      </c>
      <c r="J1024" s="2" t="n">
        <f aca="false">HOUR(E1024)</f>
        <v>17</v>
      </c>
      <c r="K1024" s="2" t="str">
        <f aca="false">IF(J1024&lt;11,"Pagi",IF(J1024&lt;17,"Siang","Malam"))</f>
        <v>Malam</v>
      </c>
      <c r="L1024" s="2" t="n">
        <f aca="false">IF(A1024&lt;&gt;A1023,1,0)</f>
        <v>1</v>
      </c>
    </row>
    <row r="1025" customFormat="false" ht="15" hidden="false" customHeight="false" outlineLevel="0" collapsed="false">
      <c r="A1025" s="2" t="s">
        <v>1126</v>
      </c>
      <c r="B1025" s="13" t="n">
        <v>46278</v>
      </c>
      <c r="C1025" s="2" t="s">
        <v>84</v>
      </c>
      <c r="D1025" s="2" t="n">
        <v>1</v>
      </c>
      <c r="E1025" s="15" t="n">
        <v>0.738194444444445</v>
      </c>
      <c r="F1025" s="7" t="n">
        <v>5000</v>
      </c>
      <c r="G1025" s="7" t="n">
        <f aca="false">D1025*F1025</f>
        <v>5000</v>
      </c>
      <c r="H1025" s="2" t="str">
        <f aca="false">INDEX(Daftar_Menu!$B$2:$B$13,MATCH(C1025,Daftar_Menu!$A$2:$A$13,0))</f>
        <v>Minuman</v>
      </c>
      <c r="I1025" s="2" t="str">
        <f aca="false">CHOOSE(WEEKDAY(B1025,2),"Senin","Selasa","Rabu","Kamis","Jumat","Sabtu","Minggu")</f>
        <v>Minggu</v>
      </c>
      <c r="J1025" s="2" t="n">
        <f aca="false">HOUR(E1025)</f>
        <v>17</v>
      </c>
      <c r="K1025" s="2" t="str">
        <f aca="false">IF(J1025&lt;11,"Pagi",IF(J1025&lt;17,"Siang","Malam"))</f>
        <v>Malam</v>
      </c>
      <c r="L1025" s="2" t="n">
        <f aca="false">IF(A1025&lt;&gt;A1024,1,0)</f>
        <v>0</v>
      </c>
    </row>
    <row r="1026" customFormat="false" ht="15" hidden="false" customHeight="false" outlineLevel="0" collapsed="false">
      <c r="A1026" s="2" t="s">
        <v>1127</v>
      </c>
      <c r="B1026" s="13" t="n">
        <v>46278</v>
      </c>
      <c r="C1026" s="2" t="s">
        <v>84</v>
      </c>
      <c r="D1026" s="2" t="n">
        <v>1</v>
      </c>
      <c r="E1026" s="15" t="n">
        <v>0.765277777777778</v>
      </c>
      <c r="F1026" s="7" t="n">
        <v>5000</v>
      </c>
      <c r="G1026" s="7" t="n">
        <f aca="false">D1026*F1026</f>
        <v>5000</v>
      </c>
      <c r="H1026" s="2" t="str">
        <f aca="false">INDEX(Daftar_Menu!$B$2:$B$13,MATCH(C1026,Daftar_Menu!$A$2:$A$13,0))</f>
        <v>Minuman</v>
      </c>
      <c r="I1026" s="2" t="str">
        <f aca="false">CHOOSE(WEEKDAY(B1026,2),"Senin","Selasa","Rabu","Kamis","Jumat","Sabtu","Minggu")</f>
        <v>Minggu</v>
      </c>
      <c r="J1026" s="2" t="n">
        <f aca="false">HOUR(E1026)</f>
        <v>18</v>
      </c>
      <c r="K1026" s="2" t="str">
        <f aca="false">IF(J1026&lt;11,"Pagi",IF(J1026&lt;17,"Siang","Malam"))</f>
        <v>Malam</v>
      </c>
      <c r="L1026" s="2" t="n">
        <f aca="false">IF(A1026&lt;&gt;A1025,1,0)</f>
        <v>1</v>
      </c>
    </row>
    <row r="1027" customFormat="false" ht="15" hidden="false" customHeight="false" outlineLevel="0" collapsed="false">
      <c r="A1027" s="2" t="s">
        <v>1127</v>
      </c>
      <c r="B1027" s="13" t="n">
        <v>46278</v>
      </c>
      <c r="C1027" s="2" t="s">
        <v>112</v>
      </c>
      <c r="D1027" s="2" t="n">
        <v>2</v>
      </c>
      <c r="E1027" s="15" t="n">
        <v>0.765277777777778</v>
      </c>
      <c r="F1027" s="7" t="n">
        <v>10000</v>
      </c>
      <c r="G1027" s="7" t="n">
        <f aca="false">D1027*F1027</f>
        <v>20000</v>
      </c>
      <c r="H1027" s="2" t="str">
        <f aca="false">INDEX(Daftar_Menu!$B$2:$B$13,MATCH(C1027,Daftar_Menu!$A$2:$A$13,0))</f>
        <v>Minuman</v>
      </c>
      <c r="I1027" s="2" t="str">
        <f aca="false">CHOOSE(WEEKDAY(B1027,2),"Senin","Selasa","Rabu","Kamis","Jumat","Sabtu","Minggu")</f>
        <v>Minggu</v>
      </c>
      <c r="J1027" s="2" t="n">
        <f aca="false">HOUR(E1027)</f>
        <v>18</v>
      </c>
      <c r="K1027" s="2" t="str">
        <f aca="false">IF(J1027&lt;11,"Pagi",IF(J1027&lt;17,"Siang","Malam"))</f>
        <v>Malam</v>
      </c>
      <c r="L1027" s="2" t="n">
        <f aca="false">IF(A1027&lt;&gt;A1026,1,0)</f>
        <v>0</v>
      </c>
    </row>
    <row r="1028" customFormat="false" ht="15" hidden="false" customHeight="false" outlineLevel="0" collapsed="false">
      <c r="A1028" s="2" t="s">
        <v>1128</v>
      </c>
      <c r="B1028" s="13" t="n">
        <v>46278</v>
      </c>
      <c r="C1028" s="2" t="s">
        <v>79</v>
      </c>
      <c r="D1028" s="2" t="n">
        <v>2</v>
      </c>
      <c r="E1028" s="15" t="n">
        <v>0.785416666666667</v>
      </c>
      <c r="F1028" s="7" t="n">
        <v>16000</v>
      </c>
      <c r="G1028" s="7" t="n">
        <f aca="false">D1028*F1028</f>
        <v>32000</v>
      </c>
      <c r="H1028" s="2" t="str">
        <f aca="false">INDEX(Daftar_Menu!$B$2:$B$13,MATCH(C1028,Daftar_Menu!$A$2:$A$13,0))</f>
        <v>Makanan</v>
      </c>
      <c r="I1028" s="2" t="str">
        <f aca="false">CHOOSE(WEEKDAY(B1028,2),"Senin","Selasa","Rabu","Kamis","Jumat","Sabtu","Minggu")</f>
        <v>Minggu</v>
      </c>
      <c r="J1028" s="2" t="n">
        <f aca="false">HOUR(E1028)</f>
        <v>18</v>
      </c>
      <c r="K1028" s="2" t="str">
        <f aca="false">IF(J1028&lt;11,"Pagi",IF(J1028&lt;17,"Siang","Malam"))</f>
        <v>Malam</v>
      </c>
      <c r="L1028" s="2" t="n">
        <f aca="false">IF(A1028&lt;&gt;A1027,1,0)</f>
        <v>1</v>
      </c>
    </row>
    <row r="1029" customFormat="false" ht="15" hidden="false" customHeight="false" outlineLevel="0" collapsed="false">
      <c r="A1029" s="2" t="s">
        <v>1128</v>
      </c>
      <c r="B1029" s="13" t="n">
        <v>46278</v>
      </c>
      <c r="C1029" s="2" t="s">
        <v>101</v>
      </c>
      <c r="D1029" s="2" t="n">
        <v>1</v>
      </c>
      <c r="E1029" s="15" t="n">
        <v>0.785416666666667</v>
      </c>
      <c r="F1029" s="7" t="n">
        <v>18000</v>
      </c>
      <c r="G1029" s="7" t="n">
        <f aca="false">D1029*F1029</f>
        <v>18000</v>
      </c>
      <c r="H1029" s="2" t="str">
        <f aca="false">INDEX(Daftar_Menu!$B$2:$B$13,MATCH(C1029,Daftar_Menu!$A$2:$A$13,0))</f>
        <v>Makanan</v>
      </c>
      <c r="I1029" s="2" t="str">
        <f aca="false">CHOOSE(WEEKDAY(B1029,2),"Senin","Selasa","Rabu","Kamis","Jumat","Sabtu","Minggu")</f>
        <v>Minggu</v>
      </c>
      <c r="J1029" s="2" t="n">
        <f aca="false">HOUR(E1029)</f>
        <v>18</v>
      </c>
      <c r="K1029" s="2" t="str">
        <f aca="false">IF(J1029&lt;11,"Pagi",IF(J1029&lt;17,"Siang","Malam"))</f>
        <v>Malam</v>
      </c>
      <c r="L1029" s="2" t="n">
        <f aca="false">IF(A1029&lt;&gt;A1028,1,0)</f>
        <v>0</v>
      </c>
    </row>
    <row r="1030" customFormat="false" ht="15" hidden="false" customHeight="false" outlineLevel="0" collapsed="false">
      <c r="A1030" s="2" t="s">
        <v>1129</v>
      </c>
      <c r="B1030" s="13" t="n">
        <v>46278</v>
      </c>
      <c r="C1030" s="2" t="s">
        <v>132</v>
      </c>
      <c r="D1030" s="2" t="n">
        <v>1</v>
      </c>
      <c r="E1030" s="15" t="n">
        <v>0.788194444444444</v>
      </c>
      <c r="F1030" s="7" t="n">
        <v>15000</v>
      </c>
      <c r="G1030" s="7" t="n">
        <f aca="false">D1030*F1030</f>
        <v>15000</v>
      </c>
      <c r="H1030" s="2" t="str">
        <f aca="false">INDEX(Daftar_Menu!$B$2:$B$13,MATCH(C1030,Daftar_Menu!$A$2:$A$13,0))</f>
        <v>Makanan</v>
      </c>
      <c r="I1030" s="2" t="str">
        <f aca="false">CHOOSE(WEEKDAY(B1030,2),"Senin","Selasa","Rabu","Kamis","Jumat","Sabtu","Minggu")</f>
        <v>Minggu</v>
      </c>
      <c r="J1030" s="2" t="n">
        <f aca="false">HOUR(E1030)</f>
        <v>18</v>
      </c>
      <c r="K1030" s="2" t="str">
        <f aca="false">IF(J1030&lt;11,"Pagi",IF(J1030&lt;17,"Siang","Malam"))</f>
        <v>Malam</v>
      </c>
      <c r="L1030" s="2" t="n">
        <f aca="false">IF(A1030&lt;&gt;A1029,1,0)</f>
        <v>1</v>
      </c>
    </row>
    <row r="1031" customFormat="false" ht="15" hidden="false" customHeight="false" outlineLevel="0" collapsed="false">
      <c r="A1031" s="2" t="s">
        <v>1130</v>
      </c>
      <c r="B1031" s="13" t="n">
        <v>46278</v>
      </c>
      <c r="C1031" s="2" t="s">
        <v>108</v>
      </c>
      <c r="D1031" s="2" t="n">
        <v>1</v>
      </c>
      <c r="E1031" s="15" t="n">
        <v>0.807638888888889</v>
      </c>
      <c r="F1031" s="7" t="n">
        <v>20000</v>
      </c>
      <c r="G1031" s="7" t="n">
        <f aca="false">D1031*F1031</f>
        <v>20000</v>
      </c>
      <c r="H1031" s="2" t="str">
        <f aca="false">INDEX(Daftar_Menu!$B$2:$B$13,MATCH(C1031,Daftar_Menu!$A$2:$A$13,0))</f>
        <v>Makanan</v>
      </c>
      <c r="I1031" s="2" t="str">
        <f aca="false">CHOOSE(WEEKDAY(B1031,2),"Senin","Selasa","Rabu","Kamis","Jumat","Sabtu","Minggu")</f>
        <v>Minggu</v>
      </c>
      <c r="J1031" s="2" t="n">
        <f aca="false">HOUR(E1031)</f>
        <v>19</v>
      </c>
      <c r="K1031" s="2" t="str">
        <f aca="false">IF(J1031&lt;11,"Pagi",IF(J1031&lt;17,"Siang","Malam"))</f>
        <v>Malam</v>
      </c>
      <c r="L1031" s="2" t="n">
        <f aca="false">IF(A1031&lt;&gt;A1030,1,0)</f>
        <v>1</v>
      </c>
    </row>
    <row r="1032" customFormat="false" ht="15" hidden="false" customHeight="false" outlineLevel="0" collapsed="false">
      <c r="A1032" s="2" t="s">
        <v>1130</v>
      </c>
      <c r="B1032" s="13" t="n">
        <v>46278</v>
      </c>
      <c r="C1032" s="2" t="s">
        <v>186</v>
      </c>
      <c r="D1032" s="2" t="n">
        <v>1</v>
      </c>
      <c r="E1032" s="15" t="n">
        <v>0.807638888888889</v>
      </c>
      <c r="F1032" s="7" t="n">
        <v>7000</v>
      </c>
      <c r="G1032" s="7" t="n">
        <f aca="false">D1032*F1032</f>
        <v>7000</v>
      </c>
      <c r="H1032" s="2" t="str">
        <f aca="false">INDEX(Daftar_Menu!$B$2:$B$13,MATCH(C1032,Daftar_Menu!$A$2:$A$13,0))</f>
        <v>Minuman</v>
      </c>
      <c r="I1032" s="2" t="str">
        <f aca="false">CHOOSE(WEEKDAY(B1032,2),"Senin","Selasa","Rabu","Kamis","Jumat","Sabtu","Minggu")</f>
        <v>Minggu</v>
      </c>
      <c r="J1032" s="2" t="n">
        <f aca="false">HOUR(E1032)</f>
        <v>19</v>
      </c>
      <c r="K1032" s="2" t="str">
        <f aca="false">IF(J1032&lt;11,"Pagi",IF(J1032&lt;17,"Siang","Malam"))</f>
        <v>Malam</v>
      </c>
      <c r="L1032" s="2" t="n">
        <f aca="false">IF(A1032&lt;&gt;A1031,1,0)</f>
        <v>0</v>
      </c>
    </row>
    <row r="1033" customFormat="false" ht="15" hidden="false" customHeight="false" outlineLevel="0" collapsed="false">
      <c r="A1033" s="2" t="s">
        <v>1131</v>
      </c>
      <c r="B1033" s="13" t="n">
        <v>46278</v>
      </c>
      <c r="C1033" s="2" t="s">
        <v>81</v>
      </c>
      <c r="D1033" s="2" t="n">
        <v>2</v>
      </c>
      <c r="E1033" s="15" t="n">
        <v>0.811111111111111</v>
      </c>
      <c r="F1033" s="7" t="n">
        <v>15000</v>
      </c>
      <c r="G1033" s="7" t="n">
        <f aca="false">D1033*F1033</f>
        <v>30000</v>
      </c>
      <c r="H1033" s="2" t="str">
        <f aca="false">INDEX(Daftar_Menu!$B$2:$B$13,MATCH(C1033,Daftar_Menu!$A$2:$A$13,0))</f>
        <v>Makanan</v>
      </c>
      <c r="I1033" s="2" t="str">
        <f aca="false">CHOOSE(WEEKDAY(B1033,2),"Senin","Selasa","Rabu","Kamis","Jumat","Sabtu","Minggu")</f>
        <v>Minggu</v>
      </c>
      <c r="J1033" s="2" t="n">
        <f aca="false">HOUR(E1033)</f>
        <v>19</v>
      </c>
      <c r="K1033" s="2" t="str">
        <f aca="false">IF(J1033&lt;11,"Pagi",IF(J1033&lt;17,"Siang","Malam"))</f>
        <v>Malam</v>
      </c>
      <c r="L1033" s="2" t="n">
        <f aca="false">IF(A1033&lt;&gt;A1032,1,0)</f>
        <v>1</v>
      </c>
    </row>
    <row r="1034" customFormat="false" ht="15" hidden="false" customHeight="false" outlineLevel="0" collapsed="false">
      <c r="A1034" s="2" t="s">
        <v>1132</v>
      </c>
      <c r="B1034" s="13" t="n">
        <v>46278</v>
      </c>
      <c r="C1034" s="2" t="s">
        <v>112</v>
      </c>
      <c r="D1034" s="2" t="n">
        <v>1</v>
      </c>
      <c r="E1034" s="15" t="n">
        <v>0.813888888888889</v>
      </c>
      <c r="F1034" s="7" t="n">
        <v>10000</v>
      </c>
      <c r="G1034" s="7" t="n">
        <f aca="false">D1034*F1034</f>
        <v>10000</v>
      </c>
      <c r="H1034" s="2" t="str">
        <f aca="false">INDEX(Daftar_Menu!$B$2:$B$13,MATCH(C1034,Daftar_Menu!$A$2:$A$13,0))</f>
        <v>Minuman</v>
      </c>
      <c r="I1034" s="2" t="str">
        <f aca="false">CHOOSE(WEEKDAY(B1034,2),"Senin","Selasa","Rabu","Kamis","Jumat","Sabtu","Minggu")</f>
        <v>Minggu</v>
      </c>
      <c r="J1034" s="2" t="n">
        <f aca="false">HOUR(E1034)</f>
        <v>19</v>
      </c>
      <c r="K1034" s="2" t="str">
        <f aca="false">IF(J1034&lt;11,"Pagi",IF(J1034&lt;17,"Siang","Malam"))</f>
        <v>Malam</v>
      </c>
      <c r="L1034" s="2" t="n">
        <f aca="false">IF(A1034&lt;&gt;A1033,1,0)</f>
        <v>1</v>
      </c>
    </row>
    <row r="1035" customFormat="false" ht="15" hidden="false" customHeight="false" outlineLevel="0" collapsed="false">
      <c r="A1035" s="2" t="s">
        <v>1133</v>
      </c>
      <c r="B1035" s="13" t="n">
        <v>46278</v>
      </c>
      <c r="C1035" s="2" t="s">
        <v>126</v>
      </c>
      <c r="D1035" s="2" t="n">
        <v>2</v>
      </c>
      <c r="E1035" s="15" t="n">
        <v>0.81875</v>
      </c>
      <c r="F1035" s="7" t="n">
        <v>3000</v>
      </c>
      <c r="G1035" s="7" t="n">
        <f aca="false">D1035*F1035</f>
        <v>6000</v>
      </c>
      <c r="H1035" s="2" t="str">
        <f aca="false">INDEX(Daftar_Menu!$B$2:$B$13,MATCH(C1035,Daftar_Menu!$A$2:$A$13,0))</f>
        <v>Minuman</v>
      </c>
      <c r="I1035" s="2" t="str">
        <f aca="false">CHOOSE(WEEKDAY(B1035,2),"Senin","Selasa","Rabu","Kamis","Jumat","Sabtu","Minggu")</f>
        <v>Minggu</v>
      </c>
      <c r="J1035" s="2" t="n">
        <f aca="false">HOUR(E1035)</f>
        <v>19</v>
      </c>
      <c r="K1035" s="2" t="str">
        <f aca="false">IF(J1035&lt;11,"Pagi",IF(J1035&lt;17,"Siang","Malam"))</f>
        <v>Malam</v>
      </c>
      <c r="L1035" s="2" t="n">
        <f aca="false">IF(A1035&lt;&gt;A1034,1,0)</f>
        <v>1</v>
      </c>
    </row>
    <row r="1036" customFormat="false" ht="15" hidden="false" customHeight="false" outlineLevel="0" collapsed="false">
      <c r="A1036" s="2" t="s">
        <v>1135</v>
      </c>
      <c r="B1036" s="13" t="n">
        <v>46278</v>
      </c>
      <c r="C1036" s="2" t="s">
        <v>126</v>
      </c>
      <c r="D1036" s="2" t="n">
        <v>1</v>
      </c>
      <c r="E1036" s="15" t="n">
        <v>0.820833333333333</v>
      </c>
      <c r="F1036" s="7" t="n">
        <v>3000</v>
      </c>
      <c r="G1036" s="7" t="n">
        <f aca="false">D1036*F1036</f>
        <v>3000</v>
      </c>
      <c r="H1036" s="2" t="str">
        <f aca="false">INDEX(Daftar_Menu!$B$2:$B$13,MATCH(C1036,Daftar_Menu!$A$2:$A$13,0))</f>
        <v>Minuman</v>
      </c>
      <c r="I1036" s="2" t="str">
        <f aca="false">CHOOSE(WEEKDAY(B1036,2),"Senin","Selasa","Rabu","Kamis","Jumat","Sabtu","Minggu")</f>
        <v>Minggu</v>
      </c>
      <c r="J1036" s="2" t="n">
        <f aca="false">HOUR(E1036)</f>
        <v>19</v>
      </c>
      <c r="K1036" s="2" t="str">
        <f aca="false">IF(J1036&lt;11,"Pagi",IF(J1036&lt;17,"Siang","Malam"))</f>
        <v>Malam</v>
      </c>
      <c r="L1036" s="2" t="n">
        <f aca="false">IF(A1036&lt;&gt;A1035,1,0)</f>
        <v>1</v>
      </c>
    </row>
    <row r="1037" customFormat="false" ht="15" hidden="false" customHeight="false" outlineLevel="0" collapsed="false">
      <c r="A1037" s="2" t="s">
        <v>1136</v>
      </c>
      <c r="B1037" s="13" t="n">
        <v>46278</v>
      </c>
      <c r="C1037" s="2" t="s">
        <v>126</v>
      </c>
      <c r="D1037" s="2" t="n">
        <v>1</v>
      </c>
      <c r="E1037" s="15" t="n">
        <v>0.827083333333333</v>
      </c>
      <c r="F1037" s="7" t="n">
        <v>3000</v>
      </c>
      <c r="G1037" s="7" t="n">
        <f aca="false">D1037*F1037</f>
        <v>3000</v>
      </c>
      <c r="H1037" s="2" t="str">
        <f aca="false">INDEX(Daftar_Menu!$B$2:$B$13,MATCH(C1037,Daftar_Menu!$A$2:$A$13,0))</f>
        <v>Minuman</v>
      </c>
      <c r="I1037" s="2" t="str">
        <f aca="false">CHOOSE(WEEKDAY(B1037,2),"Senin","Selasa","Rabu","Kamis","Jumat","Sabtu","Minggu")</f>
        <v>Minggu</v>
      </c>
      <c r="J1037" s="2" t="n">
        <f aca="false">HOUR(E1037)</f>
        <v>19</v>
      </c>
      <c r="K1037" s="2" t="str">
        <f aca="false">IF(J1037&lt;11,"Pagi",IF(J1037&lt;17,"Siang","Malam"))</f>
        <v>Malam</v>
      </c>
      <c r="L1037" s="2" t="n">
        <f aca="false">IF(A1037&lt;&gt;A1036,1,0)</f>
        <v>1</v>
      </c>
    </row>
    <row r="1038" customFormat="false" ht="15" hidden="false" customHeight="false" outlineLevel="0" collapsed="false">
      <c r="A1038" s="2" t="s">
        <v>1136</v>
      </c>
      <c r="B1038" s="13" t="n">
        <v>46278</v>
      </c>
      <c r="C1038" s="2" t="s">
        <v>186</v>
      </c>
      <c r="D1038" s="2" t="n">
        <v>2</v>
      </c>
      <c r="E1038" s="15" t="n">
        <v>0.827083333333333</v>
      </c>
      <c r="F1038" s="7" t="n">
        <v>7000</v>
      </c>
      <c r="G1038" s="7" t="n">
        <f aca="false">D1038*F1038</f>
        <v>14000</v>
      </c>
      <c r="H1038" s="2" t="str">
        <f aca="false">INDEX(Daftar_Menu!$B$2:$B$13,MATCH(C1038,Daftar_Menu!$A$2:$A$13,0))</f>
        <v>Minuman</v>
      </c>
      <c r="I1038" s="2" t="str">
        <f aca="false">CHOOSE(WEEKDAY(B1038,2),"Senin","Selasa","Rabu","Kamis","Jumat","Sabtu","Minggu")</f>
        <v>Minggu</v>
      </c>
      <c r="J1038" s="2" t="n">
        <f aca="false">HOUR(E1038)</f>
        <v>19</v>
      </c>
      <c r="K1038" s="2" t="str">
        <f aca="false">IF(J1038&lt;11,"Pagi",IF(J1038&lt;17,"Siang","Malam"))</f>
        <v>Malam</v>
      </c>
      <c r="L1038" s="2" t="n">
        <f aca="false">IF(A1038&lt;&gt;A1037,1,0)</f>
        <v>0</v>
      </c>
    </row>
    <row r="1039" customFormat="false" ht="15" hidden="false" customHeight="false" outlineLevel="0" collapsed="false">
      <c r="A1039" s="2" t="s">
        <v>1138</v>
      </c>
      <c r="B1039" s="13" t="n">
        <v>46278</v>
      </c>
      <c r="C1039" s="2" t="s">
        <v>89</v>
      </c>
      <c r="D1039" s="2" t="n">
        <v>1</v>
      </c>
      <c r="E1039" s="15" t="n">
        <v>0.840277777777778</v>
      </c>
      <c r="F1039" s="7" t="n">
        <v>14000</v>
      </c>
      <c r="G1039" s="7" t="n">
        <f aca="false">D1039*F1039</f>
        <v>14000</v>
      </c>
      <c r="H1039" s="2" t="str">
        <f aca="false">INDEX(Daftar_Menu!$B$2:$B$13,MATCH(C1039,Daftar_Menu!$A$2:$A$13,0))</f>
        <v>Makanan</v>
      </c>
      <c r="I1039" s="2" t="str">
        <f aca="false">CHOOSE(WEEKDAY(B1039,2),"Senin","Selasa","Rabu","Kamis","Jumat","Sabtu","Minggu")</f>
        <v>Minggu</v>
      </c>
      <c r="J1039" s="2" t="n">
        <f aca="false">HOUR(E1039)</f>
        <v>20</v>
      </c>
      <c r="K1039" s="2" t="str">
        <f aca="false">IF(J1039&lt;11,"Pagi",IF(J1039&lt;17,"Siang","Malam"))</f>
        <v>Malam</v>
      </c>
      <c r="L1039" s="2" t="n">
        <f aca="false">IF(A1039&lt;&gt;A1038,1,0)</f>
        <v>1</v>
      </c>
    </row>
    <row r="1040" customFormat="false" ht="15" hidden="false" customHeight="false" outlineLevel="0" collapsed="false">
      <c r="A1040" s="2" t="s">
        <v>1138</v>
      </c>
      <c r="B1040" s="13" t="n">
        <v>46278</v>
      </c>
      <c r="C1040" s="2" t="s">
        <v>101</v>
      </c>
      <c r="D1040" s="2" t="n">
        <v>1</v>
      </c>
      <c r="E1040" s="15" t="n">
        <v>0.840277777777778</v>
      </c>
      <c r="F1040" s="7" t="n">
        <v>18000</v>
      </c>
      <c r="G1040" s="7" t="n">
        <f aca="false">D1040*F1040</f>
        <v>18000</v>
      </c>
      <c r="H1040" s="2" t="str">
        <f aca="false">INDEX(Daftar_Menu!$B$2:$B$13,MATCH(C1040,Daftar_Menu!$A$2:$A$13,0))</f>
        <v>Makanan</v>
      </c>
      <c r="I1040" s="2" t="str">
        <f aca="false">CHOOSE(WEEKDAY(B1040,2),"Senin","Selasa","Rabu","Kamis","Jumat","Sabtu","Minggu")</f>
        <v>Minggu</v>
      </c>
      <c r="J1040" s="2" t="n">
        <f aca="false">HOUR(E1040)</f>
        <v>20</v>
      </c>
      <c r="K1040" s="2" t="str">
        <f aca="false">IF(J1040&lt;11,"Pagi",IF(J1040&lt;17,"Siang","Malam"))</f>
        <v>Malam</v>
      </c>
      <c r="L1040" s="2" t="n">
        <f aca="false">IF(A1040&lt;&gt;A1039,1,0)</f>
        <v>0</v>
      </c>
    </row>
    <row r="1041" customFormat="false" ht="15" hidden="false" customHeight="false" outlineLevel="0" collapsed="false">
      <c r="A1041" s="2" t="s">
        <v>1139</v>
      </c>
      <c r="B1041" s="13" t="n">
        <v>46278</v>
      </c>
      <c r="C1041" s="2" t="s">
        <v>108</v>
      </c>
      <c r="D1041" s="2" t="n">
        <v>1</v>
      </c>
      <c r="E1041" s="15" t="n">
        <v>0.843055555555556</v>
      </c>
      <c r="F1041" s="7" t="n">
        <v>20000</v>
      </c>
      <c r="G1041" s="7" t="n">
        <f aca="false">D1041*F1041</f>
        <v>20000</v>
      </c>
      <c r="H1041" s="2" t="str">
        <f aca="false">INDEX(Daftar_Menu!$B$2:$B$13,MATCH(C1041,Daftar_Menu!$A$2:$A$13,0))</f>
        <v>Makanan</v>
      </c>
      <c r="I1041" s="2" t="str">
        <f aca="false">CHOOSE(WEEKDAY(B1041,2),"Senin","Selasa","Rabu","Kamis","Jumat","Sabtu","Minggu")</f>
        <v>Minggu</v>
      </c>
      <c r="J1041" s="2" t="n">
        <f aca="false">HOUR(E1041)</f>
        <v>20</v>
      </c>
      <c r="K1041" s="2" t="str">
        <f aca="false">IF(J1041&lt;11,"Pagi",IF(J1041&lt;17,"Siang","Malam"))</f>
        <v>Malam</v>
      </c>
      <c r="L1041" s="2" t="n">
        <f aca="false">IF(A1041&lt;&gt;A1040,1,0)</f>
        <v>1</v>
      </c>
    </row>
    <row r="1042" customFormat="false" ht="15" hidden="false" customHeight="false" outlineLevel="0" collapsed="false">
      <c r="A1042" s="2" t="s">
        <v>1139</v>
      </c>
      <c r="B1042" s="13" t="n">
        <v>46278</v>
      </c>
      <c r="C1042" s="2" t="s">
        <v>92</v>
      </c>
      <c r="D1042" s="2" t="n">
        <v>1</v>
      </c>
      <c r="E1042" s="15" t="n">
        <v>0.843055555555556</v>
      </c>
      <c r="F1042" s="7" t="n">
        <v>4000</v>
      </c>
      <c r="G1042" s="7" t="n">
        <f aca="false">D1042*F1042</f>
        <v>4000</v>
      </c>
      <c r="H1042" s="2" t="str">
        <f aca="false">INDEX(Daftar_Menu!$B$2:$B$13,MATCH(C1042,Daftar_Menu!$A$2:$A$13,0))</f>
        <v>Minuman</v>
      </c>
      <c r="I1042" s="2" t="str">
        <f aca="false">CHOOSE(WEEKDAY(B1042,2),"Senin","Selasa","Rabu","Kamis","Jumat","Sabtu","Minggu")</f>
        <v>Minggu</v>
      </c>
      <c r="J1042" s="2" t="n">
        <f aca="false">HOUR(E1042)</f>
        <v>20</v>
      </c>
      <c r="K1042" s="2" t="str">
        <f aca="false">IF(J1042&lt;11,"Pagi",IF(J1042&lt;17,"Siang","Malam"))</f>
        <v>Malam</v>
      </c>
      <c r="L1042" s="2" t="n">
        <f aca="false">IF(A1042&lt;&gt;A1041,1,0)</f>
        <v>0</v>
      </c>
    </row>
    <row r="1043" customFormat="false" ht="15" hidden="false" customHeight="false" outlineLevel="0" collapsed="false">
      <c r="A1043" s="2" t="s">
        <v>1140</v>
      </c>
      <c r="B1043" s="13" t="n">
        <v>46278</v>
      </c>
      <c r="C1043" s="2" t="s">
        <v>108</v>
      </c>
      <c r="D1043" s="2" t="n">
        <v>2</v>
      </c>
      <c r="E1043" s="15" t="n">
        <v>0.861111111111111</v>
      </c>
      <c r="F1043" s="7" t="n">
        <v>20000</v>
      </c>
      <c r="G1043" s="7" t="n">
        <f aca="false">D1043*F1043</f>
        <v>40000</v>
      </c>
      <c r="H1043" s="2" t="str">
        <f aca="false">INDEX(Daftar_Menu!$B$2:$B$13,MATCH(C1043,Daftar_Menu!$A$2:$A$13,0))</f>
        <v>Makanan</v>
      </c>
      <c r="I1043" s="2" t="str">
        <f aca="false">CHOOSE(WEEKDAY(B1043,2),"Senin","Selasa","Rabu","Kamis","Jumat","Sabtu","Minggu")</f>
        <v>Minggu</v>
      </c>
      <c r="J1043" s="2" t="n">
        <f aca="false">HOUR(E1043)</f>
        <v>20</v>
      </c>
      <c r="K1043" s="2" t="str">
        <f aca="false">IF(J1043&lt;11,"Pagi",IF(J1043&lt;17,"Siang","Malam"))</f>
        <v>Malam</v>
      </c>
      <c r="L1043" s="2" t="n">
        <f aca="false">IF(A1043&lt;&gt;A1042,1,0)</f>
        <v>1</v>
      </c>
    </row>
    <row r="1044" customFormat="false" ht="15" hidden="false" customHeight="false" outlineLevel="0" collapsed="false">
      <c r="A1044" s="2" t="s">
        <v>1140</v>
      </c>
      <c r="B1044" s="13" t="n">
        <v>46278</v>
      </c>
      <c r="C1044" s="2" t="s">
        <v>89</v>
      </c>
      <c r="D1044" s="2" t="n">
        <v>1</v>
      </c>
      <c r="E1044" s="15" t="n">
        <v>0.861111111111111</v>
      </c>
      <c r="F1044" s="7" t="n">
        <v>14000</v>
      </c>
      <c r="G1044" s="7" t="n">
        <f aca="false">D1044*F1044</f>
        <v>14000</v>
      </c>
      <c r="H1044" s="2" t="str">
        <f aca="false">INDEX(Daftar_Menu!$B$2:$B$13,MATCH(C1044,Daftar_Menu!$A$2:$A$13,0))</f>
        <v>Makanan</v>
      </c>
      <c r="I1044" s="2" t="str">
        <f aca="false">CHOOSE(WEEKDAY(B1044,2),"Senin","Selasa","Rabu","Kamis","Jumat","Sabtu","Minggu")</f>
        <v>Minggu</v>
      </c>
      <c r="J1044" s="2" t="n">
        <f aca="false">HOUR(E1044)</f>
        <v>20</v>
      </c>
      <c r="K1044" s="2" t="str">
        <f aca="false">IF(J1044&lt;11,"Pagi",IF(J1044&lt;17,"Siang","Malam"))</f>
        <v>Malam</v>
      </c>
      <c r="L1044" s="2" t="n">
        <f aca="false">IF(A1044&lt;&gt;A1043,1,0)</f>
        <v>0</v>
      </c>
    </row>
    <row r="1045" customFormat="false" ht="15" hidden="false" customHeight="false" outlineLevel="0" collapsed="false">
      <c r="A1045" s="2" t="s">
        <v>1142</v>
      </c>
      <c r="B1045" s="13" t="n">
        <v>46278</v>
      </c>
      <c r="C1045" s="2" t="s">
        <v>101</v>
      </c>
      <c r="D1045" s="2" t="n">
        <v>1</v>
      </c>
      <c r="E1045" s="15" t="n">
        <v>0.866666666666667</v>
      </c>
      <c r="F1045" s="7" t="n">
        <v>18000</v>
      </c>
      <c r="G1045" s="7" t="n">
        <f aca="false">D1045*F1045</f>
        <v>18000</v>
      </c>
      <c r="H1045" s="2" t="str">
        <f aca="false">INDEX(Daftar_Menu!$B$2:$B$13,MATCH(C1045,Daftar_Menu!$A$2:$A$13,0))</f>
        <v>Makanan</v>
      </c>
      <c r="I1045" s="2" t="str">
        <f aca="false">CHOOSE(WEEKDAY(B1045,2),"Senin","Selasa","Rabu","Kamis","Jumat","Sabtu","Minggu")</f>
        <v>Minggu</v>
      </c>
      <c r="J1045" s="2" t="n">
        <f aca="false">HOUR(E1045)</f>
        <v>20</v>
      </c>
      <c r="K1045" s="2" t="str">
        <f aca="false">IF(J1045&lt;11,"Pagi",IF(J1045&lt;17,"Siang","Malam"))</f>
        <v>Malam</v>
      </c>
      <c r="L1045" s="2" t="n">
        <f aca="false">IF(A1045&lt;&gt;A1044,1,0)</f>
        <v>1</v>
      </c>
    </row>
    <row r="1046" customFormat="false" ht="15" hidden="false" customHeight="false" outlineLevel="0" collapsed="false">
      <c r="A1046" s="2" t="s">
        <v>1142</v>
      </c>
      <c r="B1046" s="13" t="n">
        <v>46278</v>
      </c>
      <c r="C1046" s="2" t="s">
        <v>89</v>
      </c>
      <c r="D1046" s="2" t="n">
        <v>2</v>
      </c>
      <c r="E1046" s="15" t="n">
        <v>0.866666666666667</v>
      </c>
      <c r="F1046" s="7" t="n">
        <v>14000</v>
      </c>
      <c r="G1046" s="7" t="n">
        <f aca="false">D1046*F1046</f>
        <v>28000</v>
      </c>
      <c r="H1046" s="2" t="str">
        <f aca="false">INDEX(Daftar_Menu!$B$2:$B$13,MATCH(C1046,Daftar_Menu!$A$2:$A$13,0))</f>
        <v>Makanan</v>
      </c>
      <c r="I1046" s="2" t="str">
        <f aca="false">CHOOSE(WEEKDAY(B1046,2),"Senin","Selasa","Rabu","Kamis","Jumat","Sabtu","Minggu")</f>
        <v>Minggu</v>
      </c>
      <c r="J1046" s="2" t="n">
        <f aca="false">HOUR(E1046)</f>
        <v>20</v>
      </c>
      <c r="K1046" s="2" t="str">
        <f aca="false">IF(J1046&lt;11,"Pagi",IF(J1046&lt;17,"Siang","Malam"))</f>
        <v>Malam</v>
      </c>
      <c r="L1046" s="2" t="n">
        <f aca="false">IF(A1046&lt;&gt;A1045,1,0)</f>
        <v>0</v>
      </c>
    </row>
    <row r="1047" customFormat="false" ht="15" hidden="false" customHeight="false" outlineLevel="0" collapsed="false">
      <c r="A1047" s="2" t="s">
        <v>1142</v>
      </c>
      <c r="B1047" s="13" t="n">
        <v>46278</v>
      </c>
      <c r="C1047" s="2" t="s">
        <v>186</v>
      </c>
      <c r="D1047" s="2" t="n">
        <v>1</v>
      </c>
      <c r="E1047" s="15" t="n">
        <v>0.866666666666667</v>
      </c>
      <c r="F1047" s="7" t="n">
        <v>7000</v>
      </c>
      <c r="G1047" s="7" t="n">
        <f aca="false">D1047*F1047</f>
        <v>7000</v>
      </c>
      <c r="H1047" s="2" t="str">
        <f aca="false">INDEX(Daftar_Menu!$B$2:$B$13,MATCH(C1047,Daftar_Menu!$A$2:$A$13,0))</f>
        <v>Minuman</v>
      </c>
      <c r="I1047" s="2" t="str">
        <f aca="false">CHOOSE(WEEKDAY(B1047,2),"Senin","Selasa","Rabu","Kamis","Jumat","Sabtu","Minggu")</f>
        <v>Minggu</v>
      </c>
      <c r="J1047" s="2" t="n">
        <f aca="false">HOUR(E1047)</f>
        <v>20</v>
      </c>
      <c r="K1047" s="2" t="str">
        <f aca="false">IF(J1047&lt;11,"Pagi",IF(J1047&lt;17,"Siang","Malam"))</f>
        <v>Malam</v>
      </c>
      <c r="L1047" s="2" t="n">
        <f aca="false">IF(A1047&lt;&gt;A1046,1,0)</f>
        <v>0</v>
      </c>
    </row>
    <row r="1048" customFormat="false" ht="15" hidden="false" customHeight="false" outlineLevel="0" collapsed="false">
      <c r="A1048" s="2" t="s">
        <v>1145</v>
      </c>
      <c r="B1048" s="13" t="n">
        <v>46279</v>
      </c>
      <c r="C1048" s="2" t="s">
        <v>186</v>
      </c>
      <c r="D1048" s="2" t="n">
        <v>1</v>
      </c>
      <c r="E1048" s="15" t="n">
        <v>0.339583333333333</v>
      </c>
      <c r="F1048" s="7" t="n">
        <v>7000</v>
      </c>
      <c r="G1048" s="7" t="n">
        <f aca="false">D1048*F1048</f>
        <v>7000</v>
      </c>
      <c r="H1048" s="2" t="str">
        <f aca="false">INDEX(Daftar_Menu!$B$2:$B$13,MATCH(C1048,Daftar_Menu!$A$2:$A$13,0))</f>
        <v>Minuman</v>
      </c>
      <c r="I1048" s="2" t="str">
        <f aca="false">CHOOSE(WEEKDAY(B1048,2),"Senin","Selasa","Rabu","Kamis","Jumat","Sabtu","Minggu")</f>
        <v>Senin</v>
      </c>
      <c r="J1048" s="2" t="n">
        <f aca="false">HOUR(E1048)</f>
        <v>8</v>
      </c>
      <c r="K1048" s="2" t="str">
        <f aca="false">IF(J1048&lt;11,"Pagi",IF(J1048&lt;17,"Siang","Malam"))</f>
        <v>Pagi</v>
      </c>
      <c r="L1048" s="2" t="n">
        <f aca="false">IF(A1048&lt;&gt;A1047,1,0)</f>
        <v>1</v>
      </c>
    </row>
    <row r="1049" customFormat="false" ht="15" hidden="false" customHeight="false" outlineLevel="0" collapsed="false">
      <c r="A1049" s="2" t="s">
        <v>1145</v>
      </c>
      <c r="B1049" s="13" t="n">
        <v>46279</v>
      </c>
      <c r="C1049" s="2" t="s">
        <v>89</v>
      </c>
      <c r="D1049" s="2" t="n">
        <v>3</v>
      </c>
      <c r="E1049" s="15" t="n">
        <v>0.339583333333333</v>
      </c>
      <c r="F1049" s="7" t="n">
        <v>14000</v>
      </c>
      <c r="G1049" s="7" t="n">
        <f aca="false">D1049*F1049</f>
        <v>42000</v>
      </c>
      <c r="H1049" s="2" t="str">
        <f aca="false">INDEX(Daftar_Menu!$B$2:$B$13,MATCH(C1049,Daftar_Menu!$A$2:$A$13,0))</f>
        <v>Makanan</v>
      </c>
      <c r="I1049" s="2" t="str">
        <f aca="false">CHOOSE(WEEKDAY(B1049,2),"Senin","Selasa","Rabu","Kamis","Jumat","Sabtu","Minggu")</f>
        <v>Senin</v>
      </c>
      <c r="J1049" s="2" t="n">
        <f aca="false">HOUR(E1049)</f>
        <v>8</v>
      </c>
      <c r="K1049" s="2" t="str">
        <f aca="false">IF(J1049&lt;11,"Pagi",IF(J1049&lt;17,"Siang","Malam"))</f>
        <v>Pagi</v>
      </c>
      <c r="L1049" s="2" t="n">
        <f aca="false">IF(A1049&lt;&gt;A1048,1,0)</f>
        <v>0</v>
      </c>
    </row>
    <row r="1050" customFormat="false" ht="15" hidden="false" customHeight="false" outlineLevel="0" collapsed="false">
      <c r="A1050" s="2" t="s">
        <v>1147</v>
      </c>
      <c r="B1050" s="13" t="n">
        <v>46279</v>
      </c>
      <c r="C1050" s="2" t="s">
        <v>82</v>
      </c>
      <c r="D1050" s="2" t="n">
        <v>2</v>
      </c>
      <c r="E1050" s="15" t="n">
        <v>0.353472222222222</v>
      </c>
      <c r="F1050" s="7" t="n">
        <v>13000</v>
      </c>
      <c r="G1050" s="7" t="n">
        <f aca="false">D1050*F1050</f>
        <v>26000</v>
      </c>
      <c r="H1050" s="2" t="str">
        <f aca="false">INDEX(Daftar_Menu!$B$2:$B$13,MATCH(C1050,Daftar_Menu!$A$2:$A$13,0))</f>
        <v>Makanan</v>
      </c>
      <c r="I1050" s="2" t="str">
        <f aca="false">CHOOSE(WEEKDAY(B1050,2),"Senin","Selasa","Rabu","Kamis","Jumat","Sabtu","Minggu")</f>
        <v>Senin</v>
      </c>
      <c r="J1050" s="2" t="n">
        <f aca="false">HOUR(E1050)</f>
        <v>8</v>
      </c>
      <c r="K1050" s="2" t="str">
        <f aca="false">IF(J1050&lt;11,"Pagi",IF(J1050&lt;17,"Siang","Malam"))</f>
        <v>Pagi</v>
      </c>
      <c r="L1050" s="2" t="n">
        <f aca="false">IF(A1050&lt;&gt;A1049,1,0)</f>
        <v>1</v>
      </c>
    </row>
    <row r="1051" customFormat="false" ht="15" hidden="false" customHeight="false" outlineLevel="0" collapsed="false">
      <c r="A1051" s="2" t="s">
        <v>1147</v>
      </c>
      <c r="B1051" s="13" t="n">
        <v>46279</v>
      </c>
      <c r="C1051" s="2" t="s">
        <v>89</v>
      </c>
      <c r="D1051" s="2" t="n">
        <v>1</v>
      </c>
      <c r="E1051" s="15" t="n">
        <v>0.353472222222222</v>
      </c>
      <c r="F1051" s="7" t="n">
        <v>14000</v>
      </c>
      <c r="G1051" s="7" t="n">
        <f aca="false">D1051*F1051</f>
        <v>14000</v>
      </c>
      <c r="H1051" s="2" t="str">
        <f aca="false">INDEX(Daftar_Menu!$B$2:$B$13,MATCH(C1051,Daftar_Menu!$A$2:$A$13,0))</f>
        <v>Makanan</v>
      </c>
      <c r="I1051" s="2" t="str">
        <f aca="false">CHOOSE(WEEKDAY(B1051,2),"Senin","Selasa","Rabu","Kamis","Jumat","Sabtu","Minggu")</f>
        <v>Senin</v>
      </c>
      <c r="J1051" s="2" t="n">
        <f aca="false">HOUR(E1051)</f>
        <v>8</v>
      </c>
      <c r="K1051" s="2" t="str">
        <f aca="false">IF(J1051&lt;11,"Pagi",IF(J1051&lt;17,"Siang","Malam"))</f>
        <v>Pagi</v>
      </c>
      <c r="L1051" s="2" t="n">
        <f aca="false">IF(A1051&lt;&gt;A1050,1,0)</f>
        <v>0</v>
      </c>
    </row>
    <row r="1052" customFormat="false" ht="15" hidden="false" customHeight="false" outlineLevel="0" collapsed="false">
      <c r="A1052" s="2" t="s">
        <v>1149</v>
      </c>
      <c r="B1052" s="13" t="n">
        <v>46279</v>
      </c>
      <c r="C1052" s="2" t="s">
        <v>79</v>
      </c>
      <c r="D1052" s="2" t="n">
        <v>1</v>
      </c>
      <c r="E1052" s="15" t="n">
        <v>0.419444444444445</v>
      </c>
      <c r="F1052" s="7" t="n">
        <v>16000</v>
      </c>
      <c r="G1052" s="7" t="n">
        <f aca="false">D1052*F1052</f>
        <v>16000</v>
      </c>
      <c r="H1052" s="2" t="str">
        <f aca="false">INDEX(Daftar_Menu!$B$2:$B$13,MATCH(C1052,Daftar_Menu!$A$2:$A$13,0))</f>
        <v>Makanan</v>
      </c>
      <c r="I1052" s="2" t="str">
        <f aca="false">CHOOSE(WEEKDAY(B1052,2),"Senin","Selasa","Rabu","Kamis","Jumat","Sabtu","Minggu")</f>
        <v>Senin</v>
      </c>
      <c r="J1052" s="2" t="n">
        <f aca="false">HOUR(E1052)</f>
        <v>10</v>
      </c>
      <c r="K1052" s="2" t="str">
        <f aca="false">IF(J1052&lt;11,"Pagi",IF(J1052&lt;17,"Siang","Malam"))</f>
        <v>Pagi</v>
      </c>
      <c r="L1052" s="2" t="n">
        <f aca="false">IF(A1052&lt;&gt;A1051,1,0)</f>
        <v>1</v>
      </c>
    </row>
    <row r="1053" customFormat="false" ht="15" hidden="false" customHeight="false" outlineLevel="0" collapsed="false">
      <c r="A1053" s="2" t="s">
        <v>1149</v>
      </c>
      <c r="B1053" s="13" t="n">
        <v>46279</v>
      </c>
      <c r="C1053" s="2" t="s">
        <v>101</v>
      </c>
      <c r="D1053" s="2" t="n">
        <v>1</v>
      </c>
      <c r="E1053" s="15" t="n">
        <v>0.419444444444445</v>
      </c>
      <c r="F1053" s="7" t="n">
        <v>18000</v>
      </c>
      <c r="G1053" s="7" t="n">
        <f aca="false">D1053*F1053</f>
        <v>18000</v>
      </c>
      <c r="H1053" s="2" t="str">
        <f aca="false">INDEX(Daftar_Menu!$B$2:$B$13,MATCH(C1053,Daftar_Menu!$A$2:$A$13,0))</f>
        <v>Makanan</v>
      </c>
      <c r="I1053" s="2" t="str">
        <f aca="false">CHOOSE(WEEKDAY(B1053,2),"Senin","Selasa","Rabu","Kamis","Jumat","Sabtu","Minggu")</f>
        <v>Senin</v>
      </c>
      <c r="J1053" s="2" t="n">
        <f aca="false">HOUR(E1053)</f>
        <v>10</v>
      </c>
      <c r="K1053" s="2" t="str">
        <f aca="false">IF(J1053&lt;11,"Pagi",IF(J1053&lt;17,"Siang","Malam"))</f>
        <v>Pagi</v>
      </c>
      <c r="L1053" s="2" t="n">
        <f aca="false">IF(A1053&lt;&gt;A1052,1,0)</f>
        <v>0</v>
      </c>
    </row>
    <row r="1054" customFormat="false" ht="15" hidden="false" customHeight="false" outlineLevel="0" collapsed="false">
      <c r="A1054" s="2" t="s">
        <v>1151</v>
      </c>
      <c r="B1054" s="13" t="n">
        <v>46279</v>
      </c>
      <c r="C1054" s="2" t="s">
        <v>84</v>
      </c>
      <c r="D1054" s="2" t="n">
        <v>1</v>
      </c>
      <c r="E1054" s="15" t="n">
        <v>0.426388888888889</v>
      </c>
      <c r="F1054" s="7" t="n">
        <v>5000</v>
      </c>
      <c r="G1054" s="7" t="n">
        <f aca="false">D1054*F1054</f>
        <v>5000</v>
      </c>
      <c r="H1054" s="2" t="str">
        <f aca="false">INDEX(Daftar_Menu!$B$2:$B$13,MATCH(C1054,Daftar_Menu!$A$2:$A$13,0))</f>
        <v>Minuman</v>
      </c>
      <c r="I1054" s="2" t="str">
        <f aca="false">CHOOSE(WEEKDAY(B1054,2),"Senin","Selasa","Rabu","Kamis","Jumat","Sabtu","Minggu")</f>
        <v>Senin</v>
      </c>
      <c r="J1054" s="2" t="n">
        <f aca="false">HOUR(E1054)</f>
        <v>10</v>
      </c>
      <c r="K1054" s="2" t="str">
        <f aca="false">IF(J1054&lt;11,"Pagi",IF(J1054&lt;17,"Siang","Malam"))</f>
        <v>Pagi</v>
      </c>
      <c r="L1054" s="2" t="n">
        <f aca="false">IF(A1054&lt;&gt;A1053,1,0)</f>
        <v>1</v>
      </c>
    </row>
    <row r="1055" customFormat="false" ht="15" hidden="false" customHeight="false" outlineLevel="0" collapsed="false">
      <c r="A1055" s="2" t="s">
        <v>1153</v>
      </c>
      <c r="B1055" s="13" t="n">
        <v>46279</v>
      </c>
      <c r="C1055" s="2" t="s">
        <v>89</v>
      </c>
      <c r="D1055" s="2" t="n">
        <v>1</v>
      </c>
      <c r="E1055" s="15" t="n">
        <v>0.452777777777778</v>
      </c>
      <c r="F1055" s="7" t="n">
        <v>14000</v>
      </c>
      <c r="G1055" s="7" t="n">
        <f aca="false">D1055*F1055</f>
        <v>14000</v>
      </c>
      <c r="H1055" s="2" t="str">
        <f aca="false">INDEX(Daftar_Menu!$B$2:$B$13,MATCH(C1055,Daftar_Menu!$A$2:$A$13,0))</f>
        <v>Makanan</v>
      </c>
      <c r="I1055" s="2" t="str">
        <f aca="false">CHOOSE(WEEKDAY(B1055,2),"Senin","Selasa","Rabu","Kamis","Jumat","Sabtu","Minggu")</f>
        <v>Senin</v>
      </c>
      <c r="J1055" s="2" t="n">
        <f aca="false">HOUR(E1055)</f>
        <v>10</v>
      </c>
      <c r="K1055" s="2" t="str">
        <f aca="false">IF(J1055&lt;11,"Pagi",IF(J1055&lt;17,"Siang","Malam"))</f>
        <v>Pagi</v>
      </c>
      <c r="L1055" s="2" t="n">
        <f aca="false">IF(A1055&lt;&gt;A1054,1,0)</f>
        <v>1</v>
      </c>
    </row>
    <row r="1056" customFormat="false" ht="15" hidden="false" customHeight="false" outlineLevel="0" collapsed="false">
      <c r="A1056" s="2" t="s">
        <v>1153</v>
      </c>
      <c r="B1056" s="13" t="n">
        <v>46279</v>
      </c>
      <c r="C1056" s="2" t="s">
        <v>81</v>
      </c>
      <c r="D1056" s="2" t="n">
        <v>1</v>
      </c>
      <c r="E1056" s="15" t="n">
        <v>0.452777777777778</v>
      </c>
      <c r="F1056" s="7" t="n">
        <v>15000</v>
      </c>
      <c r="G1056" s="7" t="n">
        <f aca="false">D1056*F1056</f>
        <v>15000</v>
      </c>
      <c r="H1056" s="2" t="str">
        <f aca="false">INDEX(Daftar_Menu!$B$2:$B$13,MATCH(C1056,Daftar_Menu!$A$2:$A$13,0))</f>
        <v>Makanan</v>
      </c>
      <c r="I1056" s="2" t="str">
        <f aca="false">CHOOSE(WEEKDAY(B1056,2),"Senin","Selasa","Rabu","Kamis","Jumat","Sabtu","Minggu")</f>
        <v>Senin</v>
      </c>
      <c r="J1056" s="2" t="n">
        <f aca="false">HOUR(E1056)</f>
        <v>10</v>
      </c>
      <c r="K1056" s="2" t="str">
        <f aca="false">IF(J1056&lt;11,"Pagi",IF(J1056&lt;17,"Siang","Malam"))</f>
        <v>Pagi</v>
      </c>
      <c r="L1056" s="2" t="n">
        <f aca="false">IF(A1056&lt;&gt;A1055,1,0)</f>
        <v>0</v>
      </c>
    </row>
    <row r="1057" customFormat="false" ht="15" hidden="false" customHeight="false" outlineLevel="0" collapsed="false">
      <c r="A1057" s="2" t="s">
        <v>1155</v>
      </c>
      <c r="B1057" s="13" t="n">
        <v>46279</v>
      </c>
      <c r="C1057" s="2" t="s">
        <v>84</v>
      </c>
      <c r="D1057" s="2" t="n">
        <v>1</v>
      </c>
      <c r="E1057" s="15" t="n">
        <v>0.455555555555556</v>
      </c>
      <c r="F1057" s="7" t="n">
        <v>5000</v>
      </c>
      <c r="G1057" s="7" t="n">
        <f aca="false">D1057*F1057</f>
        <v>5000</v>
      </c>
      <c r="H1057" s="2" t="str">
        <f aca="false">INDEX(Daftar_Menu!$B$2:$B$13,MATCH(C1057,Daftar_Menu!$A$2:$A$13,0))</f>
        <v>Minuman</v>
      </c>
      <c r="I1057" s="2" t="str">
        <f aca="false">CHOOSE(WEEKDAY(B1057,2),"Senin","Selasa","Rabu","Kamis","Jumat","Sabtu","Minggu")</f>
        <v>Senin</v>
      </c>
      <c r="J1057" s="2" t="n">
        <f aca="false">HOUR(E1057)</f>
        <v>10</v>
      </c>
      <c r="K1057" s="2" t="str">
        <f aca="false">IF(J1057&lt;11,"Pagi",IF(J1057&lt;17,"Siang","Malam"))</f>
        <v>Pagi</v>
      </c>
      <c r="L1057" s="2" t="n">
        <f aca="false">IF(A1057&lt;&gt;A1056,1,0)</f>
        <v>1</v>
      </c>
    </row>
    <row r="1058" customFormat="false" ht="15" hidden="false" customHeight="false" outlineLevel="0" collapsed="false">
      <c r="A1058" s="2" t="s">
        <v>1155</v>
      </c>
      <c r="B1058" s="13" t="n">
        <v>46279</v>
      </c>
      <c r="C1058" s="2" t="s">
        <v>112</v>
      </c>
      <c r="D1058" s="2" t="n">
        <v>1</v>
      </c>
      <c r="E1058" s="15" t="n">
        <v>0.455555555555556</v>
      </c>
      <c r="F1058" s="7" t="n">
        <v>10000</v>
      </c>
      <c r="G1058" s="7" t="n">
        <f aca="false">D1058*F1058</f>
        <v>10000</v>
      </c>
      <c r="H1058" s="2" t="str">
        <f aca="false">INDEX(Daftar_Menu!$B$2:$B$13,MATCH(C1058,Daftar_Menu!$A$2:$A$13,0))</f>
        <v>Minuman</v>
      </c>
      <c r="I1058" s="2" t="str">
        <f aca="false">CHOOSE(WEEKDAY(B1058,2),"Senin","Selasa","Rabu","Kamis","Jumat","Sabtu","Minggu")</f>
        <v>Senin</v>
      </c>
      <c r="J1058" s="2" t="n">
        <f aca="false">HOUR(E1058)</f>
        <v>10</v>
      </c>
      <c r="K1058" s="2" t="str">
        <f aca="false">IF(J1058&lt;11,"Pagi",IF(J1058&lt;17,"Siang","Malam"))</f>
        <v>Pagi</v>
      </c>
      <c r="L1058" s="2" t="n">
        <f aca="false">IF(A1058&lt;&gt;A1057,1,0)</f>
        <v>0</v>
      </c>
    </row>
    <row r="1059" customFormat="false" ht="15" hidden="false" customHeight="false" outlineLevel="0" collapsed="false">
      <c r="A1059" s="2" t="s">
        <v>1155</v>
      </c>
      <c r="B1059" s="13" t="n">
        <v>46279</v>
      </c>
      <c r="C1059" s="2" t="s">
        <v>108</v>
      </c>
      <c r="D1059" s="2" t="n">
        <v>1</v>
      </c>
      <c r="E1059" s="15" t="n">
        <v>0.455555555555556</v>
      </c>
      <c r="F1059" s="7" t="n">
        <v>20000</v>
      </c>
      <c r="G1059" s="7" t="n">
        <f aca="false">D1059*F1059</f>
        <v>20000</v>
      </c>
      <c r="H1059" s="2" t="str">
        <f aca="false">INDEX(Daftar_Menu!$B$2:$B$13,MATCH(C1059,Daftar_Menu!$A$2:$A$13,0))</f>
        <v>Makanan</v>
      </c>
      <c r="I1059" s="2" t="str">
        <f aca="false">CHOOSE(WEEKDAY(B1059,2),"Senin","Selasa","Rabu","Kamis","Jumat","Sabtu","Minggu")</f>
        <v>Senin</v>
      </c>
      <c r="J1059" s="2" t="n">
        <f aca="false">HOUR(E1059)</f>
        <v>10</v>
      </c>
      <c r="K1059" s="2" t="str">
        <f aca="false">IF(J1059&lt;11,"Pagi",IF(J1059&lt;17,"Siang","Malam"))</f>
        <v>Pagi</v>
      </c>
      <c r="L1059" s="2" t="n">
        <f aca="false">IF(A1059&lt;&gt;A1058,1,0)</f>
        <v>0</v>
      </c>
    </row>
    <row r="1060" customFormat="false" ht="15" hidden="false" customHeight="false" outlineLevel="0" collapsed="false">
      <c r="A1060" s="2" t="s">
        <v>1157</v>
      </c>
      <c r="B1060" s="13" t="n">
        <v>46279</v>
      </c>
      <c r="C1060" s="2" t="s">
        <v>79</v>
      </c>
      <c r="D1060" s="2" t="n">
        <v>1</v>
      </c>
      <c r="E1060" s="15" t="n">
        <v>0.473611111111111</v>
      </c>
      <c r="F1060" s="7" t="n">
        <v>16000</v>
      </c>
      <c r="G1060" s="7" t="n">
        <f aca="false">D1060*F1060</f>
        <v>16000</v>
      </c>
      <c r="H1060" s="2" t="str">
        <f aca="false">INDEX(Daftar_Menu!$B$2:$B$13,MATCH(C1060,Daftar_Menu!$A$2:$A$13,0))</f>
        <v>Makanan</v>
      </c>
      <c r="I1060" s="2" t="str">
        <f aca="false">CHOOSE(WEEKDAY(B1060,2),"Senin","Selasa","Rabu","Kamis","Jumat","Sabtu","Minggu")</f>
        <v>Senin</v>
      </c>
      <c r="J1060" s="2" t="n">
        <f aca="false">HOUR(E1060)</f>
        <v>11</v>
      </c>
      <c r="K1060" s="2" t="str">
        <f aca="false">IF(J1060&lt;11,"Pagi",IF(J1060&lt;17,"Siang","Malam"))</f>
        <v>Siang</v>
      </c>
      <c r="L1060" s="2" t="n">
        <f aca="false">IF(A1060&lt;&gt;A1059,1,0)</f>
        <v>1</v>
      </c>
    </row>
    <row r="1061" customFormat="false" ht="15" hidden="false" customHeight="false" outlineLevel="0" collapsed="false">
      <c r="A1061" s="2" t="s">
        <v>1159</v>
      </c>
      <c r="B1061" s="13" t="n">
        <v>46279</v>
      </c>
      <c r="C1061" s="2" t="s">
        <v>186</v>
      </c>
      <c r="D1061" s="2" t="n">
        <v>1</v>
      </c>
      <c r="E1061" s="15" t="n">
        <v>0.476388888888889</v>
      </c>
      <c r="F1061" s="7" t="n">
        <v>7000</v>
      </c>
      <c r="G1061" s="7" t="n">
        <f aca="false">D1061*F1061</f>
        <v>7000</v>
      </c>
      <c r="H1061" s="2" t="str">
        <f aca="false">INDEX(Daftar_Menu!$B$2:$B$13,MATCH(C1061,Daftar_Menu!$A$2:$A$13,0))</f>
        <v>Minuman</v>
      </c>
      <c r="I1061" s="2" t="str">
        <f aca="false">CHOOSE(WEEKDAY(B1061,2),"Senin","Selasa","Rabu","Kamis","Jumat","Sabtu","Minggu")</f>
        <v>Senin</v>
      </c>
      <c r="J1061" s="2" t="n">
        <f aca="false">HOUR(E1061)</f>
        <v>11</v>
      </c>
      <c r="K1061" s="2" t="str">
        <f aca="false">IF(J1061&lt;11,"Pagi",IF(J1061&lt;17,"Siang","Malam"))</f>
        <v>Siang</v>
      </c>
      <c r="L1061" s="2" t="n">
        <f aca="false">IF(A1061&lt;&gt;A1060,1,0)</f>
        <v>1</v>
      </c>
    </row>
    <row r="1062" customFormat="false" ht="15" hidden="false" customHeight="false" outlineLevel="0" collapsed="false">
      <c r="A1062" s="2" t="s">
        <v>1159</v>
      </c>
      <c r="B1062" s="13" t="n">
        <v>46279</v>
      </c>
      <c r="C1062" s="2" t="s">
        <v>81</v>
      </c>
      <c r="D1062" s="2" t="n">
        <v>3</v>
      </c>
      <c r="E1062" s="15" t="n">
        <v>0.476388888888889</v>
      </c>
      <c r="F1062" s="7" t="n">
        <v>15000</v>
      </c>
      <c r="G1062" s="7" t="n">
        <f aca="false">D1062*F1062</f>
        <v>45000</v>
      </c>
      <c r="H1062" s="2" t="str">
        <f aca="false">INDEX(Daftar_Menu!$B$2:$B$13,MATCH(C1062,Daftar_Menu!$A$2:$A$13,0))</f>
        <v>Makanan</v>
      </c>
      <c r="I1062" s="2" t="str">
        <f aca="false">CHOOSE(WEEKDAY(B1062,2),"Senin","Selasa","Rabu","Kamis","Jumat","Sabtu","Minggu")</f>
        <v>Senin</v>
      </c>
      <c r="J1062" s="2" t="n">
        <f aca="false">HOUR(E1062)</f>
        <v>11</v>
      </c>
      <c r="K1062" s="2" t="str">
        <f aca="false">IF(J1062&lt;11,"Pagi",IF(J1062&lt;17,"Siang","Malam"))</f>
        <v>Siang</v>
      </c>
      <c r="L1062" s="2" t="n">
        <f aca="false">IF(A1062&lt;&gt;A1061,1,0)</f>
        <v>0</v>
      </c>
    </row>
    <row r="1063" customFormat="false" ht="15" hidden="false" customHeight="false" outlineLevel="0" collapsed="false">
      <c r="A1063" s="2" t="s">
        <v>1161</v>
      </c>
      <c r="B1063" s="13" t="n">
        <v>46279</v>
      </c>
      <c r="C1063" s="2" t="s">
        <v>92</v>
      </c>
      <c r="D1063" s="2" t="n">
        <v>1</v>
      </c>
      <c r="E1063" s="15" t="n">
        <v>0.486111111111111</v>
      </c>
      <c r="F1063" s="7" t="n">
        <v>4000</v>
      </c>
      <c r="G1063" s="7" t="n">
        <f aca="false">D1063*F1063</f>
        <v>4000</v>
      </c>
      <c r="H1063" s="2" t="str">
        <f aca="false">INDEX(Daftar_Menu!$B$2:$B$13,MATCH(C1063,Daftar_Menu!$A$2:$A$13,0))</f>
        <v>Minuman</v>
      </c>
      <c r="I1063" s="2" t="str">
        <f aca="false">CHOOSE(WEEKDAY(B1063,2),"Senin","Selasa","Rabu","Kamis","Jumat","Sabtu","Minggu")</f>
        <v>Senin</v>
      </c>
      <c r="J1063" s="2" t="n">
        <f aca="false">HOUR(E1063)</f>
        <v>11</v>
      </c>
      <c r="K1063" s="2" t="str">
        <f aca="false">IF(J1063&lt;11,"Pagi",IF(J1063&lt;17,"Siang","Malam"))</f>
        <v>Siang</v>
      </c>
      <c r="L1063" s="2" t="n">
        <f aca="false">IF(A1063&lt;&gt;A1062,1,0)</f>
        <v>1</v>
      </c>
    </row>
    <row r="1064" customFormat="false" ht="15" hidden="false" customHeight="false" outlineLevel="0" collapsed="false">
      <c r="A1064" s="2" t="s">
        <v>1161</v>
      </c>
      <c r="B1064" s="13" t="n">
        <v>46279</v>
      </c>
      <c r="C1064" s="2" t="s">
        <v>132</v>
      </c>
      <c r="D1064" s="2" t="n">
        <v>2</v>
      </c>
      <c r="E1064" s="15" t="n">
        <v>0.486111111111111</v>
      </c>
      <c r="F1064" s="7" t="n">
        <v>15000</v>
      </c>
      <c r="G1064" s="7" t="n">
        <f aca="false">D1064*F1064</f>
        <v>30000</v>
      </c>
      <c r="H1064" s="2" t="str">
        <f aca="false">INDEX(Daftar_Menu!$B$2:$B$13,MATCH(C1064,Daftar_Menu!$A$2:$A$13,0))</f>
        <v>Makanan</v>
      </c>
      <c r="I1064" s="2" t="str">
        <f aca="false">CHOOSE(WEEKDAY(B1064,2),"Senin","Selasa","Rabu","Kamis","Jumat","Sabtu","Minggu")</f>
        <v>Senin</v>
      </c>
      <c r="J1064" s="2" t="n">
        <f aca="false">HOUR(E1064)</f>
        <v>11</v>
      </c>
      <c r="K1064" s="2" t="str">
        <f aca="false">IF(J1064&lt;11,"Pagi",IF(J1064&lt;17,"Siang","Malam"))</f>
        <v>Siang</v>
      </c>
      <c r="L1064" s="2" t="n">
        <f aca="false">IF(A1064&lt;&gt;A1063,1,0)</f>
        <v>0</v>
      </c>
    </row>
    <row r="1065" customFormat="false" ht="15" hidden="false" customHeight="false" outlineLevel="0" collapsed="false">
      <c r="A1065" s="2" t="s">
        <v>1161</v>
      </c>
      <c r="B1065" s="13" t="n">
        <v>46279</v>
      </c>
      <c r="C1065" s="2" t="s">
        <v>84</v>
      </c>
      <c r="D1065" s="2" t="n">
        <v>1</v>
      </c>
      <c r="E1065" s="15" t="n">
        <v>0.486111111111111</v>
      </c>
      <c r="F1065" s="7" t="n">
        <v>5000</v>
      </c>
      <c r="G1065" s="7" t="n">
        <f aca="false">D1065*F1065</f>
        <v>5000</v>
      </c>
      <c r="H1065" s="2" t="str">
        <f aca="false">INDEX(Daftar_Menu!$B$2:$B$13,MATCH(C1065,Daftar_Menu!$A$2:$A$13,0))</f>
        <v>Minuman</v>
      </c>
      <c r="I1065" s="2" t="str">
        <f aca="false">CHOOSE(WEEKDAY(B1065,2),"Senin","Selasa","Rabu","Kamis","Jumat","Sabtu","Minggu")</f>
        <v>Senin</v>
      </c>
      <c r="J1065" s="2" t="n">
        <f aca="false">HOUR(E1065)</f>
        <v>11</v>
      </c>
      <c r="K1065" s="2" t="str">
        <f aca="false">IF(J1065&lt;11,"Pagi",IF(J1065&lt;17,"Siang","Malam"))</f>
        <v>Siang</v>
      </c>
      <c r="L1065" s="2" t="n">
        <f aca="false">IF(A1065&lt;&gt;A1064,1,0)</f>
        <v>0</v>
      </c>
    </row>
    <row r="1066" customFormat="false" ht="15" hidden="false" customHeight="false" outlineLevel="0" collapsed="false">
      <c r="A1066" s="2" t="s">
        <v>1162</v>
      </c>
      <c r="B1066" s="13" t="n">
        <v>46279</v>
      </c>
      <c r="C1066" s="2" t="s">
        <v>126</v>
      </c>
      <c r="D1066" s="2" t="n">
        <v>1</v>
      </c>
      <c r="E1066" s="15" t="n">
        <v>0.49375</v>
      </c>
      <c r="F1066" s="7" t="n">
        <v>3000</v>
      </c>
      <c r="G1066" s="7" t="n">
        <f aca="false">D1066*F1066</f>
        <v>3000</v>
      </c>
      <c r="H1066" s="2" t="str">
        <f aca="false">INDEX(Daftar_Menu!$B$2:$B$13,MATCH(C1066,Daftar_Menu!$A$2:$A$13,0))</f>
        <v>Minuman</v>
      </c>
      <c r="I1066" s="2" t="str">
        <f aca="false">CHOOSE(WEEKDAY(B1066,2),"Senin","Selasa","Rabu","Kamis","Jumat","Sabtu","Minggu")</f>
        <v>Senin</v>
      </c>
      <c r="J1066" s="2" t="n">
        <f aca="false">HOUR(E1066)</f>
        <v>11</v>
      </c>
      <c r="K1066" s="2" t="str">
        <f aca="false">IF(J1066&lt;11,"Pagi",IF(J1066&lt;17,"Siang","Malam"))</f>
        <v>Siang</v>
      </c>
      <c r="L1066" s="2" t="n">
        <f aca="false">IF(A1066&lt;&gt;A1065,1,0)</f>
        <v>1</v>
      </c>
    </row>
    <row r="1067" customFormat="false" ht="15" hidden="false" customHeight="false" outlineLevel="0" collapsed="false">
      <c r="A1067" s="2" t="s">
        <v>1163</v>
      </c>
      <c r="B1067" s="13" t="n">
        <v>46279</v>
      </c>
      <c r="C1067" s="2" t="s">
        <v>79</v>
      </c>
      <c r="D1067" s="2" t="n">
        <v>1</v>
      </c>
      <c r="E1067" s="15" t="n">
        <v>0.5</v>
      </c>
      <c r="F1067" s="7" t="n">
        <v>16000</v>
      </c>
      <c r="G1067" s="7" t="n">
        <f aca="false">D1067*F1067</f>
        <v>16000</v>
      </c>
      <c r="H1067" s="2" t="str">
        <f aca="false">INDEX(Daftar_Menu!$B$2:$B$13,MATCH(C1067,Daftar_Menu!$A$2:$A$13,0))</f>
        <v>Makanan</v>
      </c>
      <c r="I1067" s="2" t="str">
        <f aca="false">CHOOSE(WEEKDAY(B1067,2),"Senin","Selasa","Rabu","Kamis","Jumat","Sabtu","Minggu")</f>
        <v>Senin</v>
      </c>
      <c r="J1067" s="2" t="n">
        <f aca="false">HOUR(E1067)</f>
        <v>12</v>
      </c>
      <c r="K1067" s="2" t="str">
        <f aca="false">IF(J1067&lt;11,"Pagi",IF(J1067&lt;17,"Siang","Malam"))</f>
        <v>Siang</v>
      </c>
      <c r="L1067" s="2" t="n">
        <f aca="false">IF(A1067&lt;&gt;A1066,1,0)</f>
        <v>1</v>
      </c>
    </row>
    <row r="1068" customFormat="false" ht="15" hidden="false" customHeight="false" outlineLevel="0" collapsed="false">
      <c r="A1068" s="2" t="s">
        <v>1163</v>
      </c>
      <c r="B1068" s="13" t="n">
        <v>46279</v>
      </c>
      <c r="C1068" s="2" t="s">
        <v>84</v>
      </c>
      <c r="D1068" s="2" t="n">
        <v>2</v>
      </c>
      <c r="E1068" s="15" t="n">
        <v>0.5</v>
      </c>
      <c r="F1068" s="7" t="n">
        <v>5000</v>
      </c>
      <c r="G1068" s="7" t="n">
        <f aca="false">D1068*F1068</f>
        <v>10000</v>
      </c>
      <c r="H1068" s="2" t="str">
        <f aca="false">INDEX(Daftar_Menu!$B$2:$B$13,MATCH(C1068,Daftar_Menu!$A$2:$A$13,0))</f>
        <v>Minuman</v>
      </c>
      <c r="I1068" s="2" t="str">
        <f aca="false">CHOOSE(WEEKDAY(B1068,2),"Senin","Selasa","Rabu","Kamis","Jumat","Sabtu","Minggu")</f>
        <v>Senin</v>
      </c>
      <c r="J1068" s="2" t="n">
        <f aca="false">HOUR(E1068)</f>
        <v>12</v>
      </c>
      <c r="K1068" s="2" t="str">
        <f aca="false">IF(J1068&lt;11,"Pagi",IF(J1068&lt;17,"Siang","Malam"))</f>
        <v>Siang</v>
      </c>
      <c r="L1068" s="2" t="n">
        <f aca="false">IF(A1068&lt;&gt;A1067,1,0)</f>
        <v>0</v>
      </c>
    </row>
    <row r="1069" customFormat="false" ht="15" hidden="false" customHeight="false" outlineLevel="0" collapsed="false">
      <c r="A1069" s="2" t="s">
        <v>1163</v>
      </c>
      <c r="B1069" s="13" t="n">
        <v>46279</v>
      </c>
      <c r="C1069" s="2" t="s">
        <v>186</v>
      </c>
      <c r="D1069" s="2" t="n">
        <v>1</v>
      </c>
      <c r="E1069" s="15" t="n">
        <v>0.5</v>
      </c>
      <c r="F1069" s="7" t="n">
        <v>7000</v>
      </c>
      <c r="G1069" s="7" t="n">
        <f aca="false">D1069*F1069</f>
        <v>7000</v>
      </c>
      <c r="H1069" s="2" t="str">
        <f aca="false">INDEX(Daftar_Menu!$B$2:$B$13,MATCH(C1069,Daftar_Menu!$A$2:$A$13,0))</f>
        <v>Minuman</v>
      </c>
      <c r="I1069" s="2" t="str">
        <f aca="false">CHOOSE(WEEKDAY(B1069,2),"Senin","Selasa","Rabu","Kamis","Jumat","Sabtu","Minggu")</f>
        <v>Senin</v>
      </c>
      <c r="J1069" s="2" t="n">
        <f aca="false">HOUR(E1069)</f>
        <v>12</v>
      </c>
      <c r="K1069" s="2" t="str">
        <f aca="false">IF(J1069&lt;11,"Pagi",IF(J1069&lt;17,"Siang","Malam"))</f>
        <v>Siang</v>
      </c>
      <c r="L1069" s="2" t="n">
        <f aca="false">IF(A1069&lt;&gt;A1068,1,0)</f>
        <v>0</v>
      </c>
    </row>
    <row r="1070" customFormat="false" ht="15" hidden="false" customHeight="false" outlineLevel="0" collapsed="false">
      <c r="A1070" s="2" t="s">
        <v>1164</v>
      </c>
      <c r="B1070" s="13" t="n">
        <v>46279</v>
      </c>
      <c r="C1070" s="2" t="s">
        <v>101</v>
      </c>
      <c r="D1070" s="2" t="n">
        <v>1</v>
      </c>
      <c r="E1070" s="15" t="n">
        <v>0.504166666666667</v>
      </c>
      <c r="F1070" s="7" t="n">
        <v>18000</v>
      </c>
      <c r="G1070" s="7" t="n">
        <f aca="false">D1070*F1070</f>
        <v>18000</v>
      </c>
      <c r="H1070" s="2" t="str">
        <f aca="false">INDEX(Daftar_Menu!$B$2:$B$13,MATCH(C1070,Daftar_Menu!$A$2:$A$13,0))</f>
        <v>Makanan</v>
      </c>
      <c r="I1070" s="2" t="str">
        <f aca="false">CHOOSE(WEEKDAY(B1070,2),"Senin","Selasa","Rabu","Kamis","Jumat","Sabtu","Minggu")</f>
        <v>Senin</v>
      </c>
      <c r="J1070" s="2" t="n">
        <f aca="false">HOUR(E1070)</f>
        <v>12</v>
      </c>
      <c r="K1070" s="2" t="str">
        <f aca="false">IF(J1070&lt;11,"Pagi",IF(J1070&lt;17,"Siang","Malam"))</f>
        <v>Siang</v>
      </c>
      <c r="L1070" s="2" t="n">
        <f aca="false">IF(A1070&lt;&gt;A1069,1,0)</f>
        <v>1</v>
      </c>
    </row>
    <row r="1071" customFormat="false" ht="15" hidden="false" customHeight="false" outlineLevel="0" collapsed="false">
      <c r="A1071" s="2" t="s">
        <v>1165</v>
      </c>
      <c r="B1071" s="13" t="n">
        <v>46279</v>
      </c>
      <c r="C1071" s="2" t="s">
        <v>84</v>
      </c>
      <c r="D1071" s="2" t="n">
        <v>1</v>
      </c>
      <c r="E1071" s="15" t="n">
        <v>0.507638888888889</v>
      </c>
      <c r="F1071" s="7" t="n">
        <v>5000</v>
      </c>
      <c r="G1071" s="7" t="n">
        <f aca="false">D1071*F1071</f>
        <v>5000</v>
      </c>
      <c r="H1071" s="2" t="str">
        <f aca="false">INDEX(Daftar_Menu!$B$2:$B$13,MATCH(C1071,Daftar_Menu!$A$2:$A$13,0))</f>
        <v>Minuman</v>
      </c>
      <c r="I1071" s="2" t="str">
        <f aca="false">CHOOSE(WEEKDAY(B1071,2),"Senin","Selasa","Rabu","Kamis","Jumat","Sabtu","Minggu")</f>
        <v>Senin</v>
      </c>
      <c r="J1071" s="2" t="n">
        <f aca="false">HOUR(E1071)</f>
        <v>12</v>
      </c>
      <c r="K1071" s="2" t="str">
        <f aca="false">IF(J1071&lt;11,"Pagi",IF(J1071&lt;17,"Siang","Malam"))</f>
        <v>Siang</v>
      </c>
      <c r="L1071" s="2" t="n">
        <f aca="false">IF(A1071&lt;&gt;A1070,1,0)</f>
        <v>1</v>
      </c>
    </row>
    <row r="1072" customFormat="false" ht="15" hidden="false" customHeight="false" outlineLevel="0" collapsed="false">
      <c r="A1072" s="2" t="s">
        <v>1166</v>
      </c>
      <c r="B1072" s="13" t="n">
        <v>46279</v>
      </c>
      <c r="C1072" s="2" t="s">
        <v>112</v>
      </c>
      <c r="D1072" s="2" t="n">
        <v>1</v>
      </c>
      <c r="E1072" s="15" t="n">
        <v>0.519444444444445</v>
      </c>
      <c r="F1072" s="7" t="n">
        <v>10000</v>
      </c>
      <c r="G1072" s="7" t="n">
        <f aca="false">D1072*F1072</f>
        <v>10000</v>
      </c>
      <c r="H1072" s="2" t="str">
        <f aca="false">INDEX(Daftar_Menu!$B$2:$B$13,MATCH(C1072,Daftar_Menu!$A$2:$A$13,0))</f>
        <v>Minuman</v>
      </c>
      <c r="I1072" s="2" t="str">
        <f aca="false">CHOOSE(WEEKDAY(B1072,2),"Senin","Selasa","Rabu","Kamis","Jumat","Sabtu","Minggu")</f>
        <v>Senin</v>
      </c>
      <c r="J1072" s="2" t="n">
        <f aca="false">HOUR(E1072)</f>
        <v>12</v>
      </c>
      <c r="K1072" s="2" t="str">
        <f aca="false">IF(J1072&lt;11,"Pagi",IF(J1072&lt;17,"Siang","Malam"))</f>
        <v>Siang</v>
      </c>
      <c r="L1072" s="2" t="n">
        <f aca="false">IF(A1072&lt;&gt;A1071,1,0)</f>
        <v>1</v>
      </c>
    </row>
    <row r="1073" customFormat="false" ht="15" hidden="false" customHeight="false" outlineLevel="0" collapsed="false">
      <c r="A1073" s="2" t="s">
        <v>1167</v>
      </c>
      <c r="B1073" s="13" t="n">
        <v>46279</v>
      </c>
      <c r="C1073" s="2" t="s">
        <v>79</v>
      </c>
      <c r="D1073" s="2" t="n">
        <v>1</v>
      </c>
      <c r="E1073" s="15" t="n">
        <v>0.532638888888889</v>
      </c>
      <c r="F1073" s="7" t="n">
        <v>16000</v>
      </c>
      <c r="G1073" s="7" t="n">
        <f aca="false">D1073*F1073</f>
        <v>16000</v>
      </c>
      <c r="H1073" s="2" t="str">
        <f aca="false">INDEX(Daftar_Menu!$B$2:$B$13,MATCH(C1073,Daftar_Menu!$A$2:$A$13,0))</f>
        <v>Makanan</v>
      </c>
      <c r="I1073" s="2" t="str">
        <f aca="false">CHOOSE(WEEKDAY(B1073,2),"Senin","Selasa","Rabu","Kamis","Jumat","Sabtu","Minggu")</f>
        <v>Senin</v>
      </c>
      <c r="J1073" s="2" t="n">
        <f aca="false">HOUR(E1073)</f>
        <v>12</v>
      </c>
      <c r="K1073" s="2" t="str">
        <f aca="false">IF(J1073&lt;11,"Pagi",IF(J1073&lt;17,"Siang","Malam"))</f>
        <v>Siang</v>
      </c>
      <c r="L1073" s="2" t="n">
        <f aca="false">IF(A1073&lt;&gt;A1072,1,0)</f>
        <v>1</v>
      </c>
    </row>
    <row r="1074" customFormat="false" ht="15" hidden="false" customHeight="false" outlineLevel="0" collapsed="false">
      <c r="A1074" s="2" t="s">
        <v>1167</v>
      </c>
      <c r="B1074" s="13" t="n">
        <v>46279</v>
      </c>
      <c r="C1074" s="2" t="s">
        <v>81</v>
      </c>
      <c r="D1074" s="2" t="n">
        <v>1</v>
      </c>
      <c r="E1074" s="15" t="n">
        <v>0.532638888888889</v>
      </c>
      <c r="F1074" s="7" t="n">
        <v>15000</v>
      </c>
      <c r="G1074" s="7" t="n">
        <f aca="false">D1074*F1074</f>
        <v>15000</v>
      </c>
      <c r="H1074" s="2" t="str">
        <f aca="false">INDEX(Daftar_Menu!$B$2:$B$13,MATCH(C1074,Daftar_Menu!$A$2:$A$13,0))</f>
        <v>Makanan</v>
      </c>
      <c r="I1074" s="2" t="str">
        <f aca="false">CHOOSE(WEEKDAY(B1074,2),"Senin","Selasa","Rabu","Kamis","Jumat","Sabtu","Minggu")</f>
        <v>Senin</v>
      </c>
      <c r="J1074" s="2" t="n">
        <f aca="false">HOUR(E1074)</f>
        <v>12</v>
      </c>
      <c r="K1074" s="2" t="str">
        <f aca="false">IF(J1074&lt;11,"Pagi",IF(J1074&lt;17,"Siang","Malam"))</f>
        <v>Siang</v>
      </c>
      <c r="L1074" s="2" t="n">
        <f aca="false">IF(A1074&lt;&gt;A1073,1,0)</f>
        <v>0</v>
      </c>
    </row>
    <row r="1075" customFormat="false" ht="15" hidden="false" customHeight="false" outlineLevel="0" collapsed="false">
      <c r="A1075" s="2" t="s">
        <v>1168</v>
      </c>
      <c r="B1075" s="13" t="n">
        <v>46279</v>
      </c>
      <c r="C1075" s="2" t="s">
        <v>132</v>
      </c>
      <c r="D1075" s="2" t="n">
        <v>1</v>
      </c>
      <c r="E1075" s="15" t="n">
        <v>0.534027777777778</v>
      </c>
      <c r="F1075" s="7" t="n">
        <v>15000</v>
      </c>
      <c r="G1075" s="7" t="n">
        <f aca="false">D1075*F1075</f>
        <v>15000</v>
      </c>
      <c r="H1075" s="2" t="str">
        <f aca="false">INDEX(Daftar_Menu!$B$2:$B$13,MATCH(C1075,Daftar_Menu!$A$2:$A$13,0))</f>
        <v>Makanan</v>
      </c>
      <c r="I1075" s="2" t="str">
        <f aca="false">CHOOSE(WEEKDAY(B1075,2),"Senin","Selasa","Rabu","Kamis","Jumat","Sabtu","Minggu")</f>
        <v>Senin</v>
      </c>
      <c r="J1075" s="2" t="n">
        <f aca="false">HOUR(E1075)</f>
        <v>12</v>
      </c>
      <c r="K1075" s="2" t="str">
        <f aca="false">IF(J1075&lt;11,"Pagi",IF(J1075&lt;17,"Siang","Malam"))</f>
        <v>Siang</v>
      </c>
      <c r="L1075" s="2" t="n">
        <f aca="false">IF(A1075&lt;&gt;A1074,1,0)</f>
        <v>1</v>
      </c>
    </row>
    <row r="1076" customFormat="false" ht="15" hidden="false" customHeight="false" outlineLevel="0" collapsed="false">
      <c r="A1076" s="2" t="s">
        <v>1169</v>
      </c>
      <c r="B1076" s="13" t="n">
        <v>46279</v>
      </c>
      <c r="C1076" s="2" t="s">
        <v>79</v>
      </c>
      <c r="D1076" s="2" t="n">
        <v>2</v>
      </c>
      <c r="E1076" s="15" t="n">
        <v>0.5375</v>
      </c>
      <c r="F1076" s="7" t="n">
        <v>16000</v>
      </c>
      <c r="G1076" s="7" t="n">
        <f aca="false">D1076*F1076</f>
        <v>32000</v>
      </c>
      <c r="H1076" s="2" t="str">
        <f aca="false">INDEX(Daftar_Menu!$B$2:$B$13,MATCH(C1076,Daftar_Menu!$A$2:$A$13,0))</f>
        <v>Makanan</v>
      </c>
      <c r="I1076" s="2" t="str">
        <f aca="false">CHOOSE(WEEKDAY(B1076,2),"Senin","Selasa","Rabu","Kamis","Jumat","Sabtu","Minggu")</f>
        <v>Senin</v>
      </c>
      <c r="J1076" s="2" t="n">
        <f aca="false">HOUR(E1076)</f>
        <v>12</v>
      </c>
      <c r="K1076" s="2" t="str">
        <f aca="false">IF(J1076&lt;11,"Pagi",IF(J1076&lt;17,"Siang","Malam"))</f>
        <v>Siang</v>
      </c>
      <c r="L1076" s="2" t="n">
        <f aca="false">IF(A1076&lt;&gt;A1075,1,0)</f>
        <v>1</v>
      </c>
    </row>
    <row r="1077" customFormat="false" ht="15" hidden="false" customHeight="false" outlineLevel="0" collapsed="false">
      <c r="A1077" s="2" t="s">
        <v>1169</v>
      </c>
      <c r="B1077" s="13" t="n">
        <v>46279</v>
      </c>
      <c r="C1077" s="2" t="s">
        <v>108</v>
      </c>
      <c r="D1077" s="2" t="n">
        <v>1</v>
      </c>
      <c r="E1077" s="15" t="n">
        <v>0.5375</v>
      </c>
      <c r="F1077" s="7" t="n">
        <v>20000</v>
      </c>
      <c r="G1077" s="7" t="n">
        <f aca="false">D1077*F1077</f>
        <v>20000</v>
      </c>
      <c r="H1077" s="2" t="str">
        <f aca="false">INDEX(Daftar_Menu!$B$2:$B$13,MATCH(C1077,Daftar_Menu!$A$2:$A$13,0))</f>
        <v>Makanan</v>
      </c>
      <c r="I1077" s="2" t="str">
        <f aca="false">CHOOSE(WEEKDAY(B1077,2),"Senin","Selasa","Rabu","Kamis","Jumat","Sabtu","Minggu")</f>
        <v>Senin</v>
      </c>
      <c r="J1077" s="2" t="n">
        <f aca="false">HOUR(E1077)</f>
        <v>12</v>
      </c>
      <c r="K1077" s="2" t="str">
        <f aca="false">IF(J1077&lt;11,"Pagi",IF(J1077&lt;17,"Siang","Malam"))</f>
        <v>Siang</v>
      </c>
      <c r="L1077" s="2" t="n">
        <f aca="false">IF(A1077&lt;&gt;A1076,1,0)</f>
        <v>0</v>
      </c>
    </row>
    <row r="1078" customFormat="false" ht="15" hidden="false" customHeight="false" outlineLevel="0" collapsed="false">
      <c r="A1078" s="2" t="s">
        <v>1170</v>
      </c>
      <c r="B1078" s="13" t="n">
        <v>46279</v>
      </c>
      <c r="C1078" s="2" t="s">
        <v>132</v>
      </c>
      <c r="D1078" s="2" t="n">
        <v>2</v>
      </c>
      <c r="E1078" s="15" t="n">
        <v>0.54375</v>
      </c>
      <c r="F1078" s="7" t="n">
        <v>15000</v>
      </c>
      <c r="G1078" s="7" t="n">
        <f aca="false">D1078*F1078</f>
        <v>30000</v>
      </c>
      <c r="H1078" s="2" t="str">
        <f aca="false">INDEX(Daftar_Menu!$B$2:$B$13,MATCH(C1078,Daftar_Menu!$A$2:$A$13,0))</f>
        <v>Makanan</v>
      </c>
      <c r="I1078" s="2" t="str">
        <f aca="false">CHOOSE(WEEKDAY(B1078,2),"Senin","Selasa","Rabu","Kamis","Jumat","Sabtu","Minggu")</f>
        <v>Senin</v>
      </c>
      <c r="J1078" s="2" t="n">
        <f aca="false">HOUR(E1078)</f>
        <v>13</v>
      </c>
      <c r="K1078" s="2" t="str">
        <f aca="false">IF(J1078&lt;11,"Pagi",IF(J1078&lt;17,"Siang","Malam"))</f>
        <v>Siang</v>
      </c>
      <c r="L1078" s="2" t="n">
        <f aca="false">IF(A1078&lt;&gt;A1077,1,0)</f>
        <v>1</v>
      </c>
    </row>
    <row r="1079" customFormat="false" ht="15" hidden="false" customHeight="false" outlineLevel="0" collapsed="false">
      <c r="A1079" s="2" t="s">
        <v>1172</v>
      </c>
      <c r="B1079" s="13" t="n">
        <v>46279</v>
      </c>
      <c r="C1079" s="2" t="s">
        <v>101</v>
      </c>
      <c r="D1079" s="2" t="n">
        <v>1</v>
      </c>
      <c r="E1079" s="15" t="n">
        <v>0.544444444444444</v>
      </c>
      <c r="F1079" s="7" t="n">
        <v>18000</v>
      </c>
      <c r="G1079" s="7" t="n">
        <f aca="false">D1079*F1079</f>
        <v>18000</v>
      </c>
      <c r="H1079" s="2" t="str">
        <f aca="false">INDEX(Daftar_Menu!$B$2:$B$13,MATCH(C1079,Daftar_Menu!$A$2:$A$13,0))</f>
        <v>Makanan</v>
      </c>
      <c r="I1079" s="2" t="str">
        <f aca="false">CHOOSE(WEEKDAY(B1079,2),"Senin","Selasa","Rabu","Kamis","Jumat","Sabtu","Minggu")</f>
        <v>Senin</v>
      </c>
      <c r="J1079" s="2" t="n">
        <f aca="false">HOUR(E1079)</f>
        <v>13</v>
      </c>
      <c r="K1079" s="2" t="str">
        <f aca="false">IF(J1079&lt;11,"Pagi",IF(J1079&lt;17,"Siang","Malam"))</f>
        <v>Siang</v>
      </c>
      <c r="L1079" s="2" t="n">
        <f aca="false">IF(A1079&lt;&gt;A1078,1,0)</f>
        <v>1</v>
      </c>
    </row>
    <row r="1080" customFormat="false" ht="15" hidden="false" customHeight="false" outlineLevel="0" collapsed="false">
      <c r="A1080" s="2" t="s">
        <v>1174</v>
      </c>
      <c r="B1080" s="13" t="n">
        <v>46279</v>
      </c>
      <c r="C1080" s="2" t="s">
        <v>84</v>
      </c>
      <c r="D1080" s="2" t="n">
        <v>2</v>
      </c>
      <c r="E1080" s="15" t="n">
        <v>0.548611111111111</v>
      </c>
      <c r="F1080" s="7" t="n">
        <v>5000</v>
      </c>
      <c r="G1080" s="7" t="n">
        <f aca="false">D1080*F1080</f>
        <v>10000</v>
      </c>
      <c r="H1080" s="2" t="str">
        <f aca="false">INDEX(Daftar_Menu!$B$2:$B$13,MATCH(C1080,Daftar_Menu!$A$2:$A$13,0))</f>
        <v>Minuman</v>
      </c>
      <c r="I1080" s="2" t="str">
        <f aca="false">CHOOSE(WEEKDAY(B1080,2),"Senin","Selasa","Rabu","Kamis","Jumat","Sabtu","Minggu")</f>
        <v>Senin</v>
      </c>
      <c r="J1080" s="2" t="n">
        <f aca="false">HOUR(E1080)</f>
        <v>13</v>
      </c>
      <c r="K1080" s="2" t="str">
        <f aca="false">IF(J1080&lt;11,"Pagi",IF(J1080&lt;17,"Siang","Malam"))</f>
        <v>Siang</v>
      </c>
      <c r="L1080" s="2" t="n">
        <f aca="false">IF(A1080&lt;&gt;A1079,1,0)</f>
        <v>1</v>
      </c>
    </row>
    <row r="1081" customFormat="false" ht="15" hidden="false" customHeight="false" outlineLevel="0" collapsed="false">
      <c r="A1081" s="2" t="s">
        <v>1175</v>
      </c>
      <c r="B1081" s="13" t="n">
        <v>46279</v>
      </c>
      <c r="C1081" s="2" t="s">
        <v>112</v>
      </c>
      <c r="D1081" s="2" t="n">
        <v>1</v>
      </c>
      <c r="E1081" s="15" t="n">
        <v>0.555555555555556</v>
      </c>
      <c r="F1081" s="7" t="n">
        <v>10000</v>
      </c>
      <c r="G1081" s="7" t="n">
        <f aca="false">D1081*F1081</f>
        <v>10000</v>
      </c>
      <c r="H1081" s="2" t="str">
        <f aca="false">INDEX(Daftar_Menu!$B$2:$B$13,MATCH(C1081,Daftar_Menu!$A$2:$A$13,0))</f>
        <v>Minuman</v>
      </c>
      <c r="I1081" s="2" t="str">
        <f aca="false">CHOOSE(WEEKDAY(B1081,2),"Senin","Selasa","Rabu","Kamis","Jumat","Sabtu","Minggu")</f>
        <v>Senin</v>
      </c>
      <c r="J1081" s="2" t="n">
        <f aca="false">HOUR(E1081)</f>
        <v>13</v>
      </c>
      <c r="K1081" s="2" t="str">
        <f aca="false">IF(J1081&lt;11,"Pagi",IF(J1081&lt;17,"Siang","Malam"))</f>
        <v>Siang</v>
      </c>
      <c r="L1081" s="2" t="n">
        <f aca="false">IF(A1081&lt;&gt;A1080,1,0)</f>
        <v>1</v>
      </c>
    </row>
    <row r="1082" customFormat="false" ht="15" hidden="false" customHeight="false" outlineLevel="0" collapsed="false">
      <c r="A1082" s="2" t="s">
        <v>1176</v>
      </c>
      <c r="B1082" s="13" t="n">
        <v>46279</v>
      </c>
      <c r="C1082" s="2" t="s">
        <v>84</v>
      </c>
      <c r="D1082" s="2" t="n">
        <v>1</v>
      </c>
      <c r="E1082" s="15" t="n">
        <v>0.556944444444445</v>
      </c>
      <c r="F1082" s="7" t="n">
        <v>5000</v>
      </c>
      <c r="G1082" s="7" t="n">
        <f aca="false">D1082*F1082</f>
        <v>5000</v>
      </c>
      <c r="H1082" s="2" t="str">
        <f aca="false">INDEX(Daftar_Menu!$B$2:$B$13,MATCH(C1082,Daftar_Menu!$A$2:$A$13,0))</f>
        <v>Minuman</v>
      </c>
      <c r="I1082" s="2" t="str">
        <f aca="false">CHOOSE(WEEKDAY(B1082,2),"Senin","Selasa","Rabu","Kamis","Jumat","Sabtu","Minggu")</f>
        <v>Senin</v>
      </c>
      <c r="J1082" s="2" t="n">
        <f aca="false">HOUR(E1082)</f>
        <v>13</v>
      </c>
      <c r="K1082" s="2" t="str">
        <f aca="false">IF(J1082&lt;11,"Pagi",IF(J1082&lt;17,"Siang","Malam"))</f>
        <v>Siang</v>
      </c>
      <c r="L1082" s="2" t="n">
        <f aca="false">IF(A1082&lt;&gt;A1081,1,0)</f>
        <v>1</v>
      </c>
    </row>
    <row r="1083" customFormat="false" ht="15" hidden="false" customHeight="false" outlineLevel="0" collapsed="false">
      <c r="A1083" s="2" t="s">
        <v>1176</v>
      </c>
      <c r="B1083" s="13" t="n">
        <v>46279</v>
      </c>
      <c r="C1083" s="2" t="s">
        <v>186</v>
      </c>
      <c r="D1083" s="2" t="n">
        <v>2</v>
      </c>
      <c r="E1083" s="15" t="n">
        <v>0.556944444444445</v>
      </c>
      <c r="F1083" s="7" t="n">
        <v>7000</v>
      </c>
      <c r="G1083" s="7" t="n">
        <f aca="false">D1083*F1083</f>
        <v>14000</v>
      </c>
      <c r="H1083" s="2" t="str">
        <f aca="false">INDEX(Daftar_Menu!$B$2:$B$13,MATCH(C1083,Daftar_Menu!$A$2:$A$13,0))</f>
        <v>Minuman</v>
      </c>
      <c r="I1083" s="2" t="str">
        <f aca="false">CHOOSE(WEEKDAY(B1083,2),"Senin","Selasa","Rabu","Kamis","Jumat","Sabtu","Minggu")</f>
        <v>Senin</v>
      </c>
      <c r="J1083" s="2" t="n">
        <f aca="false">HOUR(E1083)</f>
        <v>13</v>
      </c>
      <c r="K1083" s="2" t="str">
        <f aca="false">IF(J1083&lt;11,"Pagi",IF(J1083&lt;17,"Siang","Malam"))</f>
        <v>Siang</v>
      </c>
      <c r="L1083" s="2" t="n">
        <f aca="false">IF(A1083&lt;&gt;A1082,1,0)</f>
        <v>0</v>
      </c>
    </row>
    <row r="1084" customFormat="false" ht="15" hidden="false" customHeight="false" outlineLevel="0" collapsed="false">
      <c r="A1084" s="2" t="s">
        <v>1177</v>
      </c>
      <c r="B1084" s="13" t="n">
        <v>46279</v>
      </c>
      <c r="C1084" s="2" t="s">
        <v>81</v>
      </c>
      <c r="D1084" s="2" t="n">
        <v>1</v>
      </c>
      <c r="E1084" s="15" t="n">
        <v>0.560416666666667</v>
      </c>
      <c r="F1084" s="7" t="n">
        <v>15000</v>
      </c>
      <c r="G1084" s="7" t="n">
        <f aca="false">D1084*F1084</f>
        <v>15000</v>
      </c>
      <c r="H1084" s="2" t="str">
        <f aca="false">INDEX(Daftar_Menu!$B$2:$B$13,MATCH(C1084,Daftar_Menu!$A$2:$A$13,0))</f>
        <v>Makanan</v>
      </c>
      <c r="I1084" s="2" t="str">
        <f aca="false">CHOOSE(WEEKDAY(B1084,2),"Senin","Selasa","Rabu","Kamis","Jumat","Sabtu","Minggu")</f>
        <v>Senin</v>
      </c>
      <c r="J1084" s="2" t="n">
        <f aca="false">HOUR(E1084)</f>
        <v>13</v>
      </c>
      <c r="K1084" s="2" t="str">
        <f aca="false">IF(J1084&lt;11,"Pagi",IF(J1084&lt;17,"Siang","Malam"))</f>
        <v>Siang</v>
      </c>
      <c r="L1084" s="2" t="n">
        <f aca="false">IF(A1084&lt;&gt;A1083,1,0)</f>
        <v>1</v>
      </c>
    </row>
    <row r="1085" customFormat="false" ht="15" hidden="false" customHeight="false" outlineLevel="0" collapsed="false">
      <c r="A1085" s="2" t="s">
        <v>1177</v>
      </c>
      <c r="B1085" s="13" t="n">
        <v>46279</v>
      </c>
      <c r="C1085" s="2" t="s">
        <v>84</v>
      </c>
      <c r="D1085" s="2" t="n">
        <v>1</v>
      </c>
      <c r="E1085" s="15" t="n">
        <v>0.560416666666667</v>
      </c>
      <c r="F1085" s="7" t="n">
        <v>5000</v>
      </c>
      <c r="G1085" s="7" t="n">
        <f aca="false">D1085*F1085</f>
        <v>5000</v>
      </c>
      <c r="H1085" s="2" t="str">
        <f aca="false">INDEX(Daftar_Menu!$B$2:$B$13,MATCH(C1085,Daftar_Menu!$A$2:$A$13,0))</f>
        <v>Minuman</v>
      </c>
      <c r="I1085" s="2" t="str">
        <f aca="false">CHOOSE(WEEKDAY(B1085,2),"Senin","Selasa","Rabu","Kamis","Jumat","Sabtu","Minggu")</f>
        <v>Senin</v>
      </c>
      <c r="J1085" s="2" t="n">
        <f aca="false">HOUR(E1085)</f>
        <v>13</v>
      </c>
      <c r="K1085" s="2" t="str">
        <f aca="false">IF(J1085&lt;11,"Pagi",IF(J1085&lt;17,"Siang","Malam"))</f>
        <v>Siang</v>
      </c>
      <c r="L1085" s="2" t="n">
        <f aca="false">IF(A1085&lt;&gt;A1084,1,0)</f>
        <v>0</v>
      </c>
    </row>
    <row r="1086" customFormat="false" ht="15" hidden="false" customHeight="false" outlineLevel="0" collapsed="false">
      <c r="A1086" s="2" t="s">
        <v>1178</v>
      </c>
      <c r="B1086" s="13" t="n">
        <v>46279</v>
      </c>
      <c r="C1086" s="2" t="s">
        <v>79</v>
      </c>
      <c r="D1086" s="2" t="n">
        <v>1</v>
      </c>
      <c r="E1086" s="15" t="n">
        <v>0.570138888888889</v>
      </c>
      <c r="F1086" s="7" t="n">
        <v>16000</v>
      </c>
      <c r="G1086" s="7" t="n">
        <f aca="false">D1086*F1086</f>
        <v>16000</v>
      </c>
      <c r="H1086" s="2" t="str">
        <f aca="false">INDEX(Daftar_Menu!$B$2:$B$13,MATCH(C1086,Daftar_Menu!$A$2:$A$13,0))</f>
        <v>Makanan</v>
      </c>
      <c r="I1086" s="2" t="str">
        <f aca="false">CHOOSE(WEEKDAY(B1086,2),"Senin","Selasa","Rabu","Kamis","Jumat","Sabtu","Minggu")</f>
        <v>Senin</v>
      </c>
      <c r="J1086" s="2" t="n">
        <f aca="false">HOUR(E1086)</f>
        <v>13</v>
      </c>
      <c r="K1086" s="2" t="str">
        <f aca="false">IF(J1086&lt;11,"Pagi",IF(J1086&lt;17,"Siang","Malam"))</f>
        <v>Siang</v>
      </c>
      <c r="L1086" s="2" t="n">
        <f aca="false">IF(A1086&lt;&gt;A1085,1,0)</f>
        <v>1</v>
      </c>
    </row>
    <row r="1087" customFormat="false" ht="15" hidden="false" customHeight="false" outlineLevel="0" collapsed="false">
      <c r="A1087" s="2" t="s">
        <v>1178</v>
      </c>
      <c r="B1087" s="13" t="n">
        <v>46279</v>
      </c>
      <c r="C1087" s="2" t="s">
        <v>84</v>
      </c>
      <c r="D1087" s="2" t="n">
        <v>1</v>
      </c>
      <c r="E1087" s="15" t="n">
        <v>0.570138888888889</v>
      </c>
      <c r="F1087" s="7" t="n">
        <v>5000</v>
      </c>
      <c r="G1087" s="7" t="n">
        <f aca="false">D1087*F1087</f>
        <v>5000</v>
      </c>
      <c r="H1087" s="2" t="str">
        <f aca="false">INDEX(Daftar_Menu!$B$2:$B$13,MATCH(C1087,Daftar_Menu!$A$2:$A$13,0))</f>
        <v>Minuman</v>
      </c>
      <c r="I1087" s="2" t="str">
        <f aca="false">CHOOSE(WEEKDAY(B1087,2),"Senin","Selasa","Rabu","Kamis","Jumat","Sabtu","Minggu")</f>
        <v>Senin</v>
      </c>
      <c r="J1087" s="2" t="n">
        <f aca="false">HOUR(E1087)</f>
        <v>13</v>
      </c>
      <c r="K1087" s="2" t="str">
        <f aca="false">IF(J1087&lt;11,"Pagi",IF(J1087&lt;17,"Siang","Malam"))</f>
        <v>Siang</v>
      </c>
      <c r="L1087" s="2" t="n">
        <f aca="false">IF(A1087&lt;&gt;A1086,1,0)</f>
        <v>0</v>
      </c>
    </row>
    <row r="1088" customFormat="false" ht="15" hidden="false" customHeight="false" outlineLevel="0" collapsed="false">
      <c r="A1088" s="2" t="s">
        <v>1179</v>
      </c>
      <c r="B1088" s="13" t="n">
        <v>46279</v>
      </c>
      <c r="C1088" s="2" t="s">
        <v>81</v>
      </c>
      <c r="D1088" s="2" t="n">
        <v>2</v>
      </c>
      <c r="E1088" s="15" t="n">
        <v>0.575</v>
      </c>
      <c r="F1088" s="7" t="n">
        <v>15000</v>
      </c>
      <c r="G1088" s="7" t="n">
        <f aca="false">D1088*F1088</f>
        <v>30000</v>
      </c>
      <c r="H1088" s="2" t="str">
        <f aca="false">INDEX(Daftar_Menu!$B$2:$B$13,MATCH(C1088,Daftar_Menu!$A$2:$A$13,0))</f>
        <v>Makanan</v>
      </c>
      <c r="I1088" s="2" t="str">
        <f aca="false">CHOOSE(WEEKDAY(B1088,2),"Senin","Selasa","Rabu","Kamis","Jumat","Sabtu","Minggu")</f>
        <v>Senin</v>
      </c>
      <c r="J1088" s="2" t="n">
        <f aca="false">HOUR(E1088)</f>
        <v>13</v>
      </c>
      <c r="K1088" s="2" t="str">
        <f aca="false">IF(J1088&lt;11,"Pagi",IF(J1088&lt;17,"Siang","Malam"))</f>
        <v>Siang</v>
      </c>
      <c r="L1088" s="2" t="n">
        <f aca="false">IF(A1088&lt;&gt;A1087,1,0)</f>
        <v>1</v>
      </c>
    </row>
    <row r="1089" customFormat="false" ht="15" hidden="false" customHeight="false" outlineLevel="0" collapsed="false">
      <c r="A1089" s="2" t="s">
        <v>1179</v>
      </c>
      <c r="B1089" s="13" t="n">
        <v>46279</v>
      </c>
      <c r="C1089" s="2" t="s">
        <v>132</v>
      </c>
      <c r="D1089" s="2" t="n">
        <v>2</v>
      </c>
      <c r="E1089" s="15" t="n">
        <v>0.575</v>
      </c>
      <c r="F1089" s="7" t="n">
        <v>15000</v>
      </c>
      <c r="G1089" s="7" t="n">
        <f aca="false">D1089*F1089</f>
        <v>30000</v>
      </c>
      <c r="H1089" s="2" t="str">
        <f aca="false">INDEX(Daftar_Menu!$B$2:$B$13,MATCH(C1089,Daftar_Menu!$A$2:$A$13,0))</f>
        <v>Makanan</v>
      </c>
      <c r="I1089" s="2" t="str">
        <f aca="false">CHOOSE(WEEKDAY(B1089,2),"Senin","Selasa","Rabu","Kamis","Jumat","Sabtu","Minggu")</f>
        <v>Senin</v>
      </c>
      <c r="J1089" s="2" t="n">
        <f aca="false">HOUR(E1089)</f>
        <v>13</v>
      </c>
      <c r="K1089" s="2" t="str">
        <f aca="false">IF(J1089&lt;11,"Pagi",IF(J1089&lt;17,"Siang","Malam"))</f>
        <v>Siang</v>
      </c>
      <c r="L1089" s="2" t="n">
        <f aca="false">IF(A1089&lt;&gt;A1088,1,0)</f>
        <v>0</v>
      </c>
    </row>
    <row r="1090" customFormat="false" ht="15" hidden="false" customHeight="false" outlineLevel="0" collapsed="false">
      <c r="A1090" s="2" t="s">
        <v>1181</v>
      </c>
      <c r="B1090" s="13" t="n">
        <v>46279</v>
      </c>
      <c r="C1090" s="2" t="s">
        <v>89</v>
      </c>
      <c r="D1090" s="2" t="n">
        <v>1</v>
      </c>
      <c r="E1090" s="15" t="n">
        <v>0.620833333333333</v>
      </c>
      <c r="F1090" s="7" t="n">
        <v>14000</v>
      </c>
      <c r="G1090" s="7" t="n">
        <f aca="false">D1090*F1090</f>
        <v>14000</v>
      </c>
      <c r="H1090" s="2" t="str">
        <f aca="false">INDEX(Daftar_Menu!$B$2:$B$13,MATCH(C1090,Daftar_Menu!$A$2:$A$13,0))</f>
        <v>Makanan</v>
      </c>
      <c r="I1090" s="2" t="str">
        <f aca="false">CHOOSE(WEEKDAY(B1090,2),"Senin","Selasa","Rabu","Kamis","Jumat","Sabtu","Minggu")</f>
        <v>Senin</v>
      </c>
      <c r="J1090" s="2" t="n">
        <f aca="false">HOUR(E1090)</f>
        <v>14</v>
      </c>
      <c r="K1090" s="2" t="str">
        <f aca="false">IF(J1090&lt;11,"Pagi",IF(J1090&lt;17,"Siang","Malam"))</f>
        <v>Siang</v>
      </c>
      <c r="L1090" s="2" t="n">
        <f aca="false">IF(A1090&lt;&gt;A1089,1,0)</f>
        <v>1</v>
      </c>
    </row>
    <row r="1091" customFormat="false" ht="15" hidden="false" customHeight="false" outlineLevel="0" collapsed="false">
      <c r="A1091" s="2" t="s">
        <v>1183</v>
      </c>
      <c r="B1091" s="13" t="n">
        <v>46279</v>
      </c>
      <c r="C1091" s="2" t="s">
        <v>81</v>
      </c>
      <c r="D1091" s="2" t="n">
        <v>1</v>
      </c>
      <c r="E1091" s="15" t="n">
        <v>0.688194444444444</v>
      </c>
      <c r="F1091" s="7" t="n">
        <v>15000</v>
      </c>
      <c r="G1091" s="7" t="n">
        <f aca="false">D1091*F1091</f>
        <v>15000</v>
      </c>
      <c r="H1091" s="2" t="str">
        <f aca="false">INDEX(Daftar_Menu!$B$2:$B$13,MATCH(C1091,Daftar_Menu!$A$2:$A$13,0))</f>
        <v>Makanan</v>
      </c>
      <c r="I1091" s="2" t="str">
        <f aca="false">CHOOSE(WEEKDAY(B1091,2),"Senin","Selasa","Rabu","Kamis","Jumat","Sabtu","Minggu")</f>
        <v>Senin</v>
      </c>
      <c r="J1091" s="2" t="n">
        <f aca="false">HOUR(E1091)</f>
        <v>16</v>
      </c>
      <c r="K1091" s="2" t="str">
        <f aca="false">IF(J1091&lt;11,"Pagi",IF(J1091&lt;17,"Siang","Malam"))</f>
        <v>Siang</v>
      </c>
      <c r="L1091" s="2" t="n">
        <f aca="false">IF(A1091&lt;&gt;A1090,1,0)</f>
        <v>1</v>
      </c>
    </row>
    <row r="1092" customFormat="false" ht="15" hidden="false" customHeight="false" outlineLevel="0" collapsed="false">
      <c r="A1092" s="2" t="s">
        <v>1184</v>
      </c>
      <c r="B1092" s="13" t="n">
        <v>46279</v>
      </c>
      <c r="C1092" s="2" t="s">
        <v>79</v>
      </c>
      <c r="D1092" s="2" t="n">
        <v>1</v>
      </c>
      <c r="E1092" s="15" t="n">
        <v>0.719444444444444</v>
      </c>
      <c r="F1092" s="7" t="n">
        <v>16000</v>
      </c>
      <c r="G1092" s="7" t="n">
        <f aca="false">D1092*F1092</f>
        <v>16000</v>
      </c>
      <c r="H1092" s="2" t="str">
        <f aca="false">INDEX(Daftar_Menu!$B$2:$B$13,MATCH(C1092,Daftar_Menu!$A$2:$A$13,0))</f>
        <v>Makanan</v>
      </c>
      <c r="I1092" s="2" t="str">
        <f aca="false">CHOOSE(WEEKDAY(B1092,2),"Senin","Selasa","Rabu","Kamis","Jumat","Sabtu","Minggu")</f>
        <v>Senin</v>
      </c>
      <c r="J1092" s="2" t="n">
        <f aca="false">HOUR(E1092)</f>
        <v>17</v>
      </c>
      <c r="K1092" s="2" t="str">
        <f aca="false">IF(J1092&lt;11,"Pagi",IF(J1092&lt;17,"Siang","Malam"))</f>
        <v>Malam</v>
      </c>
      <c r="L1092" s="2" t="n">
        <f aca="false">IF(A1092&lt;&gt;A1091,1,0)</f>
        <v>1</v>
      </c>
    </row>
    <row r="1093" customFormat="false" ht="15" hidden="false" customHeight="false" outlineLevel="0" collapsed="false">
      <c r="A1093" s="2" t="s">
        <v>1186</v>
      </c>
      <c r="B1093" s="13" t="n">
        <v>46279</v>
      </c>
      <c r="C1093" s="2" t="s">
        <v>84</v>
      </c>
      <c r="D1093" s="2" t="n">
        <v>1</v>
      </c>
      <c r="E1093" s="15" t="n">
        <v>0.733333333333333</v>
      </c>
      <c r="F1093" s="7" t="n">
        <v>5000</v>
      </c>
      <c r="G1093" s="7" t="n">
        <f aca="false">D1093*F1093</f>
        <v>5000</v>
      </c>
      <c r="H1093" s="2" t="str">
        <f aca="false">INDEX(Daftar_Menu!$B$2:$B$13,MATCH(C1093,Daftar_Menu!$A$2:$A$13,0))</f>
        <v>Minuman</v>
      </c>
      <c r="I1093" s="2" t="str">
        <f aca="false">CHOOSE(WEEKDAY(B1093,2),"Senin","Selasa","Rabu","Kamis","Jumat","Sabtu","Minggu")</f>
        <v>Senin</v>
      </c>
      <c r="J1093" s="2" t="n">
        <f aca="false">HOUR(E1093)</f>
        <v>17</v>
      </c>
      <c r="K1093" s="2" t="str">
        <f aca="false">IF(J1093&lt;11,"Pagi",IF(J1093&lt;17,"Siang","Malam"))</f>
        <v>Malam</v>
      </c>
      <c r="L1093" s="2" t="n">
        <f aca="false">IF(A1093&lt;&gt;A1092,1,0)</f>
        <v>1</v>
      </c>
    </row>
    <row r="1094" customFormat="false" ht="15" hidden="false" customHeight="false" outlineLevel="0" collapsed="false">
      <c r="A1094" s="2" t="s">
        <v>1187</v>
      </c>
      <c r="B1094" s="13" t="n">
        <v>46279</v>
      </c>
      <c r="C1094" s="2" t="s">
        <v>89</v>
      </c>
      <c r="D1094" s="2" t="n">
        <v>2</v>
      </c>
      <c r="E1094" s="15" t="n">
        <v>0.734027777777778</v>
      </c>
      <c r="F1094" s="7" t="n">
        <v>14000</v>
      </c>
      <c r="G1094" s="7" t="n">
        <f aca="false">D1094*F1094</f>
        <v>28000</v>
      </c>
      <c r="H1094" s="2" t="str">
        <f aca="false">INDEX(Daftar_Menu!$B$2:$B$13,MATCH(C1094,Daftar_Menu!$A$2:$A$13,0))</f>
        <v>Makanan</v>
      </c>
      <c r="I1094" s="2" t="str">
        <f aca="false">CHOOSE(WEEKDAY(B1094,2),"Senin","Selasa","Rabu","Kamis","Jumat","Sabtu","Minggu")</f>
        <v>Senin</v>
      </c>
      <c r="J1094" s="2" t="n">
        <f aca="false">HOUR(E1094)</f>
        <v>17</v>
      </c>
      <c r="K1094" s="2" t="str">
        <f aca="false">IF(J1094&lt;11,"Pagi",IF(J1094&lt;17,"Siang","Malam"))</f>
        <v>Malam</v>
      </c>
      <c r="L1094" s="2" t="n">
        <f aca="false">IF(A1094&lt;&gt;A1093,1,0)</f>
        <v>1</v>
      </c>
    </row>
    <row r="1095" customFormat="false" ht="15" hidden="false" customHeight="false" outlineLevel="0" collapsed="false">
      <c r="A1095" s="2" t="s">
        <v>1189</v>
      </c>
      <c r="B1095" s="13" t="n">
        <v>46279</v>
      </c>
      <c r="C1095" s="2" t="s">
        <v>112</v>
      </c>
      <c r="D1095" s="2" t="n">
        <v>1</v>
      </c>
      <c r="E1095" s="15" t="n">
        <v>0.743055555555556</v>
      </c>
      <c r="F1095" s="7" t="n">
        <v>10000</v>
      </c>
      <c r="G1095" s="7" t="n">
        <f aca="false">D1095*F1095</f>
        <v>10000</v>
      </c>
      <c r="H1095" s="2" t="str">
        <f aca="false">INDEX(Daftar_Menu!$B$2:$B$13,MATCH(C1095,Daftar_Menu!$A$2:$A$13,0))</f>
        <v>Minuman</v>
      </c>
      <c r="I1095" s="2" t="str">
        <f aca="false">CHOOSE(WEEKDAY(B1095,2),"Senin","Selasa","Rabu","Kamis","Jumat","Sabtu","Minggu")</f>
        <v>Senin</v>
      </c>
      <c r="J1095" s="2" t="n">
        <f aca="false">HOUR(E1095)</f>
        <v>17</v>
      </c>
      <c r="K1095" s="2" t="str">
        <f aca="false">IF(J1095&lt;11,"Pagi",IF(J1095&lt;17,"Siang","Malam"))</f>
        <v>Malam</v>
      </c>
      <c r="L1095" s="2" t="n">
        <f aca="false">IF(A1095&lt;&gt;A1094,1,0)</f>
        <v>1</v>
      </c>
    </row>
    <row r="1096" customFormat="false" ht="15" hidden="false" customHeight="false" outlineLevel="0" collapsed="false">
      <c r="A1096" s="2" t="s">
        <v>1191</v>
      </c>
      <c r="B1096" s="13" t="n">
        <v>46279</v>
      </c>
      <c r="C1096" s="2" t="s">
        <v>92</v>
      </c>
      <c r="D1096" s="2" t="n">
        <v>1</v>
      </c>
      <c r="E1096" s="15" t="n">
        <v>0.752083333333333</v>
      </c>
      <c r="F1096" s="7" t="n">
        <v>4000</v>
      </c>
      <c r="G1096" s="7" t="n">
        <f aca="false">D1096*F1096</f>
        <v>4000</v>
      </c>
      <c r="H1096" s="2" t="str">
        <f aca="false">INDEX(Daftar_Menu!$B$2:$B$13,MATCH(C1096,Daftar_Menu!$A$2:$A$13,0))</f>
        <v>Minuman</v>
      </c>
      <c r="I1096" s="2" t="str">
        <f aca="false">CHOOSE(WEEKDAY(B1096,2),"Senin","Selasa","Rabu","Kamis","Jumat","Sabtu","Minggu")</f>
        <v>Senin</v>
      </c>
      <c r="J1096" s="2" t="n">
        <f aca="false">HOUR(E1096)</f>
        <v>18</v>
      </c>
      <c r="K1096" s="2" t="str">
        <f aca="false">IF(J1096&lt;11,"Pagi",IF(J1096&lt;17,"Siang","Malam"))</f>
        <v>Malam</v>
      </c>
      <c r="L1096" s="2" t="n">
        <f aca="false">IF(A1096&lt;&gt;A1095,1,0)</f>
        <v>1</v>
      </c>
    </row>
    <row r="1097" customFormat="false" ht="15" hidden="false" customHeight="false" outlineLevel="0" collapsed="false">
      <c r="A1097" s="2" t="s">
        <v>1191</v>
      </c>
      <c r="B1097" s="13" t="n">
        <v>46279</v>
      </c>
      <c r="C1097" s="2" t="s">
        <v>126</v>
      </c>
      <c r="D1097" s="2" t="n">
        <v>1</v>
      </c>
      <c r="E1097" s="15" t="n">
        <v>0.752083333333333</v>
      </c>
      <c r="F1097" s="7" t="n">
        <v>3000</v>
      </c>
      <c r="G1097" s="7" t="n">
        <f aca="false">D1097*F1097</f>
        <v>3000</v>
      </c>
      <c r="H1097" s="2" t="str">
        <f aca="false">INDEX(Daftar_Menu!$B$2:$B$13,MATCH(C1097,Daftar_Menu!$A$2:$A$13,0))</f>
        <v>Minuman</v>
      </c>
      <c r="I1097" s="2" t="str">
        <f aca="false">CHOOSE(WEEKDAY(B1097,2),"Senin","Selasa","Rabu","Kamis","Jumat","Sabtu","Minggu")</f>
        <v>Senin</v>
      </c>
      <c r="J1097" s="2" t="n">
        <f aca="false">HOUR(E1097)</f>
        <v>18</v>
      </c>
      <c r="K1097" s="2" t="str">
        <f aca="false">IF(J1097&lt;11,"Pagi",IF(J1097&lt;17,"Siang","Malam"))</f>
        <v>Malam</v>
      </c>
      <c r="L1097" s="2" t="n">
        <f aca="false">IF(A1097&lt;&gt;A1096,1,0)</f>
        <v>0</v>
      </c>
    </row>
    <row r="1098" customFormat="false" ht="15" hidden="false" customHeight="false" outlineLevel="0" collapsed="false">
      <c r="A1098" s="2" t="s">
        <v>1193</v>
      </c>
      <c r="B1098" s="13" t="n">
        <v>46279</v>
      </c>
      <c r="C1098" s="2" t="s">
        <v>132</v>
      </c>
      <c r="D1098" s="2" t="n">
        <v>1</v>
      </c>
      <c r="E1098" s="15" t="n">
        <v>0.761111111111111</v>
      </c>
      <c r="F1098" s="7" t="n">
        <v>15000</v>
      </c>
      <c r="G1098" s="7" t="n">
        <f aca="false">D1098*F1098</f>
        <v>15000</v>
      </c>
      <c r="H1098" s="2" t="str">
        <f aca="false">INDEX(Daftar_Menu!$B$2:$B$13,MATCH(C1098,Daftar_Menu!$A$2:$A$13,0))</f>
        <v>Makanan</v>
      </c>
      <c r="I1098" s="2" t="str">
        <f aca="false">CHOOSE(WEEKDAY(B1098,2),"Senin","Selasa","Rabu","Kamis","Jumat","Sabtu","Minggu")</f>
        <v>Senin</v>
      </c>
      <c r="J1098" s="2" t="n">
        <f aca="false">HOUR(E1098)</f>
        <v>18</v>
      </c>
      <c r="K1098" s="2" t="str">
        <f aca="false">IF(J1098&lt;11,"Pagi",IF(J1098&lt;17,"Siang","Malam"))</f>
        <v>Malam</v>
      </c>
      <c r="L1098" s="2" t="n">
        <f aca="false">IF(A1098&lt;&gt;A1097,1,0)</f>
        <v>1</v>
      </c>
    </row>
    <row r="1099" customFormat="false" ht="15" hidden="false" customHeight="false" outlineLevel="0" collapsed="false">
      <c r="A1099" s="2" t="s">
        <v>1194</v>
      </c>
      <c r="B1099" s="13" t="n">
        <v>46279</v>
      </c>
      <c r="C1099" s="2" t="s">
        <v>84</v>
      </c>
      <c r="D1099" s="2" t="n">
        <v>1</v>
      </c>
      <c r="E1099" s="15" t="n">
        <v>0.772916666666667</v>
      </c>
      <c r="F1099" s="7" t="n">
        <v>5000</v>
      </c>
      <c r="G1099" s="7" t="n">
        <f aca="false">D1099*F1099</f>
        <v>5000</v>
      </c>
      <c r="H1099" s="2" t="str">
        <f aca="false">INDEX(Daftar_Menu!$B$2:$B$13,MATCH(C1099,Daftar_Menu!$A$2:$A$13,0))</f>
        <v>Minuman</v>
      </c>
      <c r="I1099" s="2" t="str">
        <f aca="false">CHOOSE(WEEKDAY(B1099,2),"Senin","Selasa","Rabu","Kamis","Jumat","Sabtu","Minggu")</f>
        <v>Senin</v>
      </c>
      <c r="J1099" s="2" t="n">
        <f aca="false">HOUR(E1099)</f>
        <v>18</v>
      </c>
      <c r="K1099" s="2" t="str">
        <f aca="false">IF(J1099&lt;11,"Pagi",IF(J1099&lt;17,"Siang","Malam"))</f>
        <v>Malam</v>
      </c>
      <c r="L1099" s="2" t="n">
        <f aca="false">IF(A1099&lt;&gt;A1098,1,0)</f>
        <v>1</v>
      </c>
    </row>
    <row r="1100" customFormat="false" ht="15" hidden="false" customHeight="false" outlineLevel="0" collapsed="false">
      <c r="A1100" s="2" t="s">
        <v>1194</v>
      </c>
      <c r="B1100" s="13" t="n">
        <v>46279</v>
      </c>
      <c r="C1100" s="2" t="s">
        <v>186</v>
      </c>
      <c r="D1100" s="2" t="n">
        <v>1</v>
      </c>
      <c r="E1100" s="15" t="n">
        <v>0.772916666666667</v>
      </c>
      <c r="F1100" s="7" t="n">
        <v>7000</v>
      </c>
      <c r="G1100" s="7" t="n">
        <f aca="false">D1100*F1100</f>
        <v>7000</v>
      </c>
      <c r="H1100" s="2" t="str">
        <f aca="false">INDEX(Daftar_Menu!$B$2:$B$13,MATCH(C1100,Daftar_Menu!$A$2:$A$13,0))</f>
        <v>Minuman</v>
      </c>
      <c r="I1100" s="2" t="str">
        <f aca="false">CHOOSE(WEEKDAY(B1100,2),"Senin","Selasa","Rabu","Kamis","Jumat","Sabtu","Minggu")</f>
        <v>Senin</v>
      </c>
      <c r="J1100" s="2" t="n">
        <f aca="false">HOUR(E1100)</f>
        <v>18</v>
      </c>
      <c r="K1100" s="2" t="str">
        <f aca="false">IF(J1100&lt;11,"Pagi",IF(J1100&lt;17,"Siang","Malam"))</f>
        <v>Malam</v>
      </c>
      <c r="L1100" s="2" t="n">
        <f aca="false">IF(A1100&lt;&gt;A1099,1,0)</f>
        <v>0</v>
      </c>
    </row>
    <row r="1101" customFormat="false" ht="15" hidden="false" customHeight="false" outlineLevel="0" collapsed="false">
      <c r="A1101" s="2" t="s">
        <v>1195</v>
      </c>
      <c r="B1101" s="13" t="n">
        <v>46279</v>
      </c>
      <c r="C1101" s="2" t="s">
        <v>81</v>
      </c>
      <c r="D1101" s="2" t="n">
        <v>3</v>
      </c>
      <c r="E1101" s="15" t="n">
        <v>0.779166666666667</v>
      </c>
      <c r="F1101" s="7" t="n">
        <v>15000</v>
      </c>
      <c r="G1101" s="7" t="n">
        <f aca="false">D1101*F1101</f>
        <v>45000</v>
      </c>
      <c r="H1101" s="2" t="str">
        <f aca="false">INDEX(Daftar_Menu!$B$2:$B$13,MATCH(C1101,Daftar_Menu!$A$2:$A$13,0))</f>
        <v>Makanan</v>
      </c>
      <c r="I1101" s="2" t="str">
        <f aca="false">CHOOSE(WEEKDAY(B1101,2),"Senin","Selasa","Rabu","Kamis","Jumat","Sabtu","Minggu")</f>
        <v>Senin</v>
      </c>
      <c r="J1101" s="2" t="n">
        <f aca="false">HOUR(E1101)</f>
        <v>18</v>
      </c>
      <c r="K1101" s="2" t="str">
        <f aca="false">IF(J1101&lt;11,"Pagi",IF(J1101&lt;17,"Siang","Malam"))</f>
        <v>Malam</v>
      </c>
      <c r="L1101" s="2" t="n">
        <f aca="false">IF(A1101&lt;&gt;A1100,1,0)</f>
        <v>1</v>
      </c>
    </row>
    <row r="1102" customFormat="false" ht="15" hidden="false" customHeight="false" outlineLevel="0" collapsed="false">
      <c r="A1102" s="2" t="s">
        <v>1196</v>
      </c>
      <c r="B1102" s="13" t="n">
        <v>46279</v>
      </c>
      <c r="C1102" s="2" t="s">
        <v>186</v>
      </c>
      <c r="D1102" s="2" t="n">
        <v>1</v>
      </c>
      <c r="E1102" s="15" t="n">
        <v>0.784722222222222</v>
      </c>
      <c r="F1102" s="7" t="n">
        <v>7000</v>
      </c>
      <c r="G1102" s="7" t="n">
        <f aca="false">D1102*F1102</f>
        <v>7000</v>
      </c>
      <c r="H1102" s="2" t="str">
        <f aca="false">INDEX(Daftar_Menu!$B$2:$B$13,MATCH(C1102,Daftar_Menu!$A$2:$A$13,0))</f>
        <v>Minuman</v>
      </c>
      <c r="I1102" s="2" t="str">
        <f aca="false">CHOOSE(WEEKDAY(B1102,2),"Senin","Selasa","Rabu","Kamis","Jumat","Sabtu","Minggu")</f>
        <v>Senin</v>
      </c>
      <c r="J1102" s="2" t="n">
        <f aca="false">HOUR(E1102)</f>
        <v>18</v>
      </c>
      <c r="K1102" s="2" t="str">
        <f aca="false">IF(J1102&lt;11,"Pagi",IF(J1102&lt;17,"Siang","Malam"))</f>
        <v>Malam</v>
      </c>
      <c r="L1102" s="2" t="n">
        <f aca="false">IF(A1102&lt;&gt;A1101,1,0)</f>
        <v>1</v>
      </c>
    </row>
    <row r="1103" customFormat="false" ht="15" hidden="false" customHeight="false" outlineLevel="0" collapsed="false">
      <c r="A1103" s="2" t="s">
        <v>1197</v>
      </c>
      <c r="B1103" s="13" t="n">
        <v>46279</v>
      </c>
      <c r="C1103" s="2" t="s">
        <v>126</v>
      </c>
      <c r="D1103" s="2" t="n">
        <v>2</v>
      </c>
      <c r="E1103" s="15" t="n">
        <v>0.814583333333333</v>
      </c>
      <c r="F1103" s="7" t="n">
        <v>3000</v>
      </c>
      <c r="G1103" s="7" t="n">
        <f aca="false">D1103*F1103</f>
        <v>6000</v>
      </c>
      <c r="H1103" s="2" t="str">
        <f aca="false">INDEX(Daftar_Menu!$B$2:$B$13,MATCH(C1103,Daftar_Menu!$A$2:$A$13,0))</f>
        <v>Minuman</v>
      </c>
      <c r="I1103" s="2" t="str">
        <f aca="false">CHOOSE(WEEKDAY(B1103,2),"Senin","Selasa","Rabu","Kamis","Jumat","Sabtu","Minggu")</f>
        <v>Senin</v>
      </c>
      <c r="J1103" s="2" t="n">
        <f aca="false">HOUR(E1103)</f>
        <v>19</v>
      </c>
      <c r="K1103" s="2" t="str">
        <f aca="false">IF(J1103&lt;11,"Pagi",IF(J1103&lt;17,"Siang","Malam"))</f>
        <v>Malam</v>
      </c>
      <c r="L1103" s="2" t="n">
        <f aca="false">IF(A1103&lt;&gt;A1102,1,0)</f>
        <v>1</v>
      </c>
    </row>
    <row r="1104" customFormat="false" ht="15" hidden="false" customHeight="false" outlineLevel="0" collapsed="false">
      <c r="A1104" s="2" t="s">
        <v>1199</v>
      </c>
      <c r="B1104" s="13" t="n">
        <v>46279</v>
      </c>
      <c r="C1104" s="2" t="s">
        <v>108</v>
      </c>
      <c r="D1104" s="2" t="n">
        <v>1</v>
      </c>
      <c r="E1104" s="15" t="n">
        <v>0.831944444444445</v>
      </c>
      <c r="F1104" s="7" t="n">
        <v>20000</v>
      </c>
      <c r="G1104" s="7" t="n">
        <f aca="false">D1104*F1104</f>
        <v>20000</v>
      </c>
      <c r="H1104" s="2" t="str">
        <f aca="false">INDEX(Daftar_Menu!$B$2:$B$13,MATCH(C1104,Daftar_Menu!$A$2:$A$13,0))</f>
        <v>Makanan</v>
      </c>
      <c r="I1104" s="2" t="str">
        <f aca="false">CHOOSE(WEEKDAY(B1104,2),"Senin","Selasa","Rabu","Kamis","Jumat","Sabtu","Minggu")</f>
        <v>Senin</v>
      </c>
      <c r="J1104" s="2" t="n">
        <f aca="false">HOUR(E1104)</f>
        <v>19</v>
      </c>
      <c r="K1104" s="2" t="str">
        <f aca="false">IF(J1104&lt;11,"Pagi",IF(J1104&lt;17,"Siang","Malam"))</f>
        <v>Malam</v>
      </c>
      <c r="L1104" s="2" t="n">
        <f aca="false">IF(A1104&lt;&gt;A1103,1,0)</f>
        <v>1</v>
      </c>
    </row>
    <row r="1105" customFormat="false" ht="15" hidden="false" customHeight="false" outlineLevel="0" collapsed="false">
      <c r="A1105" s="2" t="s">
        <v>1199</v>
      </c>
      <c r="B1105" s="13" t="n">
        <v>46279</v>
      </c>
      <c r="C1105" s="2" t="s">
        <v>82</v>
      </c>
      <c r="D1105" s="2" t="n">
        <v>1</v>
      </c>
      <c r="E1105" s="15" t="n">
        <v>0.831944444444445</v>
      </c>
      <c r="F1105" s="7" t="n">
        <v>13000</v>
      </c>
      <c r="G1105" s="7" t="n">
        <f aca="false">D1105*F1105</f>
        <v>13000</v>
      </c>
      <c r="H1105" s="2" t="str">
        <f aca="false">INDEX(Daftar_Menu!$B$2:$B$13,MATCH(C1105,Daftar_Menu!$A$2:$A$13,0))</f>
        <v>Makanan</v>
      </c>
      <c r="I1105" s="2" t="str">
        <f aca="false">CHOOSE(WEEKDAY(B1105,2),"Senin","Selasa","Rabu","Kamis","Jumat","Sabtu","Minggu")</f>
        <v>Senin</v>
      </c>
      <c r="J1105" s="2" t="n">
        <f aca="false">HOUR(E1105)</f>
        <v>19</v>
      </c>
      <c r="K1105" s="2" t="str">
        <f aca="false">IF(J1105&lt;11,"Pagi",IF(J1105&lt;17,"Siang","Malam"))</f>
        <v>Malam</v>
      </c>
      <c r="L1105" s="2" t="n">
        <f aca="false">IF(A1105&lt;&gt;A1104,1,0)</f>
        <v>0</v>
      </c>
    </row>
    <row r="1106" customFormat="false" ht="15" hidden="false" customHeight="false" outlineLevel="0" collapsed="false">
      <c r="A1106" s="2" t="s">
        <v>1200</v>
      </c>
      <c r="B1106" s="13" t="n">
        <v>46279</v>
      </c>
      <c r="C1106" s="2" t="s">
        <v>186</v>
      </c>
      <c r="D1106" s="2" t="n">
        <v>1</v>
      </c>
      <c r="E1106" s="15" t="n">
        <v>0.836805555555556</v>
      </c>
      <c r="F1106" s="7" t="n">
        <v>7000</v>
      </c>
      <c r="G1106" s="7" t="n">
        <f aca="false">D1106*F1106</f>
        <v>7000</v>
      </c>
      <c r="H1106" s="2" t="str">
        <f aca="false">INDEX(Daftar_Menu!$B$2:$B$13,MATCH(C1106,Daftar_Menu!$A$2:$A$13,0))</f>
        <v>Minuman</v>
      </c>
      <c r="I1106" s="2" t="str">
        <f aca="false">CHOOSE(WEEKDAY(B1106,2),"Senin","Selasa","Rabu","Kamis","Jumat","Sabtu","Minggu")</f>
        <v>Senin</v>
      </c>
      <c r="J1106" s="2" t="n">
        <f aca="false">HOUR(E1106)</f>
        <v>20</v>
      </c>
      <c r="K1106" s="2" t="str">
        <f aca="false">IF(J1106&lt;11,"Pagi",IF(J1106&lt;17,"Siang","Malam"))</f>
        <v>Malam</v>
      </c>
      <c r="L1106" s="2" t="n">
        <f aca="false">IF(A1106&lt;&gt;A1105,1,0)</f>
        <v>1</v>
      </c>
    </row>
    <row r="1107" customFormat="false" ht="15" hidden="false" customHeight="false" outlineLevel="0" collapsed="false">
      <c r="A1107" s="2" t="s">
        <v>1202</v>
      </c>
      <c r="B1107" s="13" t="n">
        <v>46279</v>
      </c>
      <c r="C1107" s="2" t="s">
        <v>112</v>
      </c>
      <c r="D1107" s="2" t="n">
        <v>1</v>
      </c>
      <c r="E1107" s="15" t="n">
        <v>0.866666666666667</v>
      </c>
      <c r="F1107" s="7" t="n">
        <v>10000</v>
      </c>
      <c r="G1107" s="7" t="n">
        <f aca="false">D1107*F1107</f>
        <v>10000</v>
      </c>
      <c r="H1107" s="2" t="str">
        <f aca="false">INDEX(Daftar_Menu!$B$2:$B$13,MATCH(C1107,Daftar_Menu!$A$2:$A$13,0))</f>
        <v>Minuman</v>
      </c>
      <c r="I1107" s="2" t="str">
        <f aca="false">CHOOSE(WEEKDAY(B1107,2),"Senin","Selasa","Rabu","Kamis","Jumat","Sabtu","Minggu")</f>
        <v>Senin</v>
      </c>
      <c r="J1107" s="2" t="n">
        <f aca="false">HOUR(E1107)</f>
        <v>20</v>
      </c>
      <c r="K1107" s="2" t="str">
        <f aca="false">IF(J1107&lt;11,"Pagi",IF(J1107&lt;17,"Siang","Malam"))</f>
        <v>Malam</v>
      </c>
      <c r="L1107" s="2" t="n">
        <f aca="false">IF(A1107&lt;&gt;A1106,1,0)</f>
        <v>1</v>
      </c>
    </row>
    <row r="1108" customFormat="false" ht="15" hidden="false" customHeight="false" outlineLevel="0" collapsed="false">
      <c r="A1108" s="2" t="s">
        <v>1202</v>
      </c>
      <c r="B1108" s="13" t="n">
        <v>46279</v>
      </c>
      <c r="C1108" s="2" t="s">
        <v>89</v>
      </c>
      <c r="D1108" s="2" t="n">
        <v>1</v>
      </c>
      <c r="E1108" s="15" t="n">
        <v>0.866666666666667</v>
      </c>
      <c r="F1108" s="7" t="n">
        <v>14000</v>
      </c>
      <c r="G1108" s="7" t="n">
        <f aca="false">D1108*F1108</f>
        <v>14000</v>
      </c>
      <c r="H1108" s="2" t="str">
        <f aca="false">INDEX(Daftar_Menu!$B$2:$B$13,MATCH(C1108,Daftar_Menu!$A$2:$A$13,0))</f>
        <v>Makanan</v>
      </c>
      <c r="I1108" s="2" t="str">
        <f aca="false">CHOOSE(WEEKDAY(B1108,2),"Senin","Selasa","Rabu","Kamis","Jumat","Sabtu","Minggu")</f>
        <v>Senin</v>
      </c>
      <c r="J1108" s="2" t="n">
        <f aca="false">HOUR(E1108)</f>
        <v>20</v>
      </c>
      <c r="K1108" s="2" t="str">
        <f aca="false">IF(J1108&lt;11,"Pagi",IF(J1108&lt;17,"Siang","Malam"))</f>
        <v>Malam</v>
      </c>
      <c r="L1108" s="2" t="n">
        <f aca="false">IF(A1108&lt;&gt;A1107,1,0)</f>
        <v>0</v>
      </c>
    </row>
    <row r="1109" customFormat="false" ht="15" hidden="false" customHeight="false" outlineLevel="0" collapsed="false">
      <c r="A1109" s="2" t="s">
        <v>1202</v>
      </c>
      <c r="B1109" s="13" t="n">
        <v>46279</v>
      </c>
      <c r="C1109" s="2" t="s">
        <v>79</v>
      </c>
      <c r="D1109" s="2" t="n">
        <v>1</v>
      </c>
      <c r="E1109" s="15" t="n">
        <v>0.866666666666667</v>
      </c>
      <c r="F1109" s="7" t="n">
        <v>16000</v>
      </c>
      <c r="G1109" s="7" t="n">
        <f aca="false">D1109*F1109</f>
        <v>16000</v>
      </c>
      <c r="H1109" s="2" t="str">
        <f aca="false">INDEX(Daftar_Menu!$B$2:$B$13,MATCH(C1109,Daftar_Menu!$A$2:$A$13,0))</f>
        <v>Makanan</v>
      </c>
      <c r="I1109" s="2" t="str">
        <f aca="false">CHOOSE(WEEKDAY(B1109,2),"Senin","Selasa","Rabu","Kamis","Jumat","Sabtu","Minggu")</f>
        <v>Senin</v>
      </c>
      <c r="J1109" s="2" t="n">
        <f aca="false">HOUR(E1109)</f>
        <v>20</v>
      </c>
      <c r="K1109" s="2" t="str">
        <f aca="false">IF(J1109&lt;11,"Pagi",IF(J1109&lt;17,"Siang","Malam"))</f>
        <v>Malam</v>
      </c>
      <c r="L1109" s="2" t="n">
        <f aca="false">IF(A1109&lt;&gt;A1108,1,0)</f>
        <v>0</v>
      </c>
    </row>
    <row r="1110" customFormat="false" ht="15" hidden="false" customHeight="false" outlineLevel="0" collapsed="false">
      <c r="A1110" s="2" t="s">
        <v>1203</v>
      </c>
      <c r="B1110" s="13" t="n">
        <v>46279</v>
      </c>
      <c r="C1110" s="2" t="s">
        <v>84</v>
      </c>
      <c r="D1110" s="2" t="n">
        <v>1</v>
      </c>
      <c r="E1110" s="15" t="n">
        <v>0.868055555555556</v>
      </c>
      <c r="F1110" s="7" t="n">
        <v>5000</v>
      </c>
      <c r="G1110" s="7" t="n">
        <f aca="false">D1110*F1110</f>
        <v>5000</v>
      </c>
      <c r="H1110" s="2" t="str">
        <f aca="false">INDEX(Daftar_Menu!$B$2:$B$13,MATCH(C1110,Daftar_Menu!$A$2:$A$13,0))</f>
        <v>Minuman</v>
      </c>
      <c r="I1110" s="2" t="str">
        <f aca="false">CHOOSE(WEEKDAY(B1110,2),"Senin","Selasa","Rabu","Kamis","Jumat","Sabtu","Minggu")</f>
        <v>Senin</v>
      </c>
      <c r="J1110" s="2" t="n">
        <f aca="false">HOUR(E1110)</f>
        <v>20</v>
      </c>
      <c r="K1110" s="2" t="str">
        <f aca="false">IF(J1110&lt;11,"Pagi",IF(J1110&lt;17,"Siang","Malam"))</f>
        <v>Malam</v>
      </c>
      <c r="L1110" s="2" t="n">
        <f aca="false">IF(A1110&lt;&gt;A1109,1,0)</f>
        <v>1</v>
      </c>
    </row>
    <row r="1111" customFormat="false" ht="15" hidden="false" customHeight="false" outlineLevel="0" collapsed="false">
      <c r="A1111" s="2" t="s">
        <v>1203</v>
      </c>
      <c r="B1111" s="13" t="n">
        <v>46279</v>
      </c>
      <c r="C1111" s="2" t="s">
        <v>81</v>
      </c>
      <c r="D1111" s="2" t="n">
        <v>1</v>
      </c>
      <c r="E1111" s="15" t="n">
        <v>0.868055555555556</v>
      </c>
      <c r="F1111" s="7" t="n">
        <v>15000</v>
      </c>
      <c r="G1111" s="7" t="n">
        <f aca="false">D1111*F1111</f>
        <v>15000</v>
      </c>
      <c r="H1111" s="2" t="str">
        <f aca="false">INDEX(Daftar_Menu!$B$2:$B$13,MATCH(C1111,Daftar_Menu!$A$2:$A$13,0))</f>
        <v>Makanan</v>
      </c>
      <c r="I1111" s="2" t="str">
        <f aca="false">CHOOSE(WEEKDAY(B1111,2),"Senin","Selasa","Rabu","Kamis","Jumat","Sabtu","Minggu")</f>
        <v>Senin</v>
      </c>
      <c r="J1111" s="2" t="n">
        <f aca="false">HOUR(E1111)</f>
        <v>20</v>
      </c>
      <c r="K1111" s="2" t="str">
        <f aca="false">IF(J1111&lt;11,"Pagi",IF(J1111&lt;17,"Siang","Malam"))</f>
        <v>Malam</v>
      </c>
      <c r="L1111" s="2" t="n">
        <f aca="false">IF(A1111&lt;&gt;A1110,1,0)</f>
        <v>0</v>
      </c>
    </row>
    <row r="1112" customFormat="false" ht="15" hidden="false" customHeight="false" outlineLevel="0" collapsed="false">
      <c r="A1112" s="2" t="s">
        <v>1205</v>
      </c>
      <c r="B1112" s="13" t="n">
        <v>46280</v>
      </c>
      <c r="C1112" s="2" t="s">
        <v>101</v>
      </c>
      <c r="D1112" s="2" t="n">
        <v>1</v>
      </c>
      <c r="E1112" s="15" t="n">
        <v>0.351388888888889</v>
      </c>
      <c r="F1112" s="7" t="n">
        <v>18000</v>
      </c>
      <c r="G1112" s="7" t="n">
        <f aca="false">D1112*F1112</f>
        <v>18000</v>
      </c>
      <c r="H1112" s="2" t="str">
        <f aca="false">INDEX(Daftar_Menu!$B$2:$B$13,MATCH(C1112,Daftar_Menu!$A$2:$A$13,0))</f>
        <v>Makanan</v>
      </c>
      <c r="I1112" s="2" t="str">
        <f aca="false">CHOOSE(WEEKDAY(B1112,2),"Senin","Selasa","Rabu","Kamis","Jumat","Sabtu","Minggu")</f>
        <v>Selasa</v>
      </c>
      <c r="J1112" s="2" t="n">
        <f aca="false">HOUR(E1112)</f>
        <v>8</v>
      </c>
      <c r="K1112" s="2" t="str">
        <f aca="false">IF(J1112&lt;11,"Pagi",IF(J1112&lt;17,"Siang","Malam"))</f>
        <v>Pagi</v>
      </c>
      <c r="L1112" s="2" t="n">
        <f aca="false">IF(A1112&lt;&gt;A1111,1,0)</f>
        <v>1</v>
      </c>
    </row>
    <row r="1113" customFormat="false" ht="15" hidden="false" customHeight="false" outlineLevel="0" collapsed="false">
      <c r="A1113" s="2" t="s">
        <v>1207</v>
      </c>
      <c r="B1113" s="13" t="n">
        <v>46280</v>
      </c>
      <c r="C1113" s="2" t="s">
        <v>108</v>
      </c>
      <c r="D1113" s="2" t="n">
        <v>3</v>
      </c>
      <c r="E1113" s="15" t="n">
        <v>0.364583333333333</v>
      </c>
      <c r="F1113" s="7" t="n">
        <v>20000</v>
      </c>
      <c r="G1113" s="7" t="n">
        <f aca="false">D1113*F1113</f>
        <v>60000</v>
      </c>
      <c r="H1113" s="2" t="str">
        <f aca="false">INDEX(Daftar_Menu!$B$2:$B$13,MATCH(C1113,Daftar_Menu!$A$2:$A$13,0))</f>
        <v>Makanan</v>
      </c>
      <c r="I1113" s="2" t="str">
        <f aca="false">CHOOSE(WEEKDAY(B1113,2),"Senin","Selasa","Rabu","Kamis","Jumat","Sabtu","Minggu")</f>
        <v>Selasa</v>
      </c>
      <c r="J1113" s="2" t="n">
        <f aca="false">HOUR(E1113)</f>
        <v>8</v>
      </c>
      <c r="K1113" s="2" t="str">
        <f aca="false">IF(J1113&lt;11,"Pagi",IF(J1113&lt;17,"Siang","Malam"))</f>
        <v>Pagi</v>
      </c>
      <c r="L1113" s="2" t="n">
        <f aca="false">IF(A1113&lt;&gt;A1112,1,0)</f>
        <v>1</v>
      </c>
    </row>
    <row r="1114" customFormat="false" ht="15" hidden="false" customHeight="false" outlineLevel="0" collapsed="false">
      <c r="A1114" s="2" t="s">
        <v>1209</v>
      </c>
      <c r="B1114" s="13" t="n">
        <v>46280</v>
      </c>
      <c r="C1114" s="2" t="s">
        <v>82</v>
      </c>
      <c r="D1114" s="2" t="n">
        <v>1</v>
      </c>
      <c r="E1114" s="15" t="n">
        <v>0.380555555555556</v>
      </c>
      <c r="F1114" s="7" t="n">
        <v>13000</v>
      </c>
      <c r="G1114" s="7" t="n">
        <f aca="false">D1114*F1114</f>
        <v>13000</v>
      </c>
      <c r="H1114" s="2" t="str">
        <f aca="false">INDEX(Daftar_Menu!$B$2:$B$13,MATCH(C1114,Daftar_Menu!$A$2:$A$13,0))</f>
        <v>Makanan</v>
      </c>
      <c r="I1114" s="2" t="str">
        <f aca="false">CHOOSE(WEEKDAY(B1114,2),"Senin","Selasa","Rabu","Kamis","Jumat","Sabtu","Minggu")</f>
        <v>Selasa</v>
      </c>
      <c r="J1114" s="2" t="n">
        <f aca="false">HOUR(E1114)</f>
        <v>9</v>
      </c>
      <c r="K1114" s="2" t="str">
        <f aca="false">IF(J1114&lt;11,"Pagi",IF(J1114&lt;17,"Siang","Malam"))</f>
        <v>Pagi</v>
      </c>
      <c r="L1114" s="2" t="n">
        <f aca="false">IF(A1114&lt;&gt;A1113,1,0)</f>
        <v>1</v>
      </c>
    </row>
    <row r="1115" customFormat="false" ht="15" hidden="false" customHeight="false" outlineLevel="0" collapsed="false">
      <c r="A1115" s="2" t="s">
        <v>1211</v>
      </c>
      <c r="B1115" s="13" t="n">
        <v>46280</v>
      </c>
      <c r="C1115" s="2" t="s">
        <v>132</v>
      </c>
      <c r="D1115" s="2" t="n">
        <v>2</v>
      </c>
      <c r="E1115" s="15" t="n">
        <v>0.402083333333333</v>
      </c>
      <c r="F1115" s="7" t="n">
        <v>15000</v>
      </c>
      <c r="G1115" s="7" t="n">
        <f aca="false">D1115*F1115</f>
        <v>30000</v>
      </c>
      <c r="H1115" s="2" t="str">
        <f aca="false">INDEX(Daftar_Menu!$B$2:$B$13,MATCH(C1115,Daftar_Menu!$A$2:$A$13,0))</f>
        <v>Makanan</v>
      </c>
      <c r="I1115" s="2" t="str">
        <f aca="false">CHOOSE(WEEKDAY(B1115,2),"Senin","Selasa","Rabu","Kamis","Jumat","Sabtu","Minggu")</f>
        <v>Selasa</v>
      </c>
      <c r="J1115" s="2" t="n">
        <f aca="false">HOUR(E1115)</f>
        <v>9</v>
      </c>
      <c r="K1115" s="2" t="str">
        <f aca="false">IF(J1115&lt;11,"Pagi",IF(J1115&lt;17,"Siang","Malam"))</f>
        <v>Pagi</v>
      </c>
      <c r="L1115" s="2" t="n">
        <f aca="false">IF(A1115&lt;&gt;A1114,1,0)</f>
        <v>1</v>
      </c>
    </row>
    <row r="1116" customFormat="false" ht="15" hidden="false" customHeight="false" outlineLevel="0" collapsed="false">
      <c r="A1116" s="2" t="s">
        <v>1211</v>
      </c>
      <c r="B1116" s="13" t="n">
        <v>46280</v>
      </c>
      <c r="C1116" s="2" t="s">
        <v>186</v>
      </c>
      <c r="D1116" s="2" t="n">
        <v>1</v>
      </c>
      <c r="E1116" s="15" t="n">
        <v>0.402083333333333</v>
      </c>
      <c r="F1116" s="7" t="n">
        <v>7000</v>
      </c>
      <c r="G1116" s="7" t="n">
        <f aca="false">D1116*F1116</f>
        <v>7000</v>
      </c>
      <c r="H1116" s="2" t="str">
        <f aca="false">INDEX(Daftar_Menu!$B$2:$B$13,MATCH(C1116,Daftar_Menu!$A$2:$A$13,0))</f>
        <v>Minuman</v>
      </c>
      <c r="I1116" s="2" t="str">
        <f aca="false">CHOOSE(WEEKDAY(B1116,2),"Senin","Selasa","Rabu","Kamis","Jumat","Sabtu","Minggu")</f>
        <v>Selasa</v>
      </c>
      <c r="J1116" s="2" t="n">
        <f aca="false">HOUR(E1116)</f>
        <v>9</v>
      </c>
      <c r="K1116" s="2" t="str">
        <f aca="false">IF(J1116&lt;11,"Pagi",IF(J1116&lt;17,"Siang","Malam"))</f>
        <v>Pagi</v>
      </c>
      <c r="L1116" s="2" t="n">
        <f aca="false">IF(A1116&lt;&gt;A1115,1,0)</f>
        <v>0</v>
      </c>
    </row>
    <row r="1117" customFormat="false" ht="15" hidden="false" customHeight="false" outlineLevel="0" collapsed="false">
      <c r="A1117" s="2" t="s">
        <v>1213</v>
      </c>
      <c r="B1117" s="13" t="n">
        <v>46280</v>
      </c>
      <c r="C1117" s="2" t="s">
        <v>186</v>
      </c>
      <c r="D1117" s="2" t="n">
        <v>1</v>
      </c>
      <c r="E1117" s="15" t="n">
        <v>0.472916666666667</v>
      </c>
      <c r="F1117" s="7" t="n">
        <v>7000</v>
      </c>
      <c r="G1117" s="7" t="n">
        <f aca="false">D1117*F1117</f>
        <v>7000</v>
      </c>
      <c r="H1117" s="2" t="str">
        <f aca="false">INDEX(Daftar_Menu!$B$2:$B$13,MATCH(C1117,Daftar_Menu!$A$2:$A$13,0))</f>
        <v>Minuman</v>
      </c>
      <c r="I1117" s="2" t="str">
        <f aca="false">CHOOSE(WEEKDAY(B1117,2),"Senin","Selasa","Rabu","Kamis","Jumat","Sabtu","Minggu")</f>
        <v>Selasa</v>
      </c>
      <c r="J1117" s="2" t="n">
        <f aca="false">HOUR(E1117)</f>
        <v>11</v>
      </c>
      <c r="K1117" s="2" t="str">
        <f aca="false">IF(J1117&lt;11,"Pagi",IF(J1117&lt;17,"Siang","Malam"))</f>
        <v>Siang</v>
      </c>
      <c r="L1117" s="2" t="n">
        <f aca="false">IF(A1117&lt;&gt;A1116,1,0)</f>
        <v>1</v>
      </c>
    </row>
    <row r="1118" customFormat="false" ht="15" hidden="false" customHeight="false" outlineLevel="0" collapsed="false">
      <c r="A1118" s="2" t="s">
        <v>1213</v>
      </c>
      <c r="B1118" s="13" t="n">
        <v>46280</v>
      </c>
      <c r="C1118" s="2" t="s">
        <v>89</v>
      </c>
      <c r="D1118" s="2" t="n">
        <v>2</v>
      </c>
      <c r="E1118" s="15" t="n">
        <v>0.472916666666667</v>
      </c>
      <c r="F1118" s="7" t="n">
        <v>14000</v>
      </c>
      <c r="G1118" s="7" t="n">
        <f aca="false">D1118*F1118</f>
        <v>28000</v>
      </c>
      <c r="H1118" s="2" t="str">
        <f aca="false">INDEX(Daftar_Menu!$B$2:$B$13,MATCH(C1118,Daftar_Menu!$A$2:$A$13,0))</f>
        <v>Makanan</v>
      </c>
      <c r="I1118" s="2" t="str">
        <f aca="false">CHOOSE(WEEKDAY(B1118,2),"Senin","Selasa","Rabu","Kamis","Jumat","Sabtu","Minggu")</f>
        <v>Selasa</v>
      </c>
      <c r="J1118" s="2" t="n">
        <f aca="false">HOUR(E1118)</f>
        <v>11</v>
      </c>
      <c r="K1118" s="2" t="str">
        <f aca="false">IF(J1118&lt;11,"Pagi",IF(J1118&lt;17,"Siang","Malam"))</f>
        <v>Siang</v>
      </c>
      <c r="L1118" s="2" t="n">
        <f aca="false">IF(A1118&lt;&gt;A1117,1,0)</f>
        <v>0</v>
      </c>
    </row>
    <row r="1119" customFormat="false" ht="15" hidden="false" customHeight="false" outlineLevel="0" collapsed="false">
      <c r="A1119" s="2" t="s">
        <v>1214</v>
      </c>
      <c r="B1119" s="13" t="n">
        <v>46280</v>
      </c>
      <c r="C1119" s="2" t="s">
        <v>108</v>
      </c>
      <c r="D1119" s="2" t="n">
        <v>1</v>
      </c>
      <c r="E1119" s="15" t="n">
        <v>0.476388888888889</v>
      </c>
      <c r="F1119" s="7" t="n">
        <v>20000</v>
      </c>
      <c r="G1119" s="7" t="n">
        <f aca="false">D1119*F1119</f>
        <v>20000</v>
      </c>
      <c r="H1119" s="2" t="str">
        <f aca="false">INDEX(Daftar_Menu!$B$2:$B$13,MATCH(C1119,Daftar_Menu!$A$2:$A$13,0))</f>
        <v>Makanan</v>
      </c>
      <c r="I1119" s="2" t="str">
        <f aca="false">CHOOSE(WEEKDAY(B1119,2),"Senin","Selasa","Rabu","Kamis","Jumat","Sabtu","Minggu")</f>
        <v>Selasa</v>
      </c>
      <c r="J1119" s="2" t="n">
        <f aca="false">HOUR(E1119)</f>
        <v>11</v>
      </c>
      <c r="K1119" s="2" t="str">
        <f aca="false">IF(J1119&lt;11,"Pagi",IF(J1119&lt;17,"Siang","Malam"))</f>
        <v>Siang</v>
      </c>
      <c r="L1119" s="2" t="n">
        <f aca="false">IF(A1119&lt;&gt;A1118,1,0)</f>
        <v>1</v>
      </c>
    </row>
    <row r="1120" customFormat="false" ht="15" hidden="false" customHeight="false" outlineLevel="0" collapsed="false">
      <c r="A1120" s="2" t="s">
        <v>1214</v>
      </c>
      <c r="B1120" s="13" t="n">
        <v>46280</v>
      </c>
      <c r="C1120" s="2" t="s">
        <v>82</v>
      </c>
      <c r="D1120" s="2" t="n">
        <v>1</v>
      </c>
      <c r="E1120" s="15" t="n">
        <v>0.476388888888889</v>
      </c>
      <c r="F1120" s="7" t="n">
        <v>13000</v>
      </c>
      <c r="G1120" s="7" t="n">
        <f aca="false">D1120*F1120</f>
        <v>13000</v>
      </c>
      <c r="H1120" s="2" t="str">
        <f aca="false">INDEX(Daftar_Menu!$B$2:$B$13,MATCH(C1120,Daftar_Menu!$A$2:$A$13,0))</f>
        <v>Makanan</v>
      </c>
      <c r="I1120" s="2" t="str">
        <f aca="false">CHOOSE(WEEKDAY(B1120,2),"Senin","Selasa","Rabu","Kamis","Jumat","Sabtu","Minggu")</f>
        <v>Selasa</v>
      </c>
      <c r="J1120" s="2" t="n">
        <f aca="false">HOUR(E1120)</f>
        <v>11</v>
      </c>
      <c r="K1120" s="2" t="str">
        <f aca="false">IF(J1120&lt;11,"Pagi",IF(J1120&lt;17,"Siang","Malam"))</f>
        <v>Siang</v>
      </c>
      <c r="L1120" s="2" t="n">
        <f aca="false">IF(A1120&lt;&gt;A1119,1,0)</f>
        <v>0</v>
      </c>
    </row>
    <row r="1121" customFormat="false" ht="15" hidden="false" customHeight="false" outlineLevel="0" collapsed="false">
      <c r="A1121" s="2" t="s">
        <v>1216</v>
      </c>
      <c r="B1121" s="13" t="n">
        <v>46280</v>
      </c>
      <c r="C1121" s="2" t="s">
        <v>84</v>
      </c>
      <c r="D1121" s="2" t="n">
        <v>1</v>
      </c>
      <c r="E1121" s="15" t="n">
        <v>0.484722222222222</v>
      </c>
      <c r="F1121" s="7" t="n">
        <v>5000</v>
      </c>
      <c r="G1121" s="7" t="n">
        <f aca="false">D1121*F1121</f>
        <v>5000</v>
      </c>
      <c r="H1121" s="2" t="str">
        <f aca="false">INDEX(Daftar_Menu!$B$2:$B$13,MATCH(C1121,Daftar_Menu!$A$2:$A$13,0))</f>
        <v>Minuman</v>
      </c>
      <c r="I1121" s="2" t="str">
        <f aca="false">CHOOSE(WEEKDAY(B1121,2),"Senin","Selasa","Rabu","Kamis","Jumat","Sabtu","Minggu")</f>
        <v>Selasa</v>
      </c>
      <c r="J1121" s="2" t="n">
        <f aca="false">HOUR(E1121)</f>
        <v>11</v>
      </c>
      <c r="K1121" s="2" t="str">
        <f aca="false">IF(J1121&lt;11,"Pagi",IF(J1121&lt;17,"Siang","Malam"))</f>
        <v>Siang</v>
      </c>
      <c r="L1121" s="2" t="n">
        <f aca="false">IF(A1121&lt;&gt;A1120,1,0)</f>
        <v>1</v>
      </c>
    </row>
    <row r="1122" customFormat="false" ht="15" hidden="false" customHeight="false" outlineLevel="0" collapsed="false">
      <c r="A1122" s="2" t="s">
        <v>1217</v>
      </c>
      <c r="B1122" s="13" t="n">
        <v>46280</v>
      </c>
      <c r="C1122" s="2" t="s">
        <v>126</v>
      </c>
      <c r="D1122" s="2" t="n">
        <v>2</v>
      </c>
      <c r="E1122" s="15" t="n">
        <v>0.484722222222222</v>
      </c>
      <c r="F1122" s="7" t="n">
        <v>3000</v>
      </c>
      <c r="G1122" s="7" t="n">
        <f aca="false">D1122*F1122</f>
        <v>6000</v>
      </c>
      <c r="H1122" s="2" t="str">
        <f aca="false">INDEX(Daftar_Menu!$B$2:$B$13,MATCH(C1122,Daftar_Menu!$A$2:$A$13,0))</f>
        <v>Minuman</v>
      </c>
      <c r="I1122" s="2" t="str">
        <f aca="false">CHOOSE(WEEKDAY(B1122,2),"Senin","Selasa","Rabu","Kamis","Jumat","Sabtu","Minggu")</f>
        <v>Selasa</v>
      </c>
      <c r="J1122" s="2" t="n">
        <f aca="false">HOUR(E1122)</f>
        <v>11</v>
      </c>
      <c r="K1122" s="2" t="str">
        <f aca="false">IF(J1122&lt;11,"Pagi",IF(J1122&lt;17,"Siang","Malam"))</f>
        <v>Siang</v>
      </c>
      <c r="L1122" s="2" t="n">
        <f aca="false">IF(A1122&lt;&gt;A1121,1,0)</f>
        <v>1</v>
      </c>
    </row>
    <row r="1123" customFormat="false" ht="15" hidden="false" customHeight="false" outlineLevel="0" collapsed="false">
      <c r="A1123" s="2" t="s">
        <v>1218</v>
      </c>
      <c r="B1123" s="13" t="n">
        <v>46280</v>
      </c>
      <c r="C1123" s="2" t="s">
        <v>92</v>
      </c>
      <c r="D1123" s="2" t="n">
        <v>1</v>
      </c>
      <c r="E1123" s="15" t="n">
        <v>0.502083333333333</v>
      </c>
      <c r="F1123" s="7" t="n">
        <v>4000</v>
      </c>
      <c r="G1123" s="7" t="n">
        <f aca="false">D1123*F1123</f>
        <v>4000</v>
      </c>
      <c r="H1123" s="2" t="str">
        <f aca="false">INDEX(Daftar_Menu!$B$2:$B$13,MATCH(C1123,Daftar_Menu!$A$2:$A$13,0))</f>
        <v>Minuman</v>
      </c>
      <c r="I1123" s="2" t="str">
        <f aca="false">CHOOSE(WEEKDAY(B1123,2),"Senin","Selasa","Rabu","Kamis","Jumat","Sabtu","Minggu")</f>
        <v>Selasa</v>
      </c>
      <c r="J1123" s="2" t="n">
        <f aca="false">HOUR(E1123)</f>
        <v>12</v>
      </c>
      <c r="K1123" s="2" t="str">
        <f aca="false">IF(J1123&lt;11,"Pagi",IF(J1123&lt;17,"Siang","Malam"))</f>
        <v>Siang</v>
      </c>
      <c r="L1123" s="2" t="n">
        <f aca="false">IF(A1123&lt;&gt;A1122,1,0)</f>
        <v>1</v>
      </c>
    </row>
    <row r="1124" customFormat="false" ht="15" hidden="false" customHeight="false" outlineLevel="0" collapsed="false">
      <c r="A1124" s="2" t="s">
        <v>1218</v>
      </c>
      <c r="B1124" s="13" t="n">
        <v>46280</v>
      </c>
      <c r="C1124" s="2" t="s">
        <v>81</v>
      </c>
      <c r="D1124" s="2" t="n">
        <v>1</v>
      </c>
      <c r="E1124" s="15" t="n">
        <v>0.502083333333333</v>
      </c>
      <c r="F1124" s="7" t="n">
        <v>15000</v>
      </c>
      <c r="G1124" s="7" t="n">
        <f aca="false">D1124*F1124</f>
        <v>15000</v>
      </c>
      <c r="H1124" s="2" t="str">
        <f aca="false">INDEX(Daftar_Menu!$B$2:$B$13,MATCH(C1124,Daftar_Menu!$A$2:$A$13,0))</f>
        <v>Makanan</v>
      </c>
      <c r="I1124" s="2" t="str">
        <f aca="false">CHOOSE(WEEKDAY(B1124,2),"Senin","Selasa","Rabu","Kamis","Jumat","Sabtu","Minggu")</f>
        <v>Selasa</v>
      </c>
      <c r="J1124" s="2" t="n">
        <f aca="false">HOUR(E1124)</f>
        <v>12</v>
      </c>
      <c r="K1124" s="2" t="str">
        <f aca="false">IF(J1124&lt;11,"Pagi",IF(J1124&lt;17,"Siang","Malam"))</f>
        <v>Siang</v>
      </c>
      <c r="L1124" s="2" t="n">
        <f aca="false">IF(A1124&lt;&gt;A1123,1,0)</f>
        <v>0</v>
      </c>
    </row>
    <row r="1125" customFormat="false" ht="15" hidden="false" customHeight="false" outlineLevel="0" collapsed="false">
      <c r="A1125" s="2" t="s">
        <v>1219</v>
      </c>
      <c r="B1125" s="13" t="n">
        <v>46280</v>
      </c>
      <c r="C1125" s="2" t="s">
        <v>92</v>
      </c>
      <c r="D1125" s="2" t="n">
        <v>1</v>
      </c>
      <c r="E1125" s="15" t="n">
        <v>0.502777777777778</v>
      </c>
      <c r="F1125" s="7" t="n">
        <v>4000</v>
      </c>
      <c r="G1125" s="7" t="n">
        <f aca="false">D1125*F1125</f>
        <v>4000</v>
      </c>
      <c r="H1125" s="2" t="str">
        <f aca="false">INDEX(Daftar_Menu!$B$2:$B$13,MATCH(C1125,Daftar_Menu!$A$2:$A$13,0))</f>
        <v>Minuman</v>
      </c>
      <c r="I1125" s="2" t="str">
        <f aca="false">CHOOSE(WEEKDAY(B1125,2),"Senin","Selasa","Rabu","Kamis","Jumat","Sabtu","Minggu")</f>
        <v>Selasa</v>
      </c>
      <c r="J1125" s="2" t="n">
        <f aca="false">HOUR(E1125)</f>
        <v>12</v>
      </c>
      <c r="K1125" s="2" t="str">
        <f aca="false">IF(J1125&lt;11,"Pagi",IF(J1125&lt;17,"Siang","Malam"))</f>
        <v>Siang</v>
      </c>
      <c r="L1125" s="2" t="n">
        <f aca="false">IF(A1125&lt;&gt;A1124,1,0)</f>
        <v>1</v>
      </c>
    </row>
    <row r="1126" customFormat="false" ht="15" hidden="false" customHeight="false" outlineLevel="0" collapsed="false">
      <c r="A1126" s="2" t="s">
        <v>1220</v>
      </c>
      <c r="B1126" s="13" t="n">
        <v>46280</v>
      </c>
      <c r="C1126" s="2" t="s">
        <v>108</v>
      </c>
      <c r="D1126" s="2" t="n">
        <v>1</v>
      </c>
      <c r="E1126" s="15" t="n">
        <v>0.509027777777778</v>
      </c>
      <c r="F1126" s="7" t="n">
        <v>20000</v>
      </c>
      <c r="G1126" s="7" t="n">
        <f aca="false">D1126*F1126</f>
        <v>20000</v>
      </c>
      <c r="H1126" s="2" t="str">
        <f aca="false">INDEX(Daftar_Menu!$B$2:$B$13,MATCH(C1126,Daftar_Menu!$A$2:$A$13,0))</f>
        <v>Makanan</v>
      </c>
      <c r="I1126" s="2" t="str">
        <f aca="false">CHOOSE(WEEKDAY(B1126,2),"Senin","Selasa","Rabu","Kamis","Jumat","Sabtu","Minggu")</f>
        <v>Selasa</v>
      </c>
      <c r="J1126" s="2" t="n">
        <f aca="false">HOUR(E1126)</f>
        <v>12</v>
      </c>
      <c r="K1126" s="2" t="str">
        <f aca="false">IF(J1126&lt;11,"Pagi",IF(J1126&lt;17,"Siang","Malam"))</f>
        <v>Siang</v>
      </c>
      <c r="L1126" s="2" t="n">
        <f aca="false">IF(A1126&lt;&gt;A1125,1,0)</f>
        <v>1</v>
      </c>
    </row>
    <row r="1127" customFormat="false" ht="15" hidden="false" customHeight="false" outlineLevel="0" collapsed="false">
      <c r="A1127" s="2" t="s">
        <v>1220</v>
      </c>
      <c r="B1127" s="13" t="n">
        <v>46280</v>
      </c>
      <c r="C1127" s="2" t="s">
        <v>132</v>
      </c>
      <c r="D1127" s="2" t="n">
        <v>2</v>
      </c>
      <c r="E1127" s="15" t="n">
        <v>0.509027777777778</v>
      </c>
      <c r="F1127" s="7" t="n">
        <v>15000</v>
      </c>
      <c r="G1127" s="7" t="n">
        <f aca="false">D1127*F1127</f>
        <v>30000</v>
      </c>
      <c r="H1127" s="2" t="str">
        <f aca="false">INDEX(Daftar_Menu!$B$2:$B$13,MATCH(C1127,Daftar_Menu!$A$2:$A$13,0))</f>
        <v>Makanan</v>
      </c>
      <c r="I1127" s="2" t="str">
        <f aca="false">CHOOSE(WEEKDAY(B1127,2),"Senin","Selasa","Rabu","Kamis","Jumat","Sabtu","Minggu")</f>
        <v>Selasa</v>
      </c>
      <c r="J1127" s="2" t="n">
        <f aca="false">HOUR(E1127)</f>
        <v>12</v>
      </c>
      <c r="K1127" s="2" t="str">
        <f aca="false">IF(J1127&lt;11,"Pagi",IF(J1127&lt;17,"Siang","Malam"))</f>
        <v>Siang</v>
      </c>
      <c r="L1127" s="2" t="n">
        <f aca="false">IF(A1127&lt;&gt;A1126,1,0)</f>
        <v>0</v>
      </c>
    </row>
    <row r="1128" customFormat="false" ht="15" hidden="false" customHeight="false" outlineLevel="0" collapsed="false">
      <c r="A1128" s="2" t="s">
        <v>1221</v>
      </c>
      <c r="B1128" s="13" t="n">
        <v>46280</v>
      </c>
      <c r="C1128" s="2" t="s">
        <v>84</v>
      </c>
      <c r="D1128" s="2" t="n">
        <v>1</v>
      </c>
      <c r="E1128" s="15" t="n">
        <v>0.513194444444444</v>
      </c>
      <c r="F1128" s="7" t="n">
        <v>5000</v>
      </c>
      <c r="G1128" s="7" t="n">
        <f aca="false">D1128*F1128</f>
        <v>5000</v>
      </c>
      <c r="H1128" s="2" t="str">
        <f aca="false">INDEX(Daftar_Menu!$B$2:$B$13,MATCH(C1128,Daftar_Menu!$A$2:$A$13,0))</f>
        <v>Minuman</v>
      </c>
      <c r="I1128" s="2" t="str">
        <f aca="false">CHOOSE(WEEKDAY(B1128,2),"Senin","Selasa","Rabu","Kamis","Jumat","Sabtu","Minggu")</f>
        <v>Selasa</v>
      </c>
      <c r="J1128" s="2" t="n">
        <f aca="false">HOUR(E1128)</f>
        <v>12</v>
      </c>
      <c r="K1128" s="2" t="str">
        <f aca="false">IF(J1128&lt;11,"Pagi",IF(J1128&lt;17,"Siang","Malam"))</f>
        <v>Siang</v>
      </c>
      <c r="L1128" s="2" t="n">
        <f aca="false">IF(A1128&lt;&gt;A1127,1,0)</f>
        <v>1</v>
      </c>
    </row>
    <row r="1129" customFormat="false" ht="15" hidden="false" customHeight="false" outlineLevel="0" collapsed="false">
      <c r="A1129" s="2" t="s">
        <v>1221</v>
      </c>
      <c r="B1129" s="13" t="n">
        <v>46280</v>
      </c>
      <c r="C1129" s="2" t="s">
        <v>132</v>
      </c>
      <c r="D1129" s="2" t="n">
        <v>1</v>
      </c>
      <c r="E1129" s="15" t="n">
        <v>0.513194444444444</v>
      </c>
      <c r="F1129" s="7" t="n">
        <v>15000</v>
      </c>
      <c r="G1129" s="7" t="n">
        <f aca="false">D1129*F1129</f>
        <v>15000</v>
      </c>
      <c r="H1129" s="2" t="str">
        <f aca="false">INDEX(Daftar_Menu!$B$2:$B$13,MATCH(C1129,Daftar_Menu!$A$2:$A$13,0))</f>
        <v>Makanan</v>
      </c>
      <c r="I1129" s="2" t="str">
        <f aca="false">CHOOSE(WEEKDAY(B1129,2),"Senin","Selasa","Rabu","Kamis","Jumat","Sabtu","Minggu")</f>
        <v>Selasa</v>
      </c>
      <c r="J1129" s="2" t="n">
        <f aca="false">HOUR(E1129)</f>
        <v>12</v>
      </c>
      <c r="K1129" s="2" t="str">
        <f aca="false">IF(J1129&lt;11,"Pagi",IF(J1129&lt;17,"Siang","Malam"))</f>
        <v>Siang</v>
      </c>
      <c r="L1129" s="2" t="n">
        <f aca="false">IF(A1129&lt;&gt;A1128,1,0)</f>
        <v>0</v>
      </c>
    </row>
    <row r="1130" customFormat="false" ht="15" hidden="false" customHeight="false" outlineLevel="0" collapsed="false">
      <c r="A1130" s="2" t="s">
        <v>1221</v>
      </c>
      <c r="B1130" s="13" t="n">
        <v>46280</v>
      </c>
      <c r="C1130" s="2" t="s">
        <v>186</v>
      </c>
      <c r="D1130" s="2" t="n">
        <v>1</v>
      </c>
      <c r="E1130" s="15" t="n">
        <v>0.513194444444444</v>
      </c>
      <c r="F1130" s="7" t="n">
        <v>7000</v>
      </c>
      <c r="G1130" s="7" t="n">
        <f aca="false">D1130*F1130</f>
        <v>7000</v>
      </c>
      <c r="H1130" s="2" t="str">
        <f aca="false">INDEX(Daftar_Menu!$B$2:$B$13,MATCH(C1130,Daftar_Menu!$A$2:$A$13,0))</f>
        <v>Minuman</v>
      </c>
      <c r="I1130" s="2" t="str">
        <f aca="false">CHOOSE(WEEKDAY(B1130,2),"Senin","Selasa","Rabu","Kamis","Jumat","Sabtu","Minggu")</f>
        <v>Selasa</v>
      </c>
      <c r="J1130" s="2" t="n">
        <f aca="false">HOUR(E1130)</f>
        <v>12</v>
      </c>
      <c r="K1130" s="2" t="str">
        <f aca="false">IF(J1130&lt;11,"Pagi",IF(J1130&lt;17,"Siang","Malam"))</f>
        <v>Siang</v>
      </c>
      <c r="L1130" s="2" t="n">
        <f aca="false">IF(A1130&lt;&gt;A1129,1,0)</f>
        <v>0</v>
      </c>
    </row>
    <row r="1131" customFormat="false" ht="15" hidden="false" customHeight="false" outlineLevel="0" collapsed="false">
      <c r="A1131" s="2" t="s">
        <v>1223</v>
      </c>
      <c r="B1131" s="13" t="n">
        <v>46280</v>
      </c>
      <c r="C1131" s="2" t="s">
        <v>89</v>
      </c>
      <c r="D1131" s="2" t="n">
        <v>2</v>
      </c>
      <c r="E1131" s="15" t="n">
        <v>0.513888888888889</v>
      </c>
      <c r="F1131" s="7" t="n">
        <v>14000</v>
      </c>
      <c r="G1131" s="7" t="n">
        <f aca="false">D1131*F1131</f>
        <v>28000</v>
      </c>
      <c r="H1131" s="2" t="str">
        <f aca="false">INDEX(Daftar_Menu!$B$2:$B$13,MATCH(C1131,Daftar_Menu!$A$2:$A$13,0))</f>
        <v>Makanan</v>
      </c>
      <c r="I1131" s="2" t="str">
        <f aca="false">CHOOSE(WEEKDAY(B1131,2),"Senin","Selasa","Rabu","Kamis","Jumat","Sabtu","Minggu")</f>
        <v>Selasa</v>
      </c>
      <c r="J1131" s="2" t="n">
        <f aca="false">HOUR(E1131)</f>
        <v>12</v>
      </c>
      <c r="K1131" s="2" t="str">
        <f aca="false">IF(J1131&lt;11,"Pagi",IF(J1131&lt;17,"Siang","Malam"))</f>
        <v>Siang</v>
      </c>
      <c r="L1131" s="2" t="n">
        <f aca="false">IF(A1131&lt;&gt;A1130,1,0)</f>
        <v>1</v>
      </c>
    </row>
    <row r="1132" customFormat="false" ht="15" hidden="false" customHeight="false" outlineLevel="0" collapsed="false">
      <c r="A1132" s="2" t="s">
        <v>1223</v>
      </c>
      <c r="B1132" s="13" t="n">
        <v>46280</v>
      </c>
      <c r="C1132" s="2" t="s">
        <v>112</v>
      </c>
      <c r="D1132" s="2" t="n">
        <v>2</v>
      </c>
      <c r="E1132" s="15" t="n">
        <v>0.513888888888889</v>
      </c>
      <c r="F1132" s="7" t="n">
        <v>10000</v>
      </c>
      <c r="G1132" s="7" t="n">
        <f aca="false">D1132*F1132</f>
        <v>20000</v>
      </c>
      <c r="H1132" s="2" t="str">
        <f aca="false">INDEX(Daftar_Menu!$B$2:$B$13,MATCH(C1132,Daftar_Menu!$A$2:$A$13,0))</f>
        <v>Minuman</v>
      </c>
      <c r="I1132" s="2" t="str">
        <f aca="false">CHOOSE(WEEKDAY(B1132,2),"Senin","Selasa","Rabu","Kamis","Jumat","Sabtu","Minggu")</f>
        <v>Selasa</v>
      </c>
      <c r="J1132" s="2" t="n">
        <f aca="false">HOUR(E1132)</f>
        <v>12</v>
      </c>
      <c r="K1132" s="2" t="str">
        <f aca="false">IF(J1132&lt;11,"Pagi",IF(J1132&lt;17,"Siang","Malam"))</f>
        <v>Siang</v>
      </c>
      <c r="L1132" s="2" t="n">
        <f aca="false">IF(A1132&lt;&gt;A1131,1,0)</f>
        <v>0</v>
      </c>
    </row>
    <row r="1133" customFormat="false" ht="15" hidden="false" customHeight="false" outlineLevel="0" collapsed="false">
      <c r="A1133" s="2" t="s">
        <v>1224</v>
      </c>
      <c r="B1133" s="13" t="n">
        <v>46280</v>
      </c>
      <c r="C1133" s="2" t="s">
        <v>81</v>
      </c>
      <c r="D1133" s="2" t="n">
        <v>3</v>
      </c>
      <c r="E1133" s="15" t="n">
        <v>0.520138888888889</v>
      </c>
      <c r="F1133" s="7" t="n">
        <v>15000</v>
      </c>
      <c r="G1133" s="7" t="n">
        <f aca="false">D1133*F1133</f>
        <v>45000</v>
      </c>
      <c r="H1133" s="2" t="str">
        <f aca="false">INDEX(Daftar_Menu!$B$2:$B$13,MATCH(C1133,Daftar_Menu!$A$2:$A$13,0))</f>
        <v>Makanan</v>
      </c>
      <c r="I1133" s="2" t="str">
        <f aca="false">CHOOSE(WEEKDAY(B1133,2),"Senin","Selasa","Rabu","Kamis","Jumat","Sabtu","Minggu")</f>
        <v>Selasa</v>
      </c>
      <c r="J1133" s="2" t="n">
        <f aca="false">HOUR(E1133)</f>
        <v>12</v>
      </c>
      <c r="K1133" s="2" t="str">
        <f aca="false">IF(J1133&lt;11,"Pagi",IF(J1133&lt;17,"Siang","Malam"))</f>
        <v>Siang</v>
      </c>
      <c r="L1133" s="2" t="n">
        <f aca="false">IF(A1133&lt;&gt;A1132,1,0)</f>
        <v>1</v>
      </c>
    </row>
    <row r="1134" customFormat="false" ht="15" hidden="false" customHeight="false" outlineLevel="0" collapsed="false">
      <c r="A1134" s="2" t="s">
        <v>1224</v>
      </c>
      <c r="B1134" s="13" t="n">
        <v>46280</v>
      </c>
      <c r="C1134" s="2" t="s">
        <v>108</v>
      </c>
      <c r="D1134" s="2" t="n">
        <v>2</v>
      </c>
      <c r="E1134" s="15" t="n">
        <v>0.520138888888889</v>
      </c>
      <c r="F1134" s="7" t="n">
        <v>20000</v>
      </c>
      <c r="G1134" s="7" t="n">
        <f aca="false">D1134*F1134</f>
        <v>40000</v>
      </c>
      <c r="H1134" s="2" t="str">
        <f aca="false">INDEX(Daftar_Menu!$B$2:$B$13,MATCH(C1134,Daftar_Menu!$A$2:$A$13,0))</f>
        <v>Makanan</v>
      </c>
      <c r="I1134" s="2" t="str">
        <f aca="false">CHOOSE(WEEKDAY(B1134,2),"Senin","Selasa","Rabu","Kamis","Jumat","Sabtu","Minggu")</f>
        <v>Selasa</v>
      </c>
      <c r="J1134" s="2" t="n">
        <f aca="false">HOUR(E1134)</f>
        <v>12</v>
      </c>
      <c r="K1134" s="2" t="str">
        <f aca="false">IF(J1134&lt;11,"Pagi",IF(J1134&lt;17,"Siang","Malam"))</f>
        <v>Siang</v>
      </c>
      <c r="L1134" s="2" t="n">
        <f aca="false">IF(A1134&lt;&gt;A1133,1,0)</f>
        <v>0</v>
      </c>
    </row>
    <row r="1135" customFormat="false" ht="15" hidden="false" customHeight="false" outlineLevel="0" collapsed="false">
      <c r="A1135" s="2" t="s">
        <v>1225</v>
      </c>
      <c r="B1135" s="13" t="n">
        <v>46280</v>
      </c>
      <c r="C1135" s="2" t="s">
        <v>108</v>
      </c>
      <c r="D1135" s="2" t="n">
        <v>1</v>
      </c>
      <c r="E1135" s="15" t="n">
        <v>0.520833333333333</v>
      </c>
      <c r="F1135" s="7" t="n">
        <v>20000</v>
      </c>
      <c r="G1135" s="7" t="n">
        <f aca="false">D1135*F1135</f>
        <v>20000</v>
      </c>
      <c r="H1135" s="2" t="str">
        <f aca="false">INDEX(Daftar_Menu!$B$2:$B$13,MATCH(C1135,Daftar_Menu!$A$2:$A$13,0))</f>
        <v>Makanan</v>
      </c>
      <c r="I1135" s="2" t="str">
        <f aca="false">CHOOSE(WEEKDAY(B1135,2),"Senin","Selasa","Rabu","Kamis","Jumat","Sabtu","Minggu")</f>
        <v>Selasa</v>
      </c>
      <c r="J1135" s="2" t="n">
        <f aca="false">HOUR(E1135)</f>
        <v>12</v>
      </c>
      <c r="K1135" s="2" t="str">
        <f aca="false">IF(J1135&lt;11,"Pagi",IF(J1135&lt;17,"Siang","Malam"))</f>
        <v>Siang</v>
      </c>
      <c r="L1135" s="2" t="n">
        <f aca="false">IF(A1135&lt;&gt;A1134,1,0)</f>
        <v>1</v>
      </c>
    </row>
    <row r="1136" customFormat="false" ht="15" hidden="false" customHeight="false" outlineLevel="0" collapsed="false">
      <c r="A1136" s="2" t="s">
        <v>1225</v>
      </c>
      <c r="B1136" s="13" t="n">
        <v>46280</v>
      </c>
      <c r="C1136" s="2" t="s">
        <v>186</v>
      </c>
      <c r="D1136" s="2" t="n">
        <v>3</v>
      </c>
      <c r="E1136" s="15" t="n">
        <v>0.520833333333333</v>
      </c>
      <c r="F1136" s="7" t="n">
        <v>7000</v>
      </c>
      <c r="G1136" s="7" t="n">
        <f aca="false">D1136*F1136</f>
        <v>21000</v>
      </c>
      <c r="H1136" s="2" t="str">
        <f aca="false">INDEX(Daftar_Menu!$B$2:$B$13,MATCH(C1136,Daftar_Menu!$A$2:$A$13,0))</f>
        <v>Minuman</v>
      </c>
      <c r="I1136" s="2" t="str">
        <f aca="false">CHOOSE(WEEKDAY(B1136,2),"Senin","Selasa","Rabu","Kamis","Jumat","Sabtu","Minggu")</f>
        <v>Selasa</v>
      </c>
      <c r="J1136" s="2" t="n">
        <f aca="false">HOUR(E1136)</f>
        <v>12</v>
      </c>
      <c r="K1136" s="2" t="str">
        <f aca="false">IF(J1136&lt;11,"Pagi",IF(J1136&lt;17,"Siang","Malam"))</f>
        <v>Siang</v>
      </c>
      <c r="L1136" s="2" t="n">
        <f aca="false">IF(A1136&lt;&gt;A1135,1,0)</f>
        <v>0</v>
      </c>
    </row>
    <row r="1137" customFormat="false" ht="15" hidden="false" customHeight="false" outlineLevel="0" collapsed="false">
      <c r="A1137" s="2" t="s">
        <v>1226</v>
      </c>
      <c r="B1137" s="13" t="n">
        <v>46280</v>
      </c>
      <c r="C1137" s="2" t="s">
        <v>108</v>
      </c>
      <c r="D1137" s="2" t="n">
        <v>2</v>
      </c>
      <c r="E1137" s="15" t="n">
        <v>0.523611111111111</v>
      </c>
      <c r="F1137" s="7" t="n">
        <v>20000</v>
      </c>
      <c r="G1137" s="7" t="n">
        <f aca="false">D1137*F1137</f>
        <v>40000</v>
      </c>
      <c r="H1137" s="2" t="str">
        <f aca="false">INDEX(Daftar_Menu!$B$2:$B$13,MATCH(C1137,Daftar_Menu!$A$2:$A$13,0))</f>
        <v>Makanan</v>
      </c>
      <c r="I1137" s="2" t="str">
        <f aca="false">CHOOSE(WEEKDAY(B1137,2),"Senin","Selasa","Rabu","Kamis","Jumat","Sabtu","Minggu")</f>
        <v>Selasa</v>
      </c>
      <c r="J1137" s="2" t="n">
        <f aca="false">HOUR(E1137)</f>
        <v>12</v>
      </c>
      <c r="K1137" s="2" t="str">
        <f aca="false">IF(J1137&lt;11,"Pagi",IF(J1137&lt;17,"Siang","Malam"))</f>
        <v>Siang</v>
      </c>
      <c r="L1137" s="2" t="n">
        <f aca="false">IF(A1137&lt;&gt;A1136,1,0)</f>
        <v>1</v>
      </c>
    </row>
    <row r="1138" customFormat="false" ht="15" hidden="false" customHeight="false" outlineLevel="0" collapsed="false">
      <c r="A1138" s="2" t="s">
        <v>1226</v>
      </c>
      <c r="B1138" s="13" t="n">
        <v>46280</v>
      </c>
      <c r="C1138" s="2" t="s">
        <v>84</v>
      </c>
      <c r="D1138" s="2" t="n">
        <v>2</v>
      </c>
      <c r="E1138" s="15" t="n">
        <v>0.523611111111111</v>
      </c>
      <c r="F1138" s="7" t="n">
        <v>5000</v>
      </c>
      <c r="G1138" s="7" t="n">
        <f aca="false">D1138*F1138</f>
        <v>10000</v>
      </c>
      <c r="H1138" s="2" t="str">
        <f aca="false">INDEX(Daftar_Menu!$B$2:$B$13,MATCH(C1138,Daftar_Menu!$A$2:$A$13,0))</f>
        <v>Minuman</v>
      </c>
      <c r="I1138" s="2" t="str">
        <f aca="false">CHOOSE(WEEKDAY(B1138,2),"Senin","Selasa","Rabu","Kamis","Jumat","Sabtu","Minggu")</f>
        <v>Selasa</v>
      </c>
      <c r="J1138" s="2" t="n">
        <f aca="false">HOUR(E1138)</f>
        <v>12</v>
      </c>
      <c r="K1138" s="2" t="str">
        <f aca="false">IF(J1138&lt;11,"Pagi",IF(J1138&lt;17,"Siang","Malam"))</f>
        <v>Siang</v>
      </c>
      <c r="L1138" s="2" t="n">
        <f aca="false">IF(A1138&lt;&gt;A1137,1,0)</f>
        <v>0</v>
      </c>
    </row>
    <row r="1139" customFormat="false" ht="15" hidden="false" customHeight="false" outlineLevel="0" collapsed="false">
      <c r="A1139" s="2" t="s">
        <v>1226</v>
      </c>
      <c r="B1139" s="13" t="n">
        <v>46280</v>
      </c>
      <c r="C1139" s="2" t="s">
        <v>81</v>
      </c>
      <c r="D1139" s="2" t="n">
        <v>1</v>
      </c>
      <c r="E1139" s="15" t="n">
        <v>0.523611111111111</v>
      </c>
      <c r="F1139" s="7" t="n">
        <v>15000</v>
      </c>
      <c r="G1139" s="7" t="n">
        <f aca="false">D1139*F1139</f>
        <v>15000</v>
      </c>
      <c r="H1139" s="2" t="str">
        <f aca="false">INDEX(Daftar_Menu!$B$2:$B$13,MATCH(C1139,Daftar_Menu!$A$2:$A$13,0))</f>
        <v>Makanan</v>
      </c>
      <c r="I1139" s="2" t="str">
        <f aca="false">CHOOSE(WEEKDAY(B1139,2),"Senin","Selasa","Rabu","Kamis","Jumat","Sabtu","Minggu")</f>
        <v>Selasa</v>
      </c>
      <c r="J1139" s="2" t="n">
        <f aca="false">HOUR(E1139)</f>
        <v>12</v>
      </c>
      <c r="K1139" s="2" t="str">
        <f aca="false">IF(J1139&lt;11,"Pagi",IF(J1139&lt;17,"Siang","Malam"))</f>
        <v>Siang</v>
      </c>
      <c r="L1139" s="2" t="n">
        <f aca="false">IF(A1139&lt;&gt;A1138,1,0)</f>
        <v>0</v>
      </c>
    </row>
    <row r="1140" customFormat="false" ht="15" hidden="false" customHeight="false" outlineLevel="0" collapsed="false">
      <c r="A1140" s="2" t="s">
        <v>1227</v>
      </c>
      <c r="B1140" s="13" t="n">
        <v>46280</v>
      </c>
      <c r="C1140" s="2" t="s">
        <v>101</v>
      </c>
      <c r="D1140" s="2" t="n">
        <v>1</v>
      </c>
      <c r="E1140" s="15" t="n">
        <v>0.532638888888889</v>
      </c>
      <c r="F1140" s="7" t="n">
        <v>18000</v>
      </c>
      <c r="G1140" s="7" t="n">
        <f aca="false">D1140*F1140</f>
        <v>18000</v>
      </c>
      <c r="H1140" s="2" t="str">
        <f aca="false">INDEX(Daftar_Menu!$B$2:$B$13,MATCH(C1140,Daftar_Menu!$A$2:$A$13,0))</f>
        <v>Makanan</v>
      </c>
      <c r="I1140" s="2" t="str">
        <f aca="false">CHOOSE(WEEKDAY(B1140,2),"Senin","Selasa","Rabu","Kamis","Jumat","Sabtu","Minggu")</f>
        <v>Selasa</v>
      </c>
      <c r="J1140" s="2" t="n">
        <f aca="false">HOUR(E1140)</f>
        <v>12</v>
      </c>
      <c r="K1140" s="2" t="str">
        <f aca="false">IF(J1140&lt;11,"Pagi",IF(J1140&lt;17,"Siang","Malam"))</f>
        <v>Siang</v>
      </c>
      <c r="L1140" s="2" t="n">
        <f aca="false">IF(A1140&lt;&gt;A1139,1,0)</f>
        <v>1</v>
      </c>
    </row>
    <row r="1141" customFormat="false" ht="15" hidden="false" customHeight="false" outlineLevel="0" collapsed="false">
      <c r="A1141" s="2" t="s">
        <v>1228</v>
      </c>
      <c r="B1141" s="13" t="n">
        <v>46280</v>
      </c>
      <c r="C1141" s="2" t="s">
        <v>89</v>
      </c>
      <c r="D1141" s="2" t="n">
        <v>1</v>
      </c>
      <c r="E1141" s="15" t="n">
        <v>0.540277777777778</v>
      </c>
      <c r="F1141" s="7" t="n">
        <v>14000</v>
      </c>
      <c r="G1141" s="7" t="n">
        <f aca="false">D1141*F1141</f>
        <v>14000</v>
      </c>
      <c r="H1141" s="2" t="str">
        <f aca="false">INDEX(Daftar_Menu!$B$2:$B$13,MATCH(C1141,Daftar_Menu!$A$2:$A$13,0))</f>
        <v>Makanan</v>
      </c>
      <c r="I1141" s="2" t="str">
        <f aca="false">CHOOSE(WEEKDAY(B1141,2),"Senin","Selasa","Rabu","Kamis","Jumat","Sabtu","Minggu")</f>
        <v>Selasa</v>
      </c>
      <c r="J1141" s="2" t="n">
        <f aca="false">HOUR(E1141)</f>
        <v>12</v>
      </c>
      <c r="K1141" s="2" t="str">
        <f aca="false">IF(J1141&lt;11,"Pagi",IF(J1141&lt;17,"Siang","Malam"))</f>
        <v>Siang</v>
      </c>
      <c r="L1141" s="2" t="n">
        <f aca="false">IF(A1141&lt;&gt;A1140,1,0)</f>
        <v>1</v>
      </c>
    </row>
    <row r="1142" customFormat="false" ht="15" hidden="false" customHeight="false" outlineLevel="0" collapsed="false">
      <c r="A1142" s="2" t="s">
        <v>1229</v>
      </c>
      <c r="B1142" s="13" t="n">
        <v>46280</v>
      </c>
      <c r="C1142" s="2" t="s">
        <v>89</v>
      </c>
      <c r="D1142" s="2" t="n">
        <v>3</v>
      </c>
      <c r="E1142" s="15" t="n">
        <v>0.540972222222222</v>
      </c>
      <c r="F1142" s="7" t="n">
        <v>14000</v>
      </c>
      <c r="G1142" s="7" t="n">
        <f aca="false">D1142*F1142</f>
        <v>42000</v>
      </c>
      <c r="H1142" s="2" t="str">
        <f aca="false">INDEX(Daftar_Menu!$B$2:$B$13,MATCH(C1142,Daftar_Menu!$A$2:$A$13,0))</f>
        <v>Makanan</v>
      </c>
      <c r="I1142" s="2" t="str">
        <f aca="false">CHOOSE(WEEKDAY(B1142,2),"Senin","Selasa","Rabu","Kamis","Jumat","Sabtu","Minggu")</f>
        <v>Selasa</v>
      </c>
      <c r="J1142" s="2" t="n">
        <f aca="false">HOUR(E1142)</f>
        <v>12</v>
      </c>
      <c r="K1142" s="2" t="str">
        <f aca="false">IF(J1142&lt;11,"Pagi",IF(J1142&lt;17,"Siang","Malam"))</f>
        <v>Siang</v>
      </c>
      <c r="L1142" s="2" t="n">
        <f aca="false">IF(A1142&lt;&gt;A1141,1,0)</f>
        <v>1</v>
      </c>
    </row>
    <row r="1143" customFormat="false" ht="15" hidden="false" customHeight="false" outlineLevel="0" collapsed="false">
      <c r="A1143" s="2" t="s">
        <v>1230</v>
      </c>
      <c r="B1143" s="13" t="n">
        <v>46280</v>
      </c>
      <c r="C1143" s="2" t="s">
        <v>84</v>
      </c>
      <c r="D1143" s="2" t="n">
        <v>1</v>
      </c>
      <c r="E1143" s="15" t="n">
        <v>0.541666666666667</v>
      </c>
      <c r="F1143" s="7" t="n">
        <v>5000</v>
      </c>
      <c r="G1143" s="7" t="n">
        <f aca="false">D1143*F1143</f>
        <v>5000</v>
      </c>
      <c r="H1143" s="2" t="str">
        <f aca="false">INDEX(Daftar_Menu!$B$2:$B$13,MATCH(C1143,Daftar_Menu!$A$2:$A$13,0))</f>
        <v>Minuman</v>
      </c>
      <c r="I1143" s="2" t="str">
        <f aca="false">CHOOSE(WEEKDAY(B1143,2),"Senin","Selasa","Rabu","Kamis","Jumat","Sabtu","Minggu")</f>
        <v>Selasa</v>
      </c>
      <c r="J1143" s="2" t="n">
        <f aca="false">HOUR(E1143)</f>
        <v>13</v>
      </c>
      <c r="K1143" s="2" t="str">
        <f aca="false">IF(J1143&lt;11,"Pagi",IF(J1143&lt;17,"Siang","Malam"))</f>
        <v>Siang</v>
      </c>
      <c r="L1143" s="2" t="n">
        <f aca="false">IF(A1143&lt;&gt;A1142,1,0)</f>
        <v>1</v>
      </c>
    </row>
    <row r="1144" customFormat="false" ht="15" hidden="false" customHeight="false" outlineLevel="0" collapsed="false">
      <c r="A1144" s="2" t="s">
        <v>1230</v>
      </c>
      <c r="B1144" s="13" t="n">
        <v>46280</v>
      </c>
      <c r="C1144" s="2" t="s">
        <v>186</v>
      </c>
      <c r="D1144" s="2" t="n">
        <v>1</v>
      </c>
      <c r="E1144" s="15" t="n">
        <v>0.541666666666667</v>
      </c>
      <c r="F1144" s="7" t="n">
        <v>7000</v>
      </c>
      <c r="G1144" s="7" t="n">
        <f aca="false">D1144*F1144</f>
        <v>7000</v>
      </c>
      <c r="H1144" s="2" t="str">
        <f aca="false">INDEX(Daftar_Menu!$B$2:$B$13,MATCH(C1144,Daftar_Menu!$A$2:$A$13,0))</f>
        <v>Minuman</v>
      </c>
      <c r="I1144" s="2" t="str">
        <f aca="false">CHOOSE(WEEKDAY(B1144,2),"Senin","Selasa","Rabu","Kamis","Jumat","Sabtu","Minggu")</f>
        <v>Selasa</v>
      </c>
      <c r="J1144" s="2" t="n">
        <f aca="false">HOUR(E1144)</f>
        <v>13</v>
      </c>
      <c r="K1144" s="2" t="str">
        <f aca="false">IF(J1144&lt;11,"Pagi",IF(J1144&lt;17,"Siang","Malam"))</f>
        <v>Siang</v>
      </c>
      <c r="L1144" s="2" t="n">
        <f aca="false">IF(A1144&lt;&gt;A1143,1,0)</f>
        <v>0</v>
      </c>
    </row>
    <row r="1145" customFormat="false" ht="15" hidden="false" customHeight="false" outlineLevel="0" collapsed="false">
      <c r="A1145" s="2" t="s">
        <v>1230</v>
      </c>
      <c r="B1145" s="13" t="n">
        <v>46280</v>
      </c>
      <c r="C1145" s="2" t="s">
        <v>101</v>
      </c>
      <c r="D1145" s="2" t="n">
        <v>1</v>
      </c>
      <c r="E1145" s="15" t="n">
        <v>0.541666666666667</v>
      </c>
      <c r="F1145" s="7" t="n">
        <v>18000</v>
      </c>
      <c r="G1145" s="7" t="n">
        <f aca="false">D1145*F1145</f>
        <v>18000</v>
      </c>
      <c r="H1145" s="2" t="str">
        <f aca="false">INDEX(Daftar_Menu!$B$2:$B$13,MATCH(C1145,Daftar_Menu!$A$2:$A$13,0))</f>
        <v>Makanan</v>
      </c>
      <c r="I1145" s="2" t="str">
        <f aca="false">CHOOSE(WEEKDAY(B1145,2),"Senin","Selasa","Rabu","Kamis","Jumat","Sabtu","Minggu")</f>
        <v>Selasa</v>
      </c>
      <c r="J1145" s="2" t="n">
        <f aca="false">HOUR(E1145)</f>
        <v>13</v>
      </c>
      <c r="K1145" s="2" t="str">
        <f aca="false">IF(J1145&lt;11,"Pagi",IF(J1145&lt;17,"Siang","Malam"))</f>
        <v>Siang</v>
      </c>
      <c r="L1145" s="2" t="n">
        <f aca="false">IF(A1145&lt;&gt;A1144,1,0)</f>
        <v>0</v>
      </c>
    </row>
    <row r="1146" customFormat="false" ht="15" hidden="false" customHeight="false" outlineLevel="0" collapsed="false">
      <c r="A1146" s="2" t="s">
        <v>1231</v>
      </c>
      <c r="B1146" s="13" t="n">
        <v>46280</v>
      </c>
      <c r="C1146" s="2" t="s">
        <v>126</v>
      </c>
      <c r="D1146" s="2" t="n">
        <v>1</v>
      </c>
      <c r="E1146" s="15" t="n">
        <v>0.545833333333333</v>
      </c>
      <c r="F1146" s="7" t="n">
        <v>3000</v>
      </c>
      <c r="G1146" s="7" t="n">
        <f aca="false">D1146*F1146</f>
        <v>3000</v>
      </c>
      <c r="H1146" s="2" t="str">
        <f aca="false">INDEX(Daftar_Menu!$B$2:$B$13,MATCH(C1146,Daftar_Menu!$A$2:$A$13,0))</f>
        <v>Minuman</v>
      </c>
      <c r="I1146" s="2" t="str">
        <f aca="false">CHOOSE(WEEKDAY(B1146,2),"Senin","Selasa","Rabu","Kamis","Jumat","Sabtu","Minggu")</f>
        <v>Selasa</v>
      </c>
      <c r="J1146" s="2" t="n">
        <f aca="false">HOUR(E1146)</f>
        <v>13</v>
      </c>
      <c r="K1146" s="2" t="str">
        <f aca="false">IF(J1146&lt;11,"Pagi",IF(J1146&lt;17,"Siang","Malam"))</f>
        <v>Siang</v>
      </c>
      <c r="L1146" s="2" t="n">
        <f aca="false">IF(A1146&lt;&gt;A1145,1,0)</f>
        <v>1</v>
      </c>
    </row>
    <row r="1147" customFormat="false" ht="15" hidden="false" customHeight="false" outlineLevel="0" collapsed="false">
      <c r="A1147" s="2" t="s">
        <v>1231</v>
      </c>
      <c r="B1147" s="13" t="n">
        <v>46280</v>
      </c>
      <c r="C1147" s="2" t="s">
        <v>92</v>
      </c>
      <c r="D1147" s="2" t="n">
        <v>1</v>
      </c>
      <c r="E1147" s="15" t="n">
        <v>0.545833333333333</v>
      </c>
      <c r="F1147" s="7" t="n">
        <v>4000</v>
      </c>
      <c r="G1147" s="7" t="n">
        <f aca="false">D1147*F1147</f>
        <v>4000</v>
      </c>
      <c r="H1147" s="2" t="str">
        <f aca="false">INDEX(Daftar_Menu!$B$2:$B$13,MATCH(C1147,Daftar_Menu!$A$2:$A$13,0))</f>
        <v>Minuman</v>
      </c>
      <c r="I1147" s="2" t="str">
        <f aca="false">CHOOSE(WEEKDAY(B1147,2),"Senin","Selasa","Rabu","Kamis","Jumat","Sabtu","Minggu")</f>
        <v>Selasa</v>
      </c>
      <c r="J1147" s="2" t="n">
        <f aca="false">HOUR(E1147)</f>
        <v>13</v>
      </c>
      <c r="K1147" s="2" t="str">
        <f aca="false">IF(J1147&lt;11,"Pagi",IF(J1147&lt;17,"Siang","Malam"))</f>
        <v>Siang</v>
      </c>
      <c r="L1147" s="2" t="n">
        <f aca="false">IF(A1147&lt;&gt;A1146,1,0)</f>
        <v>0</v>
      </c>
    </row>
    <row r="1148" customFormat="false" ht="15" hidden="false" customHeight="false" outlineLevel="0" collapsed="false">
      <c r="A1148" s="2" t="s">
        <v>1232</v>
      </c>
      <c r="B1148" s="13" t="n">
        <v>46280</v>
      </c>
      <c r="C1148" s="2" t="s">
        <v>89</v>
      </c>
      <c r="D1148" s="2" t="n">
        <v>1</v>
      </c>
      <c r="E1148" s="15" t="n">
        <v>0.556944444444445</v>
      </c>
      <c r="F1148" s="7" t="n">
        <v>14000</v>
      </c>
      <c r="G1148" s="7" t="n">
        <f aca="false">D1148*F1148</f>
        <v>14000</v>
      </c>
      <c r="H1148" s="2" t="str">
        <f aca="false">INDEX(Daftar_Menu!$B$2:$B$13,MATCH(C1148,Daftar_Menu!$A$2:$A$13,0))</f>
        <v>Makanan</v>
      </c>
      <c r="I1148" s="2" t="str">
        <f aca="false">CHOOSE(WEEKDAY(B1148,2),"Senin","Selasa","Rabu","Kamis","Jumat","Sabtu","Minggu")</f>
        <v>Selasa</v>
      </c>
      <c r="J1148" s="2" t="n">
        <f aca="false">HOUR(E1148)</f>
        <v>13</v>
      </c>
      <c r="K1148" s="2" t="str">
        <f aca="false">IF(J1148&lt;11,"Pagi",IF(J1148&lt;17,"Siang","Malam"))</f>
        <v>Siang</v>
      </c>
      <c r="L1148" s="2" t="n">
        <f aca="false">IF(A1148&lt;&gt;A1147,1,0)</f>
        <v>1</v>
      </c>
    </row>
    <row r="1149" customFormat="false" ht="15" hidden="false" customHeight="false" outlineLevel="0" collapsed="false">
      <c r="A1149" s="2" t="s">
        <v>1232</v>
      </c>
      <c r="B1149" s="13" t="n">
        <v>46280</v>
      </c>
      <c r="C1149" s="2" t="s">
        <v>112</v>
      </c>
      <c r="D1149" s="2" t="n">
        <v>1</v>
      </c>
      <c r="E1149" s="15" t="n">
        <v>0.556944444444445</v>
      </c>
      <c r="F1149" s="7" t="n">
        <v>10000</v>
      </c>
      <c r="G1149" s="7" t="n">
        <f aca="false">D1149*F1149</f>
        <v>10000</v>
      </c>
      <c r="H1149" s="2" t="str">
        <f aca="false">INDEX(Daftar_Menu!$B$2:$B$13,MATCH(C1149,Daftar_Menu!$A$2:$A$13,0))</f>
        <v>Minuman</v>
      </c>
      <c r="I1149" s="2" t="str">
        <f aca="false">CHOOSE(WEEKDAY(B1149,2),"Senin","Selasa","Rabu","Kamis","Jumat","Sabtu","Minggu")</f>
        <v>Selasa</v>
      </c>
      <c r="J1149" s="2" t="n">
        <f aca="false">HOUR(E1149)</f>
        <v>13</v>
      </c>
      <c r="K1149" s="2" t="str">
        <f aca="false">IF(J1149&lt;11,"Pagi",IF(J1149&lt;17,"Siang","Malam"))</f>
        <v>Siang</v>
      </c>
      <c r="L1149" s="2" t="n">
        <f aca="false">IF(A1149&lt;&gt;A1148,1,0)</f>
        <v>0</v>
      </c>
    </row>
    <row r="1150" customFormat="false" ht="15" hidden="false" customHeight="false" outlineLevel="0" collapsed="false">
      <c r="A1150" s="2" t="s">
        <v>1233</v>
      </c>
      <c r="B1150" s="13" t="n">
        <v>46280</v>
      </c>
      <c r="C1150" s="2" t="s">
        <v>101</v>
      </c>
      <c r="D1150" s="2" t="n">
        <v>1</v>
      </c>
      <c r="E1150" s="15" t="n">
        <v>0.560416666666667</v>
      </c>
      <c r="F1150" s="7" t="n">
        <v>18000</v>
      </c>
      <c r="G1150" s="7" t="n">
        <f aca="false">D1150*F1150</f>
        <v>18000</v>
      </c>
      <c r="H1150" s="2" t="str">
        <f aca="false">INDEX(Daftar_Menu!$B$2:$B$13,MATCH(C1150,Daftar_Menu!$A$2:$A$13,0))</f>
        <v>Makanan</v>
      </c>
      <c r="I1150" s="2" t="str">
        <f aca="false">CHOOSE(WEEKDAY(B1150,2),"Senin","Selasa","Rabu","Kamis","Jumat","Sabtu","Minggu")</f>
        <v>Selasa</v>
      </c>
      <c r="J1150" s="2" t="n">
        <f aca="false">HOUR(E1150)</f>
        <v>13</v>
      </c>
      <c r="K1150" s="2" t="str">
        <f aca="false">IF(J1150&lt;11,"Pagi",IF(J1150&lt;17,"Siang","Malam"))</f>
        <v>Siang</v>
      </c>
      <c r="L1150" s="2" t="n">
        <f aca="false">IF(A1150&lt;&gt;A1149,1,0)</f>
        <v>1</v>
      </c>
    </row>
    <row r="1151" customFormat="false" ht="15" hidden="false" customHeight="false" outlineLevel="0" collapsed="false">
      <c r="A1151" s="2" t="s">
        <v>1234</v>
      </c>
      <c r="B1151" s="13" t="n">
        <v>46280</v>
      </c>
      <c r="C1151" s="2" t="s">
        <v>101</v>
      </c>
      <c r="D1151" s="2" t="n">
        <v>1</v>
      </c>
      <c r="E1151" s="15" t="n">
        <v>0.609722222222222</v>
      </c>
      <c r="F1151" s="7" t="n">
        <v>18000</v>
      </c>
      <c r="G1151" s="7" t="n">
        <f aca="false">D1151*F1151</f>
        <v>18000</v>
      </c>
      <c r="H1151" s="2" t="str">
        <f aca="false">INDEX(Daftar_Menu!$B$2:$B$13,MATCH(C1151,Daftar_Menu!$A$2:$A$13,0))</f>
        <v>Makanan</v>
      </c>
      <c r="I1151" s="2" t="str">
        <f aca="false">CHOOSE(WEEKDAY(B1151,2),"Senin","Selasa","Rabu","Kamis","Jumat","Sabtu","Minggu")</f>
        <v>Selasa</v>
      </c>
      <c r="J1151" s="2" t="n">
        <f aca="false">HOUR(E1151)</f>
        <v>14</v>
      </c>
      <c r="K1151" s="2" t="str">
        <f aca="false">IF(J1151&lt;11,"Pagi",IF(J1151&lt;17,"Siang","Malam"))</f>
        <v>Siang</v>
      </c>
      <c r="L1151" s="2" t="n">
        <f aca="false">IF(A1151&lt;&gt;A1150,1,0)</f>
        <v>1</v>
      </c>
    </row>
    <row r="1152" customFormat="false" ht="15" hidden="false" customHeight="false" outlineLevel="0" collapsed="false">
      <c r="A1152" s="2" t="s">
        <v>1234</v>
      </c>
      <c r="B1152" s="13" t="n">
        <v>46280</v>
      </c>
      <c r="C1152" s="2" t="s">
        <v>126</v>
      </c>
      <c r="D1152" s="2" t="n">
        <v>1</v>
      </c>
      <c r="E1152" s="15" t="n">
        <v>0.609722222222222</v>
      </c>
      <c r="F1152" s="7" t="n">
        <v>3000</v>
      </c>
      <c r="G1152" s="7" t="n">
        <f aca="false">D1152*F1152</f>
        <v>3000</v>
      </c>
      <c r="H1152" s="2" t="str">
        <f aca="false">INDEX(Daftar_Menu!$B$2:$B$13,MATCH(C1152,Daftar_Menu!$A$2:$A$13,0))</f>
        <v>Minuman</v>
      </c>
      <c r="I1152" s="2" t="str">
        <f aca="false">CHOOSE(WEEKDAY(B1152,2),"Senin","Selasa","Rabu","Kamis","Jumat","Sabtu","Minggu")</f>
        <v>Selasa</v>
      </c>
      <c r="J1152" s="2" t="n">
        <f aca="false">HOUR(E1152)</f>
        <v>14</v>
      </c>
      <c r="K1152" s="2" t="str">
        <f aca="false">IF(J1152&lt;11,"Pagi",IF(J1152&lt;17,"Siang","Malam"))</f>
        <v>Siang</v>
      </c>
      <c r="L1152" s="2" t="n">
        <f aca="false">IF(A1152&lt;&gt;A1151,1,0)</f>
        <v>0</v>
      </c>
    </row>
    <row r="1153" customFormat="false" ht="15" hidden="false" customHeight="false" outlineLevel="0" collapsed="false">
      <c r="A1153" s="2" t="s">
        <v>1235</v>
      </c>
      <c r="B1153" s="13" t="n">
        <v>46280</v>
      </c>
      <c r="C1153" s="2" t="s">
        <v>186</v>
      </c>
      <c r="D1153" s="2" t="n">
        <v>1</v>
      </c>
      <c r="E1153" s="15" t="n">
        <v>0.629166666666667</v>
      </c>
      <c r="F1153" s="7" t="n">
        <v>7000</v>
      </c>
      <c r="G1153" s="7" t="n">
        <f aca="false">D1153*F1153</f>
        <v>7000</v>
      </c>
      <c r="H1153" s="2" t="str">
        <f aca="false">INDEX(Daftar_Menu!$B$2:$B$13,MATCH(C1153,Daftar_Menu!$A$2:$A$13,0))</f>
        <v>Minuman</v>
      </c>
      <c r="I1153" s="2" t="str">
        <f aca="false">CHOOSE(WEEKDAY(B1153,2),"Senin","Selasa","Rabu","Kamis","Jumat","Sabtu","Minggu")</f>
        <v>Selasa</v>
      </c>
      <c r="J1153" s="2" t="n">
        <f aca="false">HOUR(E1153)</f>
        <v>15</v>
      </c>
      <c r="K1153" s="2" t="str">
        <f aca="false">IF(J1153&lt;11,"Pagi",IF(J1153&lt;17,"Siang","Malam"))</f>
        <v>Siang</v>
      </c>
      <c r="L1153" s="2" t="n">
        <f aca="false">IF(A1153&lt;&gt;A1152,1,0)</f>
        <v>1</v>
      </c>
    </row>
    <row r="1154" customFormat="false" ht="15" hidden="false" customHeight="false" outlineLevel="0" collapsed="false">
      <c r="A1154" s="2" t="s">
        <v>1235</v>
      </c>
      <c r="B1154" s="13" t="n">
        <v>46280</v>
      </c>
      <c r="C1154" s="2" t="s">
        <v>81</v>
      </c>
      <c r="D1154" s="2" t="n">
        <v>2</v>
      </c>
      <c r="E1154" s="15" t="n">
        <v>0.629166666666667</v>
      </c>
      <c r="F1154" s="7" t="n">
        <v>15000</v>
      </c>
      <c r="G1154" s="7" t="n">
        <f aca="false">D1154*F1154</f>
        <v>30000</v>
      </c>
      <c r="H1154" s="2" t="str">
        <f aca="false">INDEX(Daftar_Menu!$B$2:$B$13,MATCH(C1154,Daftar_Menu!$A$2:$A$13,0))</f>
        <v>Makanan</v>
      </c>
      <c r="I1154" s="2" t="str">
        <f aca="false">CHOOSE(WEEKDAY(B1154,2),"Senin","Selasa","Rabu","Kamis","Jumat","Sabtu","Minggu")</f>
        <v>Selasa</v>
      </c>
      <c r="J1154" s="2" t="n">
        <f aca="false">HOUR(E1154)</f>
        <v>15</v>
      </c>
      <c r="K1154" s="2" t="str">
        <f aca="false">IF(J1154&lt;11,"Pagi",IF(J1154&lt;17,"Siang","Malam"))</f>
        <v>Siang</v>
      </c>
      <c r="L1154" s="2" t="n">
        <f aca="false">IF(A1154&lt;&gt;A1153,1,0)</f>
        <v>0</v>
      </c>
    </row>
    <row r="1155" customFormat="false" ht="15" hidden="false" customHeight="false" outlineLevel="0" collapsed="false">
      <c r="A1155" s="2" t="s">
        <v>1236</v>
      </c>
      <c r="B1155" s="13" t="n">
        <v>46280</v>
      </c>
      <c r="C1155" s="2" t="s">
        <v>101</v>
      </c>
      <c r="D1155" s="2" t="n">
        <v>1</v>
      </c>
      <c r="E1155" s="15" t="n">
        <v>0.652083333333333</v>
      </c>
      <c r="F1155" s="7" t="n">
        <v>18000</v>
      </c>
      <c r="G1155" s="7" t="n">
        <f aca="false">D1155*F1155</f>
        <v>18000</v>
      </c>
      <c r="H1155" s="2" t="str">
        <f aca="false">INDEX(Daftar_Menu!$B$2:$B$13,MATCH(C1155,Daftar_Menu!$A$2:$A$13,0))</f>
        <v>Makanan</v>
      </c>
      <c r="I1155" s="2" t="str">
        <f aca="false">CHOOSE(WEEKDAY(B1155,2),"Senin","Selasa","Rabu","Kamis","Jumat","Sabtu","Minggu")</f>
        <v>Selasa</v>
      </c>
      <c r="J1155" s="2" t="n">
        <f aca="false">HOUR(E1155)</f>
        <v>15</v>
      </c>
      <c r="K1155" s="2" t="str">
        <f aca="false">IF(J1155&lt;11,"Pagi",IF(J1155&lt;17,"Siang","Malam"))</f>
        <v>Siang</v>
      </c>
      <c r="L1155" s="2" t="n">
        <f aca="false">IF(A1155&lt;&gt;A1154,1,0)</f>
        <v>1</v>
      </c>
    </row>
    <row r="1156" customFormat="false" ht="15" hidden="false" customHeight="false" outlineLevel="0" collapsed="false">
      <c r="A1156" s="2" t="s">
        <v>1237</v>
      </c>
      <c r="B1156" s="13" t="n">
        <v>46280</v>
      </c>
      <c r="C1156" s="2" t="s">
        <v>101</v>
      </c>
      <c r="D1156" s="2" t="n">
        <v>1</v>
      </c>
      <c r="E1156" s="15" t="n">
        <v>0.691666666666667</v>
      </c>
      <c r="F1156" s="7" t="n">
        <v>18000</v>
      </c>
      <c r="G1156" s="7" t="n">
        <f aca="false">D1156*F1156</f>
        <v>18000</v>
      </c>
      <c r="H1156" s="2" t="str">
        <f aca="false">INDEX(Daftar_Menu!$B$2:$B$13,MATCH(C1156,Daftar_Menu!$A$2:$A$13,0))</f>
        <v>Makanan</v>
      </c>
      <c r="I1156" s="2" t="str">
        <f aca="false">CHOOSE(WEEKDAY(B1156,2),"Senin","Selasa","Rabu","Kamis","Jumat","Sabtu","Minggu")</f>
        <v>Selasa</v>
      </c>
      <c r="J1156" s="2" t="n">
        <f aca="false">HOUR(E1156)</f>
        <v>16</v>
      </c>
      <c r="K1156" s="2" t="str">
        <f aca="false">IF(J1156&lt;11,"Pagi",IF(J1156&lt;17,"Siang","Malam"))</f>
        <v>Siang</v>
      </c>
      <c r="L1156" s="2" t="n">
        <f aca="false">IF(A1156&lt;&gt;A1155,1,0)</f>
        <v>1</v>
      </c>
    </row>
    <row r="1157" customFormat="false" ht="15" hidden="false" customHeight="false" outlineLevel="0" collapsed="false">
      <c r="A1157" s="2" t="s">
        <v>1238</v>
      </c>
      <c r="B1157" s="13" t="n">
        <v>46280</v>
      </c>
      <c r="C1157" s="2" t="s">
        <v>112</v>
      </c>
      <c r="D1157" s="2" t="n">
        <v>1</v>
      </c>
      <c r="E1157" s="15" t="n">
        <v>0.731944444444444</v>
      </c>
      <c r="F1157" s="7" t="n">
        <v>10000</v>
      </c>
      <c r="G1157" s="7" t="n">
        <f aca="false">D1157*F1157</f>
        <v>10000</v>
      </c>
      <c r="H1157" s="2" t="str">
        <f aca="false">INDEX(Daftar_Menu!$B$2:$B$13,MATCH(C1157,Daftar_Menu!$A$2:$A$13,0))</f>
        <v>Minuman</v>
      </c>
      <c r="I1157" s="2" t="str">
        <f aca="false">CHOOSE(WEEKDAY(B1157,2),"Senin","Selasa","Rabu","Kamis","Jumat","Sabtu","Minggu")</f>
        <v>Selasa</v>
      </c>
      <c r="J1157" s="2" t="n">
        <f aca="false">HOUR(E1157)</f>
        <v>17</v>
      </c>
      <c r="K1157" s="2" t="str">
        <f aca="false">IF(J1157&lt;11,"Pagi",IF(J1157&lt;17,"Siang","Malam"))</f>
        <v>Malam</v>
      </c>
      <c r="L1157" s="2" t="n">
        <f aca="false">IF(A1157&lt;&gt;A1156,1,0)</f>
        <v>1</v>
      </c>
    </row>
    <row r="1158" customFormat="false" ht="15" hidden="false" customHeight="false" outlineLevel="0" collapsed="false">
      <c r="A1158" s="2" t="s">
        <v>1238</v>
      </c>
      <c r="B1158" s="13" t="n">
        <v>46280</v>
      </c>
      <c r="C1158" s="2" t="s">
        <v>81</v>
      </c>
      <c r="D1158" s="2" t="n">
        <v>1</v>
      </c>
      <c r="E1158" s="15" t="n">
        <v>0.731944444444444</v>
      </c>
      <c r="F1158" s="7" t="n">
        <v>15000</v>
      </c>
      <c r="G1158" s="7" t="n">
        <f aca="false">D1158*F1158</f>
        <v>15000</v>
      </c>
      <c r="H1158" s="2" t="str">
        <f aca="false">INDEX(Daftar_Menu!$B$2:$B$13,MATCH(C1158,Daftar_Menu!$A$2:$A$13,0))</f>
        <v>Makanan</v>
      </c>
      <c r="I1158" s="2" t="str">
        <f aca="false">CHOOSE(WEEKDAY(B1158,2),"Senin","Selasa","Rabu","Kamis","Jumat","Sabtu","Minggu")</f>
        <v>Selasa</v>
      </c>
      <c r="J1158" s="2" t="n">
        <f aca="false">HOUR(E1158)</f>
        <v>17</v>
      </c>
      <c r="K1158" s="2" t="str">
        <f aca="false">IF(J1158&lt;11,"Pagi",IF(J1158&lt;17,"Siang","Malam"))</f>
        <v>Malam</v>
      </c>
      <c r="L1158" s="2" t="n">
        <f aca="false">IF(A1158&lt;&gt;A1157,1,0)</f>
        <v>0</v>
      </c>
    </row>
    <row r="1159" customFormat="false" ht="15" hidden="false" customHeight="false" outlineLevel="0" collapsed="false">
      <c r="A1159" s="2" t="s">
        <v>1239</v>
      </c>
      <c r="B1159" s="13" t="n">
        <v>46280</v>
      </c>
      <c r="C1159" s="2" t="s">
        <v>186</v>
      </c>
      <c r="D1159" s="2" t="n">
        <v>1</v>
      </c>
      <c r="E1159" s="15" t="n">
        <v>0.734722222222222</v>
      </c>
      <c r="F1159" s="7" t="n">
        <v>7000</v>
      </c>
      <c r="G1159" s="7" t="n">
        <f aca="false">D1159*F1159</f>
        <v>7000</v>
      </c>
      <c r="H1159" s="2" t="str">
        <f aca="false">INDEX(Daftar_Menu!$B$2:$B$13,MATCH(C1159,Daftar_Menu!$A$2:$A$13,0))</f>
        <v>Minuman</v>
      </c>
      <c r="I1159" s="2" t="str">
        <f aca="false">CHOOSE(WEEKDAY(B1159,2),"Senin","Selasa","Rabu","Kamis","Jumat","Sabtu","Minggu")</f>
        <v>Selasa</v>
      </c>
      <c r="J1159" s="2" t="n">
        <f aca="false">HOUR(E1159)</f>
        <v>17</v>
      </c>
      <c r="K1159" s="2" t="str">
        <f aca="false">IF(J1159&lt;11,"Pagi",IF(J1159&lt;17,"Siang","Malam"))</f>
        <v>Malam</v>
      </c>
      <c r="L1159" s="2" t="n">
        <f aca="false">IF(A1159&lt;&gt;A1158,1,0)</f>
        <v>1</v>
      </c>
    </row>
    <row r="1160" customFormat="false" ht="15" hidden="false" customHeight="false" outlineLevel="0" collapsed="false">
      <c r="A1160" s="2" t="s">
        <v>1239</v>
      </c>
      <c r="B1160" s="13" t="n">
        <v>46280</v>
      </c>
      <c r="C1160" s="2" t="s">
        <v>112</v>
      </c>
      <c r="D1160" s="2" t="n">
        <v>2</v>
      </c>
      <c r="E1160" s="15" t="n">
        <v>0.734722222222222</v>
      </c>
      <c r="F1160" s="7" t="n">
        <v>10000</v>
      </c>
      <c r="G1160" s="7" t="n">
        <f aca="false">D1160*F1160</f>
        <v>20000</v>
      </c>
      <c r="H1160" s="2" t="str">
        <f aca="false">INDEX(Daftar_Menu!$B$2:$B$13,MATCH(C1160,Daftar_Menu!$A$2:$A$13,0))</f>
        <v>Minuman</v>
      </c>
      <c r="I1160" s="2" t="str">
        <f aca="false">CHOOSE(WEEKDAY(B1160,2),"Senin","Selasa","Rabu","Kamis","Jumat","Sabtu","Minggu")</f>
        <v>Selasa</v>
      </c>
      <c r="J1160" s="2" t="n">
        <f aca="false">HOUR(E1160)</f>
        <v>17</v>
      </c>
      <c r="K1160" s="2" t="str">
        <f aca="false">IF(J1160&lt;11,"Pagi",IF(J1160&lt;17,"Siang","Malam"))</f>
        <v>Malam</v>
      </c>
      <c r="L1160" s="2" t="n">
        <f aca="false">IF(A1160&lt;&gt;A1159,1,0)</f>
        <v>0</v>
      </c>
    </row>
    <row r="1161" customFormat="false" ht="15" hidden="false" customHeight="false" outlineLevel="0" collapsed="false">
      <c r="A1161" s="2" t="s">
        <v>1241</v>
      </c>
      <c r="B1161" s="13" t="n">
        <v>46280</v>
      </c>
      <c r="C1161" s="2" t="s">
        <v>79</v>
      </c>
      <c r="D1161" s="2" t="n">
        <v>1</v>
      </c>
      <c r="E1161" s="15" t="n">
        <v>0.754861111111111</v>
      </c>
      <c r="F1161" s="7" t="n">
        <v>16000</v>
      </c>
      <c r="G1161" s="7" t="n">
        <f aca="false">D1161*F1161</f>
        <v>16000</v>
      </c>
      <c r="H1161" s="2" t="str">
        <f aca="false">INDEX(Daftar_Menu!$B$2:$B$13,MATCH(C1161,Daftar_Menu!$A$2:$A$13,0))</f>
        <v>Makanan</v>
      </c>
      <c r="I1161" s="2" t="str">
        <f aca="false">CHOOSE(WEEKDAY(B1161,2),"Senin","Selasa","Rabu","Kamis","Jumat","Sabtu","Minggu")</f>
        <v>Selasa</v>
      </c>
      <c r="J1161" s="2" t="n">
        <f aca="false">HOUR(E1161)</f>
        <v>18</v>
      </c>
      <c r="K1161" s="2" t="str">
        <f aca="false">IF(J1161&lt;11,"Pagi",IF(J1161&lt;17,"Siang","Malam"))</f>
        <v>Malam</v>
      </c>
      <c r="L1161" s="2" t="n">
        <f aca="false">IF(A1161&lt;&gt;A1160,1,0)</f>
        <v>1</v>
      </c>
    </row>
    <row r="1162" customFormat="false" ht="15" hidden="false" customHeight="false" outlineLevel="0" collapsed="false">
      <c r="A1162" s="2" t="s">
        <v>1241</v>
      </c>
      <c r="B1162" s="13" t="n">
        <v>46280</v>
      </c>
      <c r="C1162" s="2" t="s">
        <v>89</v>
      </c>
      <c r="D1162" s="2" t="n">
        <v>1</v>
      </c>
      <c r="E1162" s="15" t="n">
        <v>0.754861111111111</v>
      </c>
      <c r="F1162" s="7" t="n">
        <v>14000</v>
      </c>
      <c r="G1162" s="7" t="n">
        <f aca="false">D1162*F1162</f>
        <v>14000</v>
      </c>
      <c r="H1162" s="2" t="str">
        <f aca="false">INDEX(Daftar_Menu!$B$2:$B$13,MATCH(C1162,Daftar_Menu!$A$2:$A$13,0))</f>
        <v>Makanan</v>
      </c>
      <c r="I1162" s="2" t="str">
        <f aca="false">CHOOSE(WEEKDAY(B1162,2),"Senin","Selasa","Rabu","Kamis","Jumat","Sabtu","Minggu")</f>
        <v>Selasa</v>
      </c>
      <c r="J1162" s="2" t="n">
        <f aca="false">HOUR(E1162)</f>
        <v>18</v>
      </c>
      <c r="K1162" s="2" t="str">
        <f aca="false">IF(J1162&lt;11,"Pagi",IF(J1162&lt;17,"Siang","Malam"))</f>
        <v>Malam</v>
      </c>
      <c r="L1162" s="2" t="n">
        <f aca="false">IF(A1162&lt;&gt;A1161,1,0)</f>
        <v>0</v>
      </c>
    </row>
    <row r="1163" customFormat="false" ht="15" hidden="false" customHeight="false" outlineLevel="0" collapsed="false">
      <c r="A1163" s="2" t="s">
        <v>1241</v>
      </c>
      <c r="B1163" s="13" t="n">
        <v>46280</v>
      </c>
      <c r="C1163" s="2" t="s">
        <v>186</v>
      </c>
      <c r="D1163" s="2" t="n">
        <v>1</v>
      </c>
      <c r="E1163" s="15" t="n">
        <v>0.754861111111111</v>
      </c>
      <c r="F1163" s="7" t="n">
        <v>7000</v>
      </c>
      <c r="G1163" s="7" t="n">
        <f aca="false">D1163*F1163</f>
        <v>7000</v>
      </c>
      <c r="H1163" s="2" t="str">
        <f aca="false">INDEX(Daftar_Menu!$B$2:$B$13,MATCH(C1163,Daftar_Menu!$A$2:$A$13,0))</f>
        <v>Minuman</v>
      </c>
      <c r="I1163" s="2" t="str">
        <f aca="false">CHOOSE(WEEKDAY(B1163,2),"Senin","Selasa","Rabu","Kamis","Jumat","Sabtu","Minggu")</f>
        <v>Selasa</v>
      </c>
      <c r="J1163" s="2" t="n">
        <f aca="false">HOUR(E1163)</f>
        <v>18</v>
      </c>
      <c r="K1163" s="2" t="str">
        <f aca="false">IF(J1163&lt;11,"Pagi",IF(J1163&lt;17,"Siang","Malam"))</f>
        <v>Malam</v>
      </c>
      <c r="L1163" s="2" t="n">
        <f aca="false">IF(A1163&lt;&gt;A1162,1,0)</f>
        <v>0</v>
      </c>
    </row>
    <row r="1164" customFormat="false" ht="15" hidden="false" customHeight="false" outlineLevel="0" collapsed="false">
      <c r="A1164" s="2" t="s">
        <v>1242</v>
      </c>
      <c r="B1164" s="13" t="n">
        <v>46280</v>
      </c>
      <c r="C1164" s="2" t="s">
        <v>84</v>
      </c>
      <c r="D1164" s="2" t="n">
        <v>1</v>
      </c>
      <c r="E1164" s="15" t="n">
        <v>0.766666666666667</v>
      </c>
      <c r="F1164" s="7" t="n">
        <v>5000</v>
      </c>
      <c r="G1164" s="7" t="n">
        <f aca="false">D1164*F1164</f>
        <v>5000</v>
      </c>
      <c r="H1164" s="2" t="str">
        <f aca="false">INDEX(Daftar_Menu!$B$2:$B$13,MATCH(C1164,Daftar_Menu!$A$2:$A$13,0))</f>
        <v>Minuman</v>
      </c>
      <c r="I1164" s="2" t="str">
        <f aca="false">CHOOSE(WEEKDAY(B1164,2),"Senin","Selasa","Rabu","Kamis","Jumat","Sabtu","Minggu")</f>
        <v>Selasa</v>
      </c>
      <c r="J1164" s="2" t="n">
        <f aca="false">HOUR(E1164)</f>
        <v>18</v>
      </c>
      <c r="K1164" s="2" t="str">
        <f aca="false">IF(J1164&lt;11,"Pagi",IF(J1164&lt;17,"Siang","Malam"))</f>
        <v>Malam</v>
      </c>
      <c r="L1164" s="2" t="n">
        <f aca="false">IF(A1164&lt;&gt;A1163,1,0)</f>
        <v>1</v>
      </c>
    </row>
    <row r="1165" customFormat="false" ht="15" hidden="false" customHeight="false" outlineLevel="0" collapsed="false">
      <c r="A1165" s="2" t="s">
        <v>1243</v>
      </c>
      <c r="B1165" s="13" t="n">
        <v>46280</v>
      </c>
      <c r="C1165" s="2" t="s">
        <v>81</v>
      </c>
      <c r="D1165" s="2" t="n">
        <v>3</v>
      </c>
      <c r="E1165" s="15" t="n">
        <v>0.76875</v>
      </c>
      <c r="F1165" s="7" t="n">
        <v>15000</v>
      </c>
      <c r="G1165" s="7" t="n">
        <f aca="false">D1165*F1165</f>
        <v>45000</v>
      </c>
      <c r="H1165" s="2" t="str">
        <f aca="false">INDEX(Daftar_Menu!$B$2:$B$13,MATCH(C1165,Daftar_Menu!$A$2:$A$13,0))</f>
        <v>Makanan</v>
      </c>
      <c r="I1165" s="2" t="str">
        <f aca="false">CHOOSE(WEEKDAY(B1165,2),"Senin","Selasa","Rabu","Kamis","Jumat","Sabtu","Minggu")</f>
        <v>Selasa</v>
      </c>
      <c r="J1165" s="2" t="n">
        <f aca="false">HOUR(E1165)</f>
        <v>18</v>
      </c>
      <c r="K1165" s="2" t="str">
        <f aca="false">IF(J1165&lt;11,"Pagi",IF(J1165&lt;17,"Siang","Malam"))</f>
        <v>Malam</v>
      </c>
      <c r="L1165" s="2" t="n">
        <f aca="false">IF(A1165&lt;&gt;A1164,1,0)</f>
        <v>1</v>
      </c>
    </row>
    <row r="1166" customFormat="false" ht="15" hidden="false" customHeight="false" outlineLevel="0" collapsed="false">
      <c r="A1166" s="2" t="s">
        <v>1243</v>
      </c>
      <c r="B1166" s="13" t="n">
        <v>46280</v>
      </c>
      <c r="C1166" s="2" t="s">
        <v>186</v>
      </c>
      <c r="D1166" s="2" t="n">
        <v>3</v>
      </c>
      <c r="E1166" s="15" t="n">
        <v>0.76875</v>
      </c>
      <c r="F1166" s="7" t="n">
        <v>7000</v>
      </c>
      <c r="G1166" s="7" t="n">
        <f aca="false">D1166*F1166</f>
        <v>21000</v>
      </c>
      <c r="H1166" s="2" t="str">
        <f aca="false">INDEX(Daftar_Menu!$B$2:$B$13,MATCH(C1166,Daftar_Menu!$A$2:$A$13,0))</f>
        <v>Minuman</v>
      </c>
      <c r="I1166" s="2" t="str">
        <f aca="false">CHOOSE(WEEKDAY(B1166,2),"Senin","Selasa","Rabu","Kamis","Jumat","Sabtu","Minggu")</f>
        <v>Selasa</v>
      </c>
      <c r="J1166" s="2" t="n">
        <f aca="false">HOUR(E1166)</f>
        <v>18</v>
      </c>
      <c r="K1166" s="2" t="str">
        <f aca="false">IF(J1166&lt;11,"Pagi",IF(J1166&lt;17,"Siang","Malam"))</f>
        <v>Malam</v>
      </c>
      <c r="L1166" s="2" t="n">
        <f aca="false">IF(A1166&lt;&gt;A1165,1,0)</f>
        <v>0</v>
      </c>
    </row>
    <row r="1167" customFormat="false" ht="15" hidden="false" customHeight="false" outlineLevel="0" collapsed="false">
      <c r="A1167" s="2" t="s">
        <v>1244</v>
      </c>
      <c r="B1167" s="13" t="n">
        <v>46280</v>
      </c>
      <c r="C1167" s="2" t="s">
        <v>126</v>
      </c>
      <c r="D1167" s="2" t="n">
        <v>1</v>
      </c>
      <c r="E1167" s="15" t="n">
        <v>0.769444444444445</v>
      </c>
      <c r="F1167" s="7" t="n">
        <v>3000</v>
      </c>
      <c r="G1167" s="7" t="n">
        <f aca="false">D1167*F1167</f>
        <v>3000</v>
      </c>
      <c r="H1167" s="2" t="str">
        <f aca="false">INDEX(Daftar_Menu!$B$2:$B$13,MATCH(C1167,Daftar_Menu!$A$2:$A$13,0))</f>
        <v>Minuman</v>
      </c>
      <c r="I1167" s="2" t="str">
        <f aca="false">CHOOSE(WEEKDAY(B1167,2),"Senin","Selasa","Rabu","Kamis","Jumat","Sabtu","Minggu")</f>
        <v>Selasa</v>
      </c>
      <c r="J1167" s="2" t="n">
        <f aca="false">HOUR(E1167)</f>
        <v>18</v>
      </c>
      <c r="K1167" s="2" t="str">
        <f aca="false">IF(J1167&lt;11,"Pagi",IF(J1167&lt;17,"Siang","Malam"))</f>
        <v>Malam</v>
      </c>
      <c r="L1167" s="2" t="n">
        <f aca="false">IF(A1167&lt;&gt;A1166,1,0)</f>
        <v>1</v>
      </c>
    </row>
    <row r="1168" customFormat="false" ht="15" hidden="false" customHeight="false" outlineLevel="0" collapsed="false">
      <c r="A1168" s="2" t="s">
        <v>1245</v>
      </c>
      <c r="B1168" s="13" t="n">
        <v>46280</v>
      </c>
      <c r="C1168" s="2" t="s">
        <v>89</v>
      </c>
      <c r="D1168" s="2" t="n">
        <v>1</v>
      </c>
      <c r="E1168" s="15" t="n">
        <v>0.775694444444445</v>
      </c>
      <c r="F1168" s="7" t="n">
        <v>14000</v>
      </c>
      <c r="G1168" s="7" t="n">
        <f aca="false">D1168*F1168</f>
        <v>14000</v>
      </c>
      <c r="H1168" s="2" t="str">
        <f aca="false">INDEX(Daftar_Menu!$B$2:$B$13,MATCH(C1168,Daftar_Menu!$A$2:$A$13,0))</f>
        <v>Makanan</v>
      </c>
      <c r="I1168" s="2" t="str">
        <f aca="false">CHOOSE(WEEKDAY(B1168,2),"Senin","Selasa","Rabu","Kamis","Jumat","Sabtu","Minggu")</f>
        <v>Selasa</v>
      </c>
      <c r="J1168" s="2" t="n">
        <f aca="false">HOUR(E1168)</f>
        <v>18</v>
      </c>
      <c r="K1168" s="2" t="str">
        <f aca="false">IF(J1168&lt;11,"Pagi",IF(J1168&lt;17,"Siang","Malam"))</f>
        <v>Malam</v>
      </c>
      <c r="L1168" s="2" t="n">
        <f aca="false">IF(A1168&lt;&gt;A1167,1,0)</f>
        <v>1</v>
      </c>
    </row>
    <row r="1169" customFormat="false" ht="15" hidden="false" customHeight="false" outlineLevel="0" collapsed="false">
      <c r="A1169" s="2" t="s">
        <v>1246</v>
      </c>
      <c r="B1169" s="13" t="n">
        <v>46280</v>
      </c>
      <c r="C1169" s="2" t="s">
        <v>92</v>
      </c>
      <c r="D1169" s="2" t="n">
        <v>2</v>
      </c>
      <c r="E1169" s="15" t="n">
        <v>0.777777777777778</v>
      </c>
      <c r="F1169" s="7" t="n">
        <v>4000</v>
      </c>
      <c r="G1169" s="7" t="n">
        <f aca="false">D1169*F1169</f>
        <v>8000</v>
      </c>
      <c r="H1169" s="2" t="str">
        <f aca="false">INDEX(Daftar_Menu!$B$2:$B$13,MATCH(C1169,Daftar_Menu!$A$2:$A$13,0))</f>
        <v>Minuman</v>
      </c>
      <c r="I1169" s="2" t="str">
        <f aca="false">CHOOSE(WEEKDAY(B1169,2),"Senin","Selasa","Rabu","Kamis","Jumat","Sabtu","Minggu")</f>
        <v>Selasa</v>
      </c>
      <c r="J1169" s="2" t="n">
        <f aca="false">HOUR(E1169)</f>
        <v>18</v>
      </c>
      <c r="K1169" s="2" t="str">
        <f aca="false">IF(J1169&lt;11,"Pagi",IF(J1169&lt;17,"Siang","Malam"))</f>
        <v>Malam</v>
      </c>
      <c r="L1169" s="2" t="n">
        <f aca="false">IF(A1169&lt;&gt;A1168,1,0)</f>
        <v>1</v>
      </c>
    </row>
    <row r="1170" customFormat="false" ht="15" hidden="false" customHeight="false" outlineLevel="0" collapsed="false">
      <c r="A1170" s="2" t="s">
        <v>1247</v>
      </c>
      <c r="B1170" s="13" t="n">
        <v>46280</v>
      </c>
      <c r="C1170" s="2" t="s">
        <v>84</v>
      </c>
      <c r="D1170" s="2" t="n">
        <v>1</v>
      </c>
      <c r="E1170" s="15" t="n">
        <v>0.784722222222222</v>
      </c>
      <c r="F1170" s="7" t="n">
        <v>5000</v>
      </c>
      <c r="G1170" s="7" t="n">
        <f aca="false">D1170*F1170</f>
        <v>5000</v>
      </c>
      <c r="H1170" s="2" t="str">
        <f aca="false">INDEX(Daftar_Menu!$B$2:$B$13,MATCH(C1170,Daftar_Menu!$A$2:$A$13,0))</f>
        <v>Minuman</v>
      </c>
      <c r="I1170" s="2" t="str">
        <f aca="false">CHOOSE(WEEKDAY(B1170,2),"Senin","Selasa","Rabu","Kamis","Jumat","Sabtu","Minggu")</f>
        <v>Selasa</v>
      </c>
      <c r="J1170" s="2" t="n">
        <f aca="false">HOUR(E1170)</f>
        <v>18</v>
      </c>
      <c r="K1170" s="2" t="str">
        <f aca="false">IF(J1170&lt;11,"Pagi",IF(J1170&lt;17,"Siang","Malam"))</f>
        <v>Malam</v>
      </c>
      <c r="L1170" s="2" t="n">
        <f aca="false">IF(A1170&lt;&gt;A1169,1,0)</f>
        <v>1</v>
      </c>
    </row>
    <row r="1171" customFormat="false" ht="15" hidden="false" customHeight="false" outlineLevel="0" collapsed="false">
      <c r="A1171" s="2" t="s">
        <v>1247</v>
      </c>
      <c r="B1171" s="13" t="n">
        <v>46280</v>
      </c>
      <c r="C1171" s="2" t="s">
        <v>132</v>
      </c>
      <c r="D1171" s="2" t="n">
        <v>2</v>
      </c>
      <c r="E1171" s="15" t="n">
        <v>0.784722222222222</v>
      </c>
      <c r="F1171" s="7" t="n">
        <v>15000</v>
      </c>
      <c r="G1171" s="7" t="n">
        <f aca="false">D1171*F1171</f>
        <v>30000</v>
      </c>
      <c r="H1171" s="2" t="str">
        <f aca="false">INDEX(Daftar_Menu!$B$2:$B$13,MATCH(C1171,Daftar_Menu!$A$2:$A$13,0))</f>
        <v>Makanan</v>
      </c>
      <c r="I1171" s="2" t="str">
        <f aca="false">CHOOSE(WEEKDAY(B1171,2),"Senin","Selasa","Rabu","Kamis","Jumat","Sabtu","Minggu")</f>
        <v>Selasa</v>
      </c>
      <c r="J1171" s="2" t="n">
        <f aca="false">HOUR(E1171)</f>
        <v>18</v>
      </c>
      <c r="K1171" s="2" t="str">
        <f aca="false">IF(J1171&lt;11,"Pagi",IF(J1171&lt;17,"Siang","Malam"))</f>
        <v>Malam</v>
      </c>
      <c r="L1171" s="2" t="n">
        <f aca="false">IF(A1171&lt;&gt;A1170,1,0)</f>
        <v>0</v>
      </c>
    </row>
    <row r="1172" customFormat="false" ht="15" hidden="false" customHeight="false" outlineLevel="0" collapsed="false">
      <c r="A1172" s="2" t="s">
        <v>1248</v>
      </c>
      <c r="B1172" s="13" t="n">
        <v>46280</v>
      </c>
      <c r="C1172" s="2" t="s">
        <v>112</v>
      </c>
      <c r="D1172" s="2" t="n">
        <v>3</v>
      </c>
      <c r="E1172" s="15" t="n">
        <v>0.790972222222222</v>
      </c>
      <c r="F1172" s="7" t="n">
        <v>10000</v>
      </c>
      <c r="G1172" s="7" t="n">
        <f aca="false">D1172*F1172</f>
        <v>30000</v>
      </c>
      <c r="H1172" s="2" t="str">
        <f aca="false">INDEX(Daftar_Menu!$B$2:$B$13,MATCH(C1172,Daftar_Menu!$A$2:$A$13,0))</f>
        <v>Minuman</v>
      </c>
      <c r="I1172" s="2" t="str">
        <f aca="false">CHOOSE(WEEKDAY(B1172,2),"Senin","Selasa","Rabu","Kamis","Jumat","Sabtu","Minggu")</f>
        <v>Selasa</v>
      </c>
      <c r="J1172" s="2" t="n">
        <f aca="false">HOUR(E1172)</f>
        <v>18</v>
      </c>
      <c r="K1172" s="2" t="str">
        <f aca="false">IF(J1172&lt;11,"Pagi",IF(J1172&lt;17,"Siang","Malam"))</f>
        <v>Malam</v>
      </c>
      <c r="L1172" s="2" t="n">
        <f aca="false">IF(A1172&lt;&gt;A1171,1,0)</f>
        <v>1</v>
      </c>
    </row>
    <row r="1173" customFormat="false" ht="15" hidden="false" customHeight="false" outlineLevel="0" collapsed="false">
      <c r="A1173" s="2" t="s">
        <v>1249</v>
      </c>
      <c r="B1173" s="13" t="n">
        <v>46280</v>
      </c>
      <c r="C1173" s="2" t="s">
        <v>81</v>
      </c>
      <c r="D1173" s="2" t="n">
        <v>2</v>
      </c>
      <c r="E1173" s="15" t="n">
        <v>0.802777777777778</v>
      </c>
      <c r="F1173" s="7" t="n">
        <v>15000</v>
      </c>
      <c r="G1173" s="7" t="n">
        <f aca="false">D1173*F1173</f>
        <v>30000</v>
      </c>
      <c r="H1173" s="2" t="str">
        <f aca="false">INDEX(Daftar_Menu!$B$2:$B$13,MATCH(C1173,Daftar_Menu!$A$2:$A$13,0))</f>
        <v>Makanan</v>
      </c>
      <c r="I1173" s="2" t="str">
        <f aca="false">CHOOSE(WEEKDAY(B1173,2),"Senin","Selasa","Rabu","Kamis","Jumat","Sabtu","Minggu")</f>
        <v>Selasa</v>
      </c>
      <c r="J1173" s="2" t="n">
        <f aca="false">HOUR(E1173)</f>
        <v>19</v>
      </c>
      <c r="K1173" s="2" t="str">
        <f aca="false">IF(J1173&lt;11,"Pagi",IF(J1173&lt;17,"Siang","Malam"))</f>
        <v>Malam</v>
      </c>
      <c r="L1173" s="2" t="n">
        <f aca="false">IF(A1173&lt;&gt;A1172,1,0)</f>
        <v>1</v>
      </c>
    </row>
    <row r="1174" customFormat="false" ht="15" hidden="false" customHeight="false" outlineLevel="0" collapsed="false">
      <c r="A1174" s="2" t="s">
        <v>1249</v>
      </c>
      <c r="B1174" s="13" t="n">
        <v>46280</v>
      </c>
      <c r="C1174" s="2" t="s">
        <v>92</v>
      </c>
      <c r="D1174" s="2" t="n">
        <v>2</v>
      </c>
      <c r="E1174" s="15" t="n">
        <v>0.802777777777778</v>
      </c>
      <c r="F1174" s="7" t="n">
        <v>4000</v>
      </c>
      <c r="G1174" s="7" t="n">
        <f aca="false">D1174*F1174</f>
        <v>8000</v>
      </c>
      <c r="H1174" s="2" t="str">
        <f aca="false">INDEX(Daftar_Menu!$B$2:$B$13,MATCH(C1174,Daftar_Menu!$A$2:$A$13,0))</f>
        <v>Minuman</v>
      </c>
      <c r="I1174" s="2" t="str">
        <f aca="false">CHOOSE(WEEKDAY(B1174,2),"Senin","Selasa","Rabu","Kamis","Jumat","Sabtu","Minggu")</f>
        <v>Selasa</v>
      </c>
      <c r="J1174" s="2" t="n">
        <f aca="false">HOUR(E1174)</f>
        <v>19</v>
      </c>
      <c r="K1174" s="2" t="str">
        <f aca="false">IF(J1174&lt;11,"Pagi",IF(J1174&lt;17,"Siang","Malam"))</f>
        <v>Malam</v>
      </c>
      <c r="L1174" s="2" t="n">
        <f aca="false">IF(A1174&lt;&gt;A1173,1,0)</f>
        <v>0</v>
      </c>
    </row>
    <row r="1175" customFormat="false" ht="15" hidden="false" customHeight="false" outlineLevel="0" collapsed="false">
      <c r="A1175" s="2" t="s">
        <v>1249</v>
      </c>
      <c r="B1175" s="13" t="n">
        <v>46280</v>
      </c>
      <c r="C1175" s="2" t="s">
        <v>108</v>
      </c>
      <c r="D1175" s="2" t="n">
        <v>1</v>
      </c>
      <c r="E1175" s="15" t="n">
        <v>0.802777777777778</v>
      </c>
      <c r="F1175" s="7" t="n">
        <v>20000</v>
      </c>
      <c r="G1175" s="7" t="n">
        <f aca="false">D1175*F1175</f>
        <v>20000</v>
      </c>
      <c r="H1175" s="2" t="str">
        <f aca="false">INDEX(Daftar_Menu!$B$2:$B$13,MATCH(C1175,Daftar_Menu!$A$2:$A$13,0))</f>
        <v>Makanan</v>
      </c>
      <c r="I1175" s="2" t="str">
        <f aca="false">CHOOSE(WEEKDAY(B1175,2),"Senin","Selasa","Rabu","Kamis","Jumat","Sabtu","Minggu")</f>
        <v>Selasa</v>
      </c>
      <c r="J1175" s="2" t="n">
        <f aca="false">HOUR(E1175)</f>
        <v>19</v>
      </c>
      <c r="K1175" s="2" t="str">
        <f aca="false">IF(J1175&lt;11,"Pagi",IF(J1175&lt;17,"Siang","Malam"))</f>
        <v>Malam</v>
      </c>
      <c r="L1175" s="2" t="n">
        <f aca="false">IF(A1175&lt;&gt;A1174,1,0)</f>
        <v>0</v>
      </c>
    </row>
    <row r="1176" customFormat="false" ht="15" hidden="false" customHeight="false" outlineLevel="0" collapsed="false">
      <c r="A1176" s="2" t="s">
        <v>1251</v>
      </c>
      <c r="B1176" s="13" t="n">
        <v>46280</v>
      </c>
      <c r="C1176" s="2" t="s">
        <v>112</v>
      </c>
      <c r="D1176" s="2" t="n">
        <v>1</v>
      </c>
      <c r="E1176" s="15" t="n">
        <v>0.804861111111111</v>
      </c>
      <c r="F1176" s="7" t="n">
        <v>10000</v>
      </c>
      <c r="G1176" s="7" t="n">
        <f aca="false">D1176*F1176</f>
        <v>10000</v>
      </c>
      <c r="H1176" s="2" t="str">
        <f aca="false">INDEX(Daftar_Menu!$B$2:$B$13,MATCH(C1176,Daftar_Menu!$A$2:$A$13,0))</f>
        <v>Minuman</v>
      </c>
      <c r="I1176" s="2" t="str">
        <f aca="false">CHOOSE(WEEKDAY(B1176,2),"Senin","Selasa","Rabu","Kamis","Jumat","Sabtu","Minggu")</f>
        <v>Selasa</v>
      </c>
      <c r="J1176" s="2" t="n">
        <f aca="false">HOUR(E1176)</f>
        <v>19</v>
      </c>
      <c r="K1176" s="2" t="str">
        <f aca="false">IF(J1176&lt;11,"Pagi",IF(J1176&lt;17,"Siang","Malam"))</f>
        <v>Malam</v>
      </c>
      <c r="L1176" s="2" t="n">
        <f aca="false">IF(A1176&lt;&gt;A1175,1,0)</f>
        <v>1</v>
      </c>
    </row>
    <row r="1177" customFormat="false" ht="15" hidden="false" customHeight="false" outlineLevel="0" collapsed="false">
      <c r="A1177" s="2" t="s">
        <v>1253</v>
      </c>
      <c r="B1177" s="13" t="n">
        <v>46280</v>
      </c>
      <c r="C1177" s="2" t="s">
        <v>89</v>
      </c>
      <c r="D1177" s="2" t="n">
        <v>1</v>
      </c>
      <c r="E1177" s="15" t="n">
        <v>0.810416666666667</v>
      </c>
      <c r="F1177" s="7" t="n">
        <v>14000</v>
      </c>
      <c r="G1177" s="7" t="n">
        <f aca="false">D1177*F1177</f>
        <v>14000</v>
      </c>
      <c r="H1177" s="2" t="str">
        <f aca="false">INDEX(Daftar_Menu!$B$2:$B$13,MATCH(C1177,Daftar_Menu!$A$2:$A$13,0))</f>
        <v>Makanan</v>
      </c>
      <c r="I1177" s="2" t="str">
        <f aca="false">CHOOSE(WEEKDAY(B1177,2),"Senin","Selasa","Rabu","Kamis","Jumat","Sabtu","Minggu")</f>
        <v>Selasa</v>
      </c>
      <c r="J1177" s="2" t="n">
        <f aca="false">HOUR(E1177)</f>
        <v>19</v>
      </c>
      <c r="K1177" s="2" t="str">
        <f aca="false">IF(J1177&lt;11,"Pagi",IF(J1177&lt;17,"Siang","Malam"))</f>
        <v>Malam</v>
      </c>
      <c r="L1177" s="2" t="n">
        <f aca="false">IF(A1177&lt;&gt;A1176,1,0)</f>
        <v>1</v>
      </c>
    </row>
    <row r="1178" customFormat="false" ht="15" hidden="false" customHeight="false" outlineLevel="0" collapsed="false">
      <c r="A1178" s="2" t="s">
        <v>1254</v>
      </c>
      <c r="B1178" s="13" t="n">
        <v>46280</v>
      </c>
      <c r="C1178" s="2" t="s">
        <v>81</v>
      </c>
      <c r="D1178" s="2" t="n">
        <v>1</v>
      </c>
      <c r="E1178" s="15" t="n">
        <v>0.81875</v>
      </c>
      <c r="F1178" s="7" t="n">
        <v>15000</v>
      </c>
      <c r="G1178" s="7" t="n">
        <f aca="false">D1178*F1178</f>
        <v>15000</v>
      </c>
      <c r="H1178" s="2" t="str">
        <f aca="false">INDEX(Daftar_Menu!$B$2:$B$13,MATCH(C1178,Daftar_Menu!$A$2:$A$13,0))</f>
        <v>Makanan</v>
      </c>
      <c r="I1178" s="2" t="str">
        <f aca="false">CHOOSE(WEEKDAY(B1178,2),"Senin","Selasa","Rabu","Kamis","Jumat","Sabtu","Minggu")</f>
        <v>Selasa</v>
      </c>
      <c r="J1178" s="2" t="n">
        <f aca="false">HOUR(E1178)</f>
        <v>19</v>
      </c>
      <c r="K1178" s="2" t="str">
        <f aca="false">IF(J1178&lt;11,"Pagi",IF(J1178&lt;17,"Siang","Malam"))</f>
        <v>Malam</v>
      </c>
      <c r="L1178" s="2" t="n">
        <f aca="false">IF(A1178&lt;&gt;A1177,1,0)</f>
        <v>1</v>
      </c>
    </row>
    <row r="1179" customFormat="false" ht="15" hidden="false" customHeight="false" outlineLevel="0" collapsed="false">
      <c r="A1179" s="2" t="s">
        <v>1254</v>
      </c>
      <c r="B1179" s="13" t="n">
        <v>46280</v>
      </c>
      <c r="C1179" s="2" t="s">
        <v>132</v>
      </c>
      <c r="D1179" s="2" t="n">
        <v>1</v>
      </c>
      <c r="E1179" s="15" t="n">
        <v>0.81875</v>
      </c>
      <c r="F1179" s="7" t="n">
        <v>15000</v>
      </c>
      <c r="G1179" s="7" t="n">
        <f aca="false">D1179*F1179</f>
        <v>15000</v>
      </c>
      <c r="H1179" s="2" t="str">
        <f aca="false">INDEX(Daftar_Menu!$B$2:$B$13,MATCH(C1179,Daftar_Menu!$A$2:$A$13,0))</f>
        <v>Makanan</v>
      </c>
      <c r="I1179" s="2" t="str">
        <f aca="false">CHOOSE(WEEKDAY(B1179,2),"Senin","Selasa","Rabu","Kamis","Jumat","Sabtu","Minggu")</f>
        <v>Selasa</v>
      </c>
      <c r="J1179" s="2" t="n">
        <f aca="false">HOUR(E1179)</f>
        <v>19</v>
      </c>
      <c r="K1179" s="2" t="str">
        <f aca="false">IF(J1179&lt;11,"Pagi",IF(J1179&lt;17,"Siang","Malam"))</f>
        <v>Malam</v>
      </c>
      <c r="L1179" s="2" t="n">
        <f aca="false">IF(A1179&lt;&gt;A1178,1,0)</f>
        <v>0</v>
      </c>
    </row>
    <row r="1180" customFormat="false" ht="15" hidden="false" customHeight="false" outlineLevel="0" collapsed="false">
      <c r="A1180" s="2" t="s">
        <v>1255</v>
      </c>
      <c r="B1180" s="13" t="n">
        <v>46280</v>
      </c>
      <c r="C1180" s="2" t="s">
        <v>186</v>
      </c>
      <c r="D1180" s="2" t="n">
        <v>2</v>
      </c>
      <c r="E1180" s="15" t="n">
        <v>0.822916666666667</v>
      </c>
      <c r="F1180" s="7" t="n">
        <v>7000</v>
      </c>
      <c r="G1180" s="7" t="n">
        <f aca="false">D1180*F1180</f>
        <v>14000</v>
      </c>
      <c r="H1180" s="2" t="str">
        <f aca="false">INDEX(Daftar_Menu!$B$2:$B$13,MATCH(C1180,Daftar_Menu!$A$2:$A$13,0))</f>
        <v>Minuman</v>
      </c>
      <c r="I1180" s="2" t="str">
        <f aca="false">CHOOSE(WEEKDAY(B1180,2),"Senin","Selasa","Rabu","Kamis","Jumat","Sabtu","Minggu")</f>
        <v>Selasa</v>
      </c>
      <c r="J1180" s="2" t="n">
        <f aca="false">HOUR(E1180)</f>
        <v>19</v>
      </c>
      <c r="K1180" s="2" t="str">
        <f aca="false">IF(J1180&lt;11,"Pagi",IF(J1180&lt;17,"Siang","Malam"))</f>
        <v>Malam</v>
      </c>
      <c r="L1180" s="2" t="n">
        <f aca="false">IF(A1180&lt;&gt;A1179,1,0)</f>
        <v>1</v>
      </c>
    </row>
    <row r="1181" customFormat="false" ht="15" hidden="false" customHeight="false" outlineLevel="0" collapsed="false">
      <c r="A1181" s="2" t="s">
        <v>1256</v>
      </c>
      <c r="B1181" s="13" t="n">
        <v>46280</v>
      </c>
      <c r="C1181" s="2" t="s">
        <v>82</v>
      </c>
      <c r="D1181" s="2" t="n">
        <v>1</v>
      </c>
      <c r="E1181" s="15" t="n">
        <v>0.846527777777778</v>
      </c>
      <c r="F1181" s="7" t="n">
        <v>13000</v>
      </c>
      <c r="G1181" s="7" t="n">
        <f aca="false">D1181*F1181</f>
        <v>13000</v>
      </c>
      <c r="H1181" s="2" t="str">
        <f aca="false">INDEX(Daftar_Menu!$B$2:$B$13,MATCH(C1181,Daftar_Menu!$A$2:$A$13,0))</f>
        <v>Makanan</v>
      </c>
      <c r="I1181" s="2" t="str">
        <f aca="false">CHOOSE(WEEKDAY(B1181,2),"Senin","Selasa","Rabu","Kamis","Jumat","Sabtu","Minggu")</f>
        <v>Selasa</v>
      </c>
      <c r="J1181" s="2" t="n">
        <f aca="false">HOUR(E1181)</f>
        <v>20</v>
      </c>
      <c r="K1181" s="2" t="str">
        <f aca="false">IF(J1181&lt;11,"Pagi",IF(J1181&lt;17,"Siang","Malam"))</f>
        <v>Malam</v>
      </c>
      <c r="L1181" s="2" t="n">
        <f aca="false">IF(A1181&lt;&gt;A1180,1,0)</f>
        <v>1</v>
      </c>
    </row>
    <row r="1182" customFormat="false" ht="15" hidden="false" customHeight="false" outlineLevel="0" collapsed="false">
      <c r="A1182" s="2" t="s">
        <v>1258</v>
      </c>
      <c r="B1182" s="13" t="n">
        <v>46280</v>
      </c>
      <c r="C1182" s="2" t="s">
        <v>82</v>
      </c>
      <c r="D1182" s="2" t="n">
        <v>2</v>
      </c>
      <c r="E1182" s="15" t="n">
        <v>0.871527777777778</v>
      </c>
      <c r="F1182" s="7" t="n">
        <v>13000</v>
      </c>
      <c r="G1182" s="7" t="n">
        <f aca="false">D1182*F1182</f>
        <v>26000</v>
      </c>
      <c r="H1182" s="2" t="str">
        <f aca="false">INDEX(Daftar_Menu!$B$2:$B$13,MATCH(C1182,Daftar_Menu!$A$2:$A$13,0))</f>
        <v>Makanan</v>
      </c>
      <c r="I1182" s="2" t="str">
        <f aca="false">CHOOSE(WEEKDAY(B1182,2),"Senin","Selasa","Rabu","Kamis","Jumat","Sabtu","Minggu")</f>
        <v>Selasa</v>
      </c>
      <c r="J1182" s="2" t="n">
        <f aca="false">HOUR(E1182)</f>
        <v>20</v>
      </c>
      <c r="K1182" s="2" t="str">
        <f aca="false">IF(J1182&lt;11,"Pagi",IF(J1182&lt;17,"Siang","Malam"))</f>
        <v>Malam</v>
      </c>
      <c r="L1182" s="2" t="n">
        <f aca="false">IF(A1182&lt;&gt;A1181,1,0)</f>
        <v>1</v>
      </c>
    </row>
    <row r="1183" customFormat="false" ht="15" hidden="false" customHeight="false" outlineLevel="0" collapsed="false">
      <c r="A1183" s="2" t="s">
        <v>1258</v>
      </c>
      <c r="B1183" s="13" t="n">
        <v>46280</v>
      </c>
      <c r="C1183" s="2" t="s">
        <v>101</v>
      </c>
      <c r="D1183" s="2" t="n">
        <v>2</v>
      </c>
      <c r="E1183" s="15" t="n">
        <v>0.871527777777778</v>
      </c>
      <c r="F1183" s="7" t="n">
        <v>18000</v>
      </c>
      <c r="G1183" s="7" t="n">
        <f aca="false">D1183*F1183</f>
        <v>36000</v>
      </c>
      <c r="H1183" s="2" t="str">
        <f aca="false">INDEX(Daftar_Menu!$B$2:$B$13,MATCH(C1183,Daftar_Menu!$A$2:$A$13,0))</f>
        <v>Makanan</v>
      </c>
      <c r="I1183" s="2" t="str">
        <f aca="false">CHOOSE(WEEKDAY(B1183,2),"Senin","Selasa","Rabu","Kamis","Jumat","Sabtu","Minggu")</f>
        <v>Selasa</v>
      </c>
      <c r="J1183" s="2" t="n">
        <f aca="false">HOUR(E1183)</f>
        <v>20</v>
      </c>
      <c r="K1183" s="2" t="str">
        <f aca="false">IF(J1183&lt;11,"Pagi",IF(J1183&lt;17,"Siang","Malam"))</f>
        <v>Malam</v>
      </c>
      <c r="L1183" s="2" t="n">
        <f aca="false">IF(A1183&lt;&gt;A1182,1,0)</f>
        <v>0</v>
      </c>
    </row>
    <row r="1184" customFormat="false" ht="15" hidden="false" customHeight="false" outlineLevel="0" collapsed="false">
      <c r="A1184" s="2" t="s">
        <v>1259</v>
      </c>
      <c r="B1184" s="13" t="n">
        <v>46281</v>
      </c>
      <c r="C1184" s="2" t="s">
        <v>186</v>
      </c>
      <c r="D1184" s="2" t="n">
        <v>1</v>
      </c>
      <c r="E1184" s="15" t="n">
        <v>0.395138888888889</v>
      </c>
      <c r="F1184" s="7" t="n">
        <v>7000</v>
      </c>
      <c r="G1184" s="7" t="n">
        <f aca="false">D1184*F1184</f>
        <v>7000</v>
      </c>
      <c r="H1184" s="2" t="str">
        <f aca="false">INDEX(Daftar_Menu!$B$2:$B$13,MATCH(C1184,Daftar_Menu!$A$2:$A$13,0))</f>
        <v>Minuman</v>
      </c>
      <c r="I1184" s="2" t="str">
        <f aca="false">CHOOSE(WEEKDAY(B1184,2),"Senin","Selasa","Rabu","Kamis","Jumat","Sabtu","Minggu")</f>
        <v>Rabu</v>
      </c>
      <c r="J1184" s="2" t="n">
        <f aca="false">HOUR(E1184)</f>
        <v>9</v>
      </c>
      <c r="K1184" s="2" t="str">
        <f aca="false">IF(J1184&lt;11,"Pagi",IF(J1184&lt;17,"Siang","Malam"))</f>
        <v>Pagi</v>
      </c>
      <c r="L1184" s="2" t="n">
        <f aca="false">IF(A1184&lt;&gt;A1183,1,0)</f>
        <v>1</v>
      </c>
    </row>
    <row r="1185" customFormat="false" ht="15" hidden="false" customHeight="false" outlineLevel="0" collapsed="false">
      <c r="A1185" s="2" t="s">
        <v>1261</v>
      </c>
      <c r="B1185" s="13" t="n">
        <v>46281</v>
      </c>
      <c r="C1185" s="2" t="s">
        <v>101</v>
      </c>
      <c r="D1185" s="2" t="n">
        <v>1</v>
      </c>
      <c r="E1185" s="15" t="n">
        <v>0.440972222222222</v>
      </c>
      <c r="F1185" s="7" t="n">
        <v>18000</v>
      </c>
      <c r="G1185" s="7" t="n">
        <f aca="false">D1185*F1185</f>
        <v>18000</v>
      </c>
      <c r="H1185" s="2" t="str">
        <f aca="false">INDEX(Daftar_Menu!$B$2:$B$13,MATCH(C1185,Daftar_Menu!$A$2:$A$13,0))</f>
        <v>Makanan</v>
      </c>
      <c r="I1185" s="2" t="str">
        <f aca="false">CHOOSE(WEEKDAY(B1185,2),"Senin","Selasa","Rabu","Kamis","Jumat","Sabtu","Minggu")</f>
        <v>Rabu</v>
      </c>
      <c r="J1185" s="2" t="n">
        <f aca="false">HOUR(E1185)</f>
        <v>10</v>
      </c>
      <c r="K1185" s="2" t="str">
        <f aca="false">IF(J1185&lt;11,"Pagi",IF(J1185&lt;17,"Siang","Malam"))</f>
        <v>Pagi</v>
      </c>
      <c r="L1185" s="2" t="n">
        <f aca="false">IF(A1185&lt;&gt;A1184,1,0)</f>
        <v>1</v>
      </c>
    </row>
    <row r="1186" customFormat="false" ht="15" hidden="false" customHeight="false" outlineLevel="0" collapsed="false">
      <c r="A1186" s="2" t="s">
        <v>1261</v>
      </c>
      <c r="B1186" s="13" t="n">
        <v>46281</v>
      </c>
      <c r="C1186" s="2" t="s">
        <v>108</v>
      </c>
      <c r="D1186" s="2" t="n">
        <v>3</v>
      </c>
      <c r="E1186" s="15" t="n">
        <v>0.440972222222222</v>
      </c>
      <c r="F1186" s="7" t="n">
        <v>20000</v>
      </c>
      <c r="G1186" s="7" t="n">
        <f aca="false">D1186*F1186</f>
        <v>60000</v>
      </c>
      <c r="H1186" s="2" t="str">
        <f aca="false">INDEX(Daftar_Menu!$B$2:$B$13,MATCH(C1186,Daftar_Menu!$A$2:$A$13,0))</f>
        <v>Makanan</v>
      </c>
      <c r="I1186" s="2" t="str">
        <f aca="false">CHOOSE(WEEKDAY(B1186,2),"Senin","Selasa","Rabu","Kamis","Jumat","Sabtu","Minggu")</f>
        <v>Rabu</v>
      </c>
      <c r="J1186" s="2" t="n">
        <f aca="false">HOUR(E1186)</f>
        <v>10</v>
      </c>
      <c r="K1186" s="2" t="str">
        <f aca="false">IF(J1186&lt;11,"Pagi",IF(J1186&lt;17,"Siang","Malam"))</f>
        <v>Pagi</v>
      </c>
      <c r="L1186" s="2" t="n">
        <f aca="false">IF(A1186&lt;&gt;A1185,1,0)</f>
        <v>0</v>
      </c>
    </row>
    <row r="1187" customFormat="false" ht="15" hidden="false" customHeight="false" outlineLevel="0" collapsed="false">
      <c r="A1187" s="2" t="s">
        <v>1262</v>
      </c>
      <c r="B1187" s="13" t="n">
        <v>46281</v>
      </c>
      <c r="C1187" s="2" t="s">
        <v>108</v>
      </c>
      <c r="D1187" s="2" t="n">
        <v>2</v>
      </c>
      <c r="E1187" s="15" t="n">
        <v>0.460416666666667</v>
      </c>
      <c r="F1187" s="7" t="n">
        <v>20000</v>
      </c>
      <c r="G1187" s="7" t="n">
        <f aca="false">D1187*F1187</f>
        <v>40000</v>
      </c>
      <c r="H1187" s="2" t="str">
        <f aca="false">INDEX(Daftar_Menu!$B$2:$B$13,MATCH(C1187,Daftar_Menu!$A$2:$A$13,0))</f>
        <v>Makanan</v>
      </c>
      <c r="I1187" s="2" t="str">
        <f aca="false">CHOOSE(WEEKDAY(B1187,2),"Senin","Selasa","Rabu","Kamis","Jumat","Sabtu","Minggu")</f>
        <v>Rabu</v>
      </c>
      <c r="J1187" s="2" t="n">
        <f aca="false">HOUR(E1187)</f>
        <v>11</v>
      </c>
      <c r="K1187" s="2" t="str">
        <f aca="false">IF(J1187&lt;11,"Pagi",IF(J1187&lt;17,"Siang","Malam"))</f>
        <v>Siang</v>
      </c>
      <c r="L1187" s="2" t="n">
        <f aca="false">IF(A1187&lt;&gt;A1186,1,0)</f>
        <v>1</v>
      </c>
    </row>
    <row r="1188" customFormat="false" ht="15" hidden="false" customHeight="false" outlineLevel="0" collapsed="false">
      <c r="A1188" s="2" t="s">
        <v>1262</v>
      </c>
      <c r="B1188" s="13" t="n">
        <v>46281</v>
      </c>
      <c r="C1188" s="2" t="s">
        <v>84</v>
      </c>
      <c r="D1188" s="2" t="n">
        <v>1</v>
      </c>
      <c r="E1188" s="15" t="n">
        <v>0.460416666666667</v>
      </c>
      <c r="F1188" s="7" t="n">
        <v>5000</v>
      </c>
      <c r="G1188" s="7" t="n">
        <f aca="false">D1188*F1188</f>
        <v>5000</v>
      </c>
      <c r="H1188" s="2" t="str">
        <f aca="false">INDEX(Daftar_Menu!$B$2:$B$13,MATCH(C1188,Daftar_Menu!$A$2:$A$13,0))</f>
        <v>Minuman</v>
      </c>
      <c r="I1188" s="2" t="str">
        <f aca="false">CHOOSE(WEEKDAY(B1188,2),"Senin","Selasa","Rabu","Kamis","Jumat","Sabtu","Minggu")</f>
        <v>Rabu</v>
      </c>
      <c r="J1188" s="2" t="n">
        <f aca="false">HOUR(E1188)</f>
        <v>11</v>
      </c>
      <c r="K1188" s="2" t="str">
        <f aca="false">IF(J1188&lt;11,"Pagi",IF(J1188&lt;17,"Siang","Malam"))</f>
        <v>Siang</v>
      </c>
      <c r="L1188" s="2" t="n">
        <f aca="false">IF(A1188&lt;&gt;A1187,1,0)</f>
        <v>0</v>
      </c>
    </row>
    <row r="1189" customFormat="false" ht="15" hidden="false" customHeight="false" outlineLevel="0" collapsed="false">
      <c r="A1189" s="2" t="s">
        <v>1263</v>
      </c>
      <c r="B1189" s="13" t="n">
        <v>46281</v>
      </c>
      <c r="C1189" s="2" t="s">
        <v>92</v>
      </c>
      <c r="D1189" s="2" t="n">
        <v>1</v>
      </c>
      <c r="E1189" s="15" t="n">
        <v>0.461111111111111</v>
      </c>
      <c r="F1189" s="7" t="n">
        <v>4000</v>
      </c>
      <c r="G1189" s="7" t="n">
        <f aca="false">D1189*F1189</f>
        <v>4000</v>
      </c>
      <c r="H1189" s="2" t="str">
        <f aca="false">INDEX(Daftar_Menu!$B$2:$B$13,MATCH(C1189,Daftar_Menu!$A$2:$A$13,0))</f>
        <v>Minuman</v>
      </c>
      <c r="I1189" s="2" t="str">
        <f aca="false">CHOOSE(WEEKDAY(B1189,2),"Senin","Selasa","Rabu","Kamis","Jumat","Sabtu","Minggu")</f>
        <v>Rabu</v>
      </c>
      <c r="J1189" s="2" t="n">
        <f aca="false">HOUR(E1189)</f>
        <v>11</v>
      </c>
      <c r="K1189" s="2" t="str">
        <f aca="false">IF(J1189&lt;11,"Pagi",IF(J1189&lt;17,"Siang","Malam"))</f>
        <v>Siang</v>
      </c>
      <c r="L1189" s="2" t="n">
        <f aca="false">IF(A1189&lt;&gt;A1188,1,0)</f>
        <v>1</v>
      </c>
    </row>
    <row r="1190" customFormat="false" ht="15" hidden="false" customHeight="false" outlineLevel="0" collapsed="false">
      <c r="A1190" s="2" t="s">
        <v>1264</v>
      </c>
      <c r="B1190" s="13" t="n">
        <v>46281</v>
      </c>
      <c r="C1190" s="2" t="s">
        <v>81</v>
      </c>
      <c r="D1190" s="2" t="n">
        <v>1</v>
      </c>
      <c r="E1190" s="15" t="n">
        <v>0.466666666666667</v>
      </c>
      <c r="F1190" s="7" t="n">
        <v>15000</v>
      </c>
      <c r="G1190" s="7" t="n">
        <f aca="false">D1190*F1190</f>
        <v>15000</v>
      </c>
      <c r="H1190" s="2" t="str">
        <f aca="false">INDEX(Daftar_Menu!$B$2:$B$13,MATCH(C1190,Daftar_Menu!$A$2:$A$13,0))</f>
        <v>Makanan</v>
      </c>
      <c r="I1190" s="2" t="str">
        <f aca="false">CHOOSE(WEEKDAY(B1190,2),"Senin","Selasa","Rabu","Kamis","Jumat","Sabtu","Minggu")</f>
        <v>Rabu</v>
      </c>
      <c r="J1190" s="2" t="n">
        <f aca="false">HOUR(E1190)</f>
        <v>11</v>
      </c>
      <c r="K1190" s="2" t="str">
        <f aca="false">IF(J1190&lt;11,"Pagi",IF(J1190&lt;17,"Siang","Malam"))</f>
        <v>Siang</v>
      </c>
      <c r="L1190" s="2" t="n">
        <f aca="false">IF(A1190&lt;&gt;A1189,1,0)</f>
        <v>1</v>
      </c>
    </row>
    <row r="1191" customFormat="false" ht="15" hidden="false" customHeight="false" outlineLevel="0" collapsed="false">
      <c r="A1191" s="2" t="s">
        <v>1264</v>
      </c>
      <c r="B1191" s="13" t="n">
        <v>46281</v>
      </c>
      <c r="C1191" s="2" t="s">
        <v>89</v>
      </c>
      <c r="D1191" s="2" t="n">
        <v>1</v>
      </c>
      <c r="E1191" s="15" t="n">
        <v>0.466666666666667</v>
      </c>
      <c r="F1191" s="7" t="n">
        <v>14000</v>
      </c>
      <c r="G1191" s="7" t="n">
        <f aca="false">D1191*F1191</f>
        <v>14000</v>
      </c>
      <c r="H1191" s="2" t="str">
        <f aca="false">INDEX(Daftar_Menu!$B$2:$B$13,MATCH(C1191,Daftar_Menu!$A$2:$A$13,0))</f>
        <v>Makanan</v>
      </c>
      <c r="I1191" s="2" t="str">
        <f aca="false">CHOOSE(WEEKDAY(B1191,2),"Senin","Selasa","Rabu","Kamis","Jumat","Sabtu","Minggu")</f>
        <v>Rabu</v>
      </c>
      <c r="J1191" s="2" t="n">
        <f aca="false">HOUR(E1191)</f>
        <v>11</v>
      </c>
      <c r="K1191" s="2" t="str">
        <f aca="false">IF(J1191&lt;11,"Pagi",IF(J1191&lt;17,"Siang","Malam"))</f>
        <v>Siang</v>
      </c>
      <c r="L1191" s="2" t="n">
        <f aca="false">IF(A1191&lt;&gt;A1190,1,0)</f>
        <v>0</v>
      </c>
    </row>
    <row r="1192" customFormat="false" ht="15" hidden="false" customHeight="false" outlineLevel="0" collapsed="false">
      <c r="A1192" s="2" t="s">
        <v>1265</v>
      </c>
      <c r="B1192" s="13" t="n">
        <v>46281</v>
      </c>
      <c r="C1192" s="2" t="s">
        <v>92</v>
      </c>
      <c r="D1192" s="2" t="n">
        <v>1</v>
      </c>
      <c r="E1192" s="15" t="n">
        <v>0.472222222222222</v>
      </c>
      <c r="F1192" s="7" t="n">
        <v>4000</v>
      </c>
      <c r="G1192" s="7" t="n">
        <f aca="false">D1192*F1192</f>
        <v>4000</v>
      </c>
      <c r="H1192" s="2" t="str">
        <f aca="false">INDEX(Daftar_Menu!$B$2:$B$13,MATCH(C1192,Daftar_Menu!$A$2:$A$13,0))</f>
        <v>Minuman</v>
      </c>
      <c r="I1192" s="2" t="str">
        <f aca="false">CHOOSE(WEEKDAY(B1192,2),"Senin","Selasa","Rabu","Kamis","Jumat","Sabtu","Minggu")</f>
        <v>Rabu</v>
      </c>
      <c r="J1192" s="2" t="n">
        <f aca="false">HOUR(E1192)</f>
        <v>11</v>
      </c>
      <c r="K1192" s="2" t="str">
        <f aca="false">IF(J1192&lt;11,"Pagi",IF(J1192&lt;17,"Siang","Malam"))</f>
        <v>Siang</v>
      </c>
      <c r="L1192" s="2" t="n">
        <f aca="false">IF(A1192&lt;&gt;A1191,1,0)</f>
        <v>1</v>
      </c>
    </row>
    <row r="1193" customFormat="false" ht="15" hidden="false" customHeight="false" outlineLevel="0" collapsed="false">
      <c r="A1193" s="2" t="s">
        <v>1266</v>
      </c>
      <c r="B1193" s="13" t="n">
        <v>46281</v>
      </c>
      <c r="C1193" s="2" t="s">
        <v>84</v>
      </c>
      <c r="D1193" s="2" t="n">
        <v>1</v>
      </c>
      <c r="E1193" s="15" t="n">
        <v>0.490972222222222</v>
      </c>
      <c r="F1193" s="7" t="n">
        <v>5000</v>
      </c>
      <c r="G1193" s="7" t="n">
        <f aca="false">D1193*F1193</f>
        <v>5000</v>
      </c>
      <c r="H1193" s="2" t="str">
        <f aca="false">INDEX(Daftar_Menu!$B$2:$B$13,MATCH(C1193,Daftar_Menu!$A$2:$A$13,0))</f>
        <v>Minuman</v>
      </c>
      <c r="I1193" s="2" t="str">
        <f aca="false">CHOOSE(WEEKDAY(B1193,2),"Senin","Selasa","Rabu","Kamis","Jumat","Sabtu","Minggu")</f>
        <v>Rabu</v>
      </c>
      <c r="J1193" s="2" t="n">
        <f aca="false">HOUR(E1193)</f>
        <v>11</v>
      </c>
      <c r="K1193" s="2" t="str">
        <f aca="false">IF(J1193&lt;11,"Pagi",IF(J1193&lt;17,"Siang","Malam"))</f>
        <v>Siang</v>
      </c>
      <c r="L1193" s="2" t="n">
        <f aca="false">IF(A1193&lt;&gt;A1192,1,0)</f>
        <v>1</v>
      </c>
    </row>
    <row r="1194" customFormat="false" ht="15" hidden="false" customHeight="false" outlineLevel="0" collapsed="false">
      <c r="A1194" s="2" t="s">
        <v>1266</v>
      </c>
      <c r="B1194" s="13" t="n">
        <v>46281</v>
      </c>
      <c r="C1194" s="2" t="s">
        <v>92</v>
      </c>
      <c r="D1194" s="2" t="n">
        <v>1</v>
      </c>
      <c r="E1194" s="15" t="n">
        <v>0.490972222222222</v>
      </c>
      <c r="F1194" s="7" t="n">
        <v>4000</v>
      </c>
      <c r="G1194" s="7" t="n">
        <f aca="false">D1194*F1194</f>
        <v>4000</v>
      </c>
      <c r="H1194" s="2" t="str">
        <f aca="false">INDEX(Daftar_Menu!$B$2:$B$13,MATCH(C1194,Daftar_Menu!$A$2:$A$13,0))</f>
        <v>Minuman</v>
      </c>
      <c r="I1194" s="2" t="str">
        <f aca="false">CHOOSE(WEEKDAY(B1194,2),"Senin","Selasa","Rabu","Kamis","Jumat","Sabtu","Minggu")</f>
        <v>Rabu</v>
      </c>
      <c r="J1194" s="2" t="n">
        <f aca="false">HOUR(E1194)</f>
        <v>11</v>
      </c>
      <c r="K1194" s="2" t="str">
        <f aca="false">IF(J1194&lt;11,"Pagi",IF(J1194&lt;17,"Siang","Malam"))</f>
        <v>Siang</v>
      </c>
      <c r="L1194" s="2" t="n">
        <f aca="false">IF(A1194&lt;&gt;A1193,1,0)</f>
        <v>0</v>
      </c>
    </row>
    <row r="1195" customFormat="false" ht="15" hidden="false" customHeight="false" outlineLevel="0" collapsed="false">
      <c r="A1195" s="2" t="s">
        <v>1267</v>
      </c>
      <c r="B1195" s="13" t="n">
        <v>46281</v>
      </c>
      <c r="C1195" s="2" t="s">
        <v>101</v>
      </c>
      <c r="D1195" s="2" t="n">
        <v>1</v>
      </c>
      <c r="E1195" s="15" t="n">
        <v>0.49375</v>
      </c>
      <c r="F1195" s="7" t="n">
        <v>18000</v>
      </c>
      <c r="G1195" s="7" t="n">
        <f aca="false">D1195*F1195</f>
        <v>18000</v>
      </c>
      <c r="H1195" s="2" t="str">
        <f aca="false">INDEX(Daftar_Menu!$B$2:$B$13,MATCH(C1195,Daftar_Menu!$A$2:$A$13,0))</f>
        <v>Makanan</v>
      </c>
      <c r="I1195" s="2" t="str">
        <f aca="false">CHOOSE(WEEKDAY(B1195,2),"Senin","Selasa","Rabu","Kamis","Jumat","Sabtu","Minggu")</f>
        <v>Rabu</v>
      </c>
      <c r="J1195" s="2" t="n">
        <f aca="false">HOUR(E1195)</f>
        <v>11</v>
      </c>
      <c r="K1195" s="2" t="str">
        <f aca="false">IF(J1195&lt;11,"Pagi",IF(J1195&lt;17,"Siang","Malam"))</f>
        <v>Siang</v>
      </c>
      <c r="L1195" s="2" t="n">
        <f aca="false">IF(A1195&lt;&gt;A1194,1,0)</f>
        <v>1</v>
      </c>
    </row>
    <row r="1196" customFormat="false" ht="15" hidden="false" customHeight="false" outlineLevel="0" collapsed="false">
      <c r="A1196" s="2" t="s">
        <v>1267</v>
      </c>
      <c r="B1196" s="13" t="n">
        <v>46281</v>
      </c>
      <c r="C1196" s="2" t="s">
        <v>108</v>
      </c>
      <c r="D1196" s="2" t="n">
        <v>1</v>
      </c>
      <c r="E1196" s="15" t="n">
        <v>0.49375</v>
      </c>
      <c r="F1196" s="7" t="n">
        <v>20000</v>
      </c>
      <c r="G1196" s="7" t="n">
        <f aca="false">D1196*F1196</f>
        <v>20000</v>
      </c>
      <c r="H1196" s="2" t="str">
        <f aca="false">INDEX(Daftar_Menu!$B$2:$B$13,MATCH(C1196,Daftar_Menu!$A$2:$A$13,0))</f>
        <v>Makanan</v>
      </c>
      <c r="I1196" s="2" t="str">
        <f aca="false">CHOOSE(WEEKDAY(B1196,2),"Senin","Selasa","Rabu","Kamis","Jumat","Sabtu","Minggu")</f>
        <v>Rabu</v>
      </c>
      <c r="J1196" s="2" t="n">
        <f aca="false">HOUR(E1196)</f>
        <v>11</v>
      </c>
      <c r="K1196" s="2" t="str">
        <f aca="false">IF(J1196&lt;11,"Pagi",IF(J1196&lt;17,"Siang","Malam"))</f>
        <v>Siang</v>
      </c>
      <c r="L1196" s="2" t="n">
        <f aca="false">IF(A1196&lt;&gt;A1195,1,0)</f>
        <v>0</v>
      </c>
    </row>
    <row r="1197" customFormat="false" ht="15" hidden="false" customHeight="false" outlineLevel="0" collapsed="false">
      <c r="A1197" s="2" t="s">
        <v>1267</v>
      </c>
      <c r="B1197" s="13" t="n">
        <v>46281</v>
      </c>
      <c r="C1197" s="2" t="s">
        <v>89</v>
      </c>
      <c r="D1197" s="2" t="n">
        <v>1</v>
      </c>
      <c r="E1197" s="15" t="n">
        <v>0.49375</v>
      </c>
      <c r="F1197" s="7" t="n">
        <v>14000</v>
      </c>
      <c r="G1197" s="7" t="n">
        <f aca="false">D1197*F1197</f>
        <v>14000</v>
      </c>
      <c r="H1197" s="2" t="str">
        <f aca="false">INDEX(Daftar_Menu!$B$2:$B$13,MATCH(C1197,Daftar_Menu!$A$2:$A$13,0))</f>
        <v>Makanan</v>
      </c>
      <c r="I1197" s="2" t="str">
        <f aca="false">CHOOSE(WEEKDAY(B1197,2),"Senin","Selasa","Rabu","Kamis","Jumat","Sabtu","Minggu")</f>
        <v>Rabu</v>
      </c>
      <c r="J1197" s="2" t="n">
        <f aca="false">HOUR(E1197)</f>
        <v>11</v>
      </c>
      <c r="K1197" s="2" t="str">
        <f aca="false">IF(J1197&lt;11,"Pagi",IF(J1197&lt;17,"Siang","Malam"))</f>
        <v>Siang</v>
      </c>
      <c r="L1197" s="2" t="n">
        <f aca="false">IF(A1197&lt;&gt;A1196,1,0)</f>
        <v>0</v>
      </c>
    </row>
    <row r="1198" customFormat="false" ht="15" hidden="false" customHeight="false" outlineLevel="0" collapsed="false">
      <c r="A1198" s="2" t="s">
        <v>1268</v>
      </c>
      <c r="B1198" s="13" t="n">
        <v>46281</v>
      </c>
      <c r="C1198" s="2" t="s">
        <v>101</v>
      </c>
      <c r="D1198" s="2" t="n">
        <v>2</v>
      </c>
      <c r="E1198" s="15" t="n">
        <v>0.513194444444444</v>
      </c>
      <c r="F1198" s="7" t="n">
        <v>18000</v>
      </c>
      <c r="G1198" s="7" t="n">
        <f aca="false">D1198*F1198</f>
        <v>36000</v>
      </c>
      <c r="H1198" s="2" t="str">
        <f aca="false">INDEX(Daftar_Menu!$B$2:$B$13,MATCH(C1198,Daftar_Menu!$A$2:$A$13,0))</f>
        <v>Makanan</v>
      </c>
      <c r="I1198" s="2" t="str">
        <f aca="false">CHOOSE(WEEKDAY(B1198,2),"Senin","Selasa","Rabu","Kamis","Jumat","Sabtu","Minggu")</f>
        <v>Rabu</v>
      </c>
      <c r="J1198" s="2" t="n">
        <f aca="false">HOUR(E1198)</f>
        <v>12</v>
      </c>
      <c r="K1198" s="2" t="str">
        <f aca="false">IF(J1198&lt;11,"Pagi",IF(J1198&lt;17,"Siang","Malam"))</f>
        <v>Siang</v>
      </c>
      <c r="L1198" s="2" t="n">
        <f aca="false">IF(A1198&lt;&gt;A1197,1,0)</f>
        <v>1</v>
      </c>
    </row>
    <row r="1199" customFormat="false" ht="15" hidden="false" customHeight="false" outlineLevel="0" collapsed="false">
      <c r="A1199" s="2" t="s">
        <v>1269</v>
      </c>
      <c r="B1199" s="13" t="n">
        <v>46281</v>
      </c>
      <c r="C1199" s="2" t="s">
        <v>81</v>
      </c>
      <c r="D1199" s="2" t="n">
        <v>1</v>
      </c>
      <c r="E1199" s="15" t="n">
        <v>0.514583333333333</v>
      </c>
      <c r="F1199" s="7" t="n">
        <v>15000</v>
      </c>
      <c r="G1199" s="7" t="n">
        <f aca="false">D1199*F1199</f>
        <v>15000</v>
      </c>
      <c r="H1199" s="2" t="str">
        <f aca="false">INDEX(Daftar_Menu!$B$2:$B$13,MATCH(C1199,Daftar_Menu!$A$2:$A$13,0))</f>
        <v>Makanan</v>
      </c>
      <c r="I1199" s="2" t="str">
        <f aca="false">CHOOSE(WEEKDAY(B1199,2),"Senin","Selasa","Rabu","Kamis","Jumat","Sabtu","Minggu")</f>
        <v>Rabu</v>
      </c>
      <c r="J1199" s="2" t="n">
        <f aca="false">HOUR(E1199)</f>
        <v>12</v>
      </c>
      <c r="K1199" s="2" t="str">
        <f aca="false">IF(J1199&lt;11,"Pagi",IF(J1199&lt;17,"Siang","Malam"))</f>
        <v>Siang</v>
      </c>
      <c r="L1199" s="2" t="n">
        <f aca="false">IF(A1199&lt;&gt;A1198,1,0)</f>
        <v>1</v>
      </c>
    </row>
    <row r="1200" customFormat="false" ht="15" hidden="false" customHeight="false" outlineLevel="0" collapsed="false">
      <c r="A1200" s="2" t="s">
        <v>1270</v>
      </c>
      <c r="B1200" s="13" t="n">
        <v>46281</v>
      </c>
      <c r="C1200" s="2" t="s">
        <v>101</v>
      </c>
      <c r="D1200" s="2" t="n">
        <v>2</v>
      </c>
      <c r="E1200" s="15" t="n">
        <v>0.540972222222222</v>
      </c>
      <c r="F1200" s="7" t="n">
        <v>18000</v>
      </c>
      <c r="G1200" s="7" t="n">
        <f aca="false">D1200*F1200</f>
        <v>36000</v>
      </c>
      <c r="H1200" s="2" t="str">
        <f aca="false">INDEX(Daftar_Menu!$B$2:$B$13,MATCH(C1200,Daftar_Menu!$A$2:$A$13,0))</f>
        <v>Makanan</v>
      </c>
      <c r="I1200" s="2" t="str">
        <f aca="false">CHOOSE(WEEKDAY(B1200,2),"Senin","Selasa","Rabu","Kamis","Jumat","Sabtu","Minggu")</f>
        <v>Rabu</v>
      </c>
      <c r="J1200" s="2" t="n">
        <f aca="false">HOUR(E1200)</f>
        <v>12</v>
      </c>
      <c r="K1200" s="2" t="str">
        <f aca="false">IF(J1200&lt;11,"Pagi",IF(J1200&lt;17,"Siang","Malam"))</f>
        <v>Siang</v>
      </c>
      <c r="L1200" s="2" t="n">
        <f aca="false">IF(A1200&lt;&gt;A1199,1,0)</f>
        <v>1</v>
      </c>
    </row>
    <row r="1201" customFormat="false" ht="15" hidden="false" customHeight="false" outlineLevel="0" collapsed="false">
      <c r="A1201" s="2" t="s">
        <v>1272</v>
      </c>
      <c r="B1201" s="13" t="n">
        <v>46281</v>
      </c>
      <c r="C1201" s="2" t="s">
        <v>89</v>
      </c>
      <c r="D1201" s="2" t="n">
        <v>3</v>
      </c>
      <c r="E1201" s="15" t="n">
        <v>0.540972222222222</v>
      </c>
      <c r="F1201" s="7" t="n">
        <v>14000</v>
      </c>
      <c r="G1201" s="7" t="n">
        <f aca="false">D1201*F1201</f>
        <v>42000</v>
      </c>
      <c r="H1201" s="2" t="str">
        <f aca="false">INDEX(Daftar_Menu!$B$2:$B$13,MATCH(C1201,Daftar_Menu!$A$2:$A$13,0))</f>
        <v>Makanan</v>
      </c>
      <c r="I1201" s="2" t="str">
        <f aca="false">CHOOSE(WEEKDAY(B1201,2),"Senin","Selasa","Rabu","Kamis","Jumat","Sabtu","Minggu")</f>
        <v>Rabu</v>
      </c>
      <c r="J1201" s="2" t="n">
        <f aca="false">HOUR(E1201)</f>
        <v>12</v>
      </c>
      <c r="K1201" s="2" t="str">
        <f aca="false">IF(J1201&lt;11,"Pagi",IF(J1201&lt;17,"Siang","Malam"))</f>
        <v>Siang</v>
      </c>
      <c r="L1201" s="2" t="n">
        <f aca="false">IF(A1201&lt;&gt;A1200,1,0)</f>
        <v>1</v>
      </c>
    </row>
    <row r="1202" customFormat="false" ht="15" hidden="false" customHeight="false" outlineLevel="0" collapsed="false">
      <c r="A1202" s="2" t="s">
        <v>1272</v>
      </c>
      <c r="B1202" s="13" t="n">
        <v>46281</v>
      </c>
      <c r="C1202" s="2" t="s">
        <v>126</v>
      </c>
      <c r="D1202" s="2" t="n">
        <v>1</v>
      </c>
      <c r="E1202" s="15" t="n">
        <v>0.540972222222222</v>
      </c>
      <c r="F1202" s="7" t="n">
        <v>3000</v>
      </c>
      <c r="G1202" s="7" t="n">
        <f aca="false">D1202*F1202</f>
        <v>3000</v>
      </c>
      <c r="H1202" s="2" t="str">
        <f aca="false">INDEX(Daftar_Menu!$B$2:$B$13,MATCH(C1202,Daftar_Menu!$A$2:$A$13,0))</f>
        <v>Minuman</v>
      </c>
      <c r="I1202" s="2" t="str">
        <f aca="false">CHOOSE(WEEKDAY(B1202,2),"Senin","Selasa","Rabu","Kamis","Jumat","Sabtu","Minggu")</f>
        <v>Rabu</v>
      </c>
      <c r="J1202" s="2" t="n">
        <f aca="false">HOUR(E1202)</f>
        <v>12</v>
      </c>
      <c r="K1202" s="2" t="str">
        <f aca="false">IF(J1202&lt;11,"Pagi",IF(J1202&lt;17,"Siang","Malam"))</f>
        <v>Siang</v>
      </c>
      <c r="L1202" s="2" t="n">
        <f aca="false">IF(A1202&lt;&gt;A1201,1,0)</f>
        <v>0</v>
      </c>
    </row>
    <row r="1203" customFormat="false" ht="15" hidden="false" customHeight="false" outlineLevel="0" collapsed="false">
      <c r="A1203" s="2" t="s">
        <v>1273</v>
      </c>
      <c r="B1203" s="13" t="n">
        <v>46281</v>
      </c>
      <c r="C1203" s="2" t="s">
        <v>82</v>
      </c>
      <c r="D1203" s="2" t="n">
        <v>3</v>
      </c>
      <c r="E1203" s="15" t="n">
        <v>0.544444444444444</v>
      </c>
      <c r="F1203" s="7" t="n">
        <v>13000</v>
      </c>
      <c r="G1203" s="7" t="n">
        <f aca="false">D1203*F1203</f>
        <v>39000</v>
      </c>
      <c r="H1203" s="2" t="str">
        <f aca="false">INDEX(Daftar_Menu!$B$2:$B$13,MATCH(C1203,Daftar_Menu!$A$2:$A$13,0))</f>
        <v>Makanan</v>
      </c>
      <c r="I1203" s="2" t="str">
        <f aca="false">CHOOSE(WEEKDAY(B1203,2),"Senin","Selasa","Rabu","Kamis","Jumat","Sabtu","Minggu")</f>
        <v>Rabu</v>
      </c>
      <c r="J1203" s="2" t="n">
        <f aca="false">HOUR(E1203)</f>
        <v>13</v>
      </c>
      <c r="K1203" s="2" t="str">
        <f aca="false">IF(J1203&lt;11,"Pagi",IF(J1203&lt;17,"Siang","Malam"))</f>
        <v>Siang</v>
      </c>
      <c r="L1203" s="2" t="n">
        <f aca="false">IF(A1203&lt;&gt;A1202,1,0)</f>
        <v>1</v>
      </c>
    </row>
    <row r="1204" customFormat="false" ht="15" hidden="false" customHeight="false" outlineLevel="0" collapsed="false">
      <c r="A1204" s="2" t="s">
        <v>1274</v>
      </c>
      <c r="B1204" s="13" t="n">
        <v>46281</v>
      </c>
      <c r="C1204" s="2" t="s">
        <v>84</v>
      </c>
      <c r="D1204" s="2" t="n">
        <v>1</v>
      </c>
      <c r="E1204" s="15" t="n">
        <v>0.547222222222222</v>
      </c>
      <c r="F1204" s="7" t="n">
        <v>5000</v>
      </c>
      <c r="G1204" s="7" t="n">
        <f aca="false">D1204*F1204</f>
        <v>5000</v>
      </c>
      <c r="H1204" s="2" t="str">
        <f aca="false">INDEX(Daftar_Menu!$B$2:$B$13,MATCH(C1204,Daftar_Menu!$A$2:$A$13,0))</f>
        <v>Minuman</v>
      </c>
      <c r="I1204" s="2" t="str">
        <f aca="false">CHOOSE(WEEKDAY(B1204,2),"Senin","Selasa","Rabu","Kamis","Jumat","Sabtu","Minggu")</f>
        <v>Rabu</v>
      </c>
      <c r="J1204" s="2" t="n">
        <f aca="false">HOUR(E1204)</f>
        <v>13</v>
      </c>
      <c r="K1204" s="2" t="str">
        <f aca="false">IF(J1204&lt;11,"Pagi",IF(J1204&lt;17,"Siang","Malam"))</f>
        <v>Siang</v>
      </c>
      <c r="L1204" s="2" t="n">
        <f aca="false">IF(A1204&lt;&gt;A1203,1,0)</f>
        <v>1</v>
      </c>
    </row>
    <row r="1205" customFormat="false" ht="15" hidden="false" customHeight="false" outlineLevel="0" collapsed="false">
      <c r="A1205" s="2" t="s">
        <v>1274</v>
      </c>
      <c r="B1205" s="13" t="n">
        <v>46281</v>
      </c>
      <c r="C1205" s="2" t="s">
        <v>108</v>
      </c>
      <c r="D1205" s="2" t="n">
        <v>1</v>
      </c>
      <c r="E1205" s="15" t="n">
        <v>0.547222222222222</v>
      </c>
      <c r="F1205" s="7" t="n">
        <v>20000</v>
      </c>
      <c r="G1205" s="7" t="n">
        <f aca="false">D1205*F1205</f>
        <v>20000</v>
      </c>
      <c r="H1205" s="2" t="str">
        <f aca="false">INDEX(Daftar_Menu!$B$2:$B$13,MATCH(C1205,Daftar_Menu!$A$2:$A$13,0))</f>
        <v>Makanan</v>
      </c>
      <c r="I1205" s="2" t="str">
        <f aca="false">CHOOSE(WEEKDAY(B1205,2),"Senin","Selasa","Rabu","Kamis","Jumat","Sabtu","Minggu")</f>
        <v>Rabu</v>
      </c>
      <c r="J1205" s="2" t="n">
        <f aca="false">HOUR(E1205)</f>
        <v>13</v>
      </c>
      <c r="K1205" s="2" t="str">
        <f aca="false">IF(J1205&lt;11,"Pagi",IF(J1205&lt;17,"Siang","Malam"))</f>
        <v>Siang</v>
      </c>
      <c r="L1205" s="2" t="n">
        <f aca="false">IF(A1205&lt;&gt;A1204,1,0)</f>
        <v>0</v>
      </c>
    </row>
    <row r="1206" customFormat="false" ht="15" hidden="false" customHeight="false" outlineLevel="0" collapsed="false">
      <c r="A1206" s="2" t="s">
        <v>1274</v>
      </c>
      <c r="B1206" s="13" t="n">
        <v>46281</v>
      </c>
      <c r="C1206" s="2" t="s">
        <v>89</v>
      </c>
      <c r="D1206" s="2" t="n">
        <v>2</v>
      </c>
      <c r="E1206" s="15" t="n">
        <v>0.547222222222222</v>
      </c>
      <c r="F1206" s="7" t="n">
        <v>14000</v>
      </c>
      <c r="G1206" s="7" t="n">
        <f aca="false">D1206*F1206</f>
        <v>28000</v>
      </c>
      <c r="H1206" s="2" t="str">
        <f aca="false">INDEX(Daftar_Menu!$B$2:$B$13,MATCH(C1206,Daftar_Menu!$A$2:$A$13,0))</f>
        <v>Makanan</v>
      </c>
      <c r="I1206" s="2" t="str">
        <f aca="false">CHOOSE(WEEKDAY(B1206,2),"Senin","Selasa","Rabu","Kamis","Jumat","Sabtu","Minggu")</f>
        <v>Rabu</v>
      </c>
      <c r="J1206" s="2" t="n">
        <f aca="false">HOUR(E1206)</f>
        <v>13</v>
      </c>
      <c r="K1206" s="2" t="str">
        <f aca="false">IF(J1206&lt;11,"Pagi",IF(J1206&lt;17,"Siang","Malam"))</f>
        <v>Siang</v>
      </c>
      <c r="L1206" s="2" t="n">
        <f aca="false">IF(A1206&lt;&gt;A1205,1,0)</f>
        <v>0</v>
      </c>
    </row>
    <row r="1207" customFormat="false" ht="15" hidden="false" customHeight="false" outlineLevel="0" collapsed="false">
      <c r="A1207" s="2" t="s">
        <v>1276</v>
      </c>
      <c r="B1207" s="13" t="n">
        <v>46281</v>
      </c>
      <c r="C1207" s="2" t="s">
        <v>81</v>
      </c>
      <c r="D1207" s="2" t="n">
        <v>2</v>
      </c>
      <c r="E1207" s="15" t="n">
        <v>0.547916666666667</v>
      </c>
      <c r="F1207" s="7" t="n">
        <v>15000</v>
      </c>
      <c r="G1207" s="7" t="n">
        <f aca="false">D1207*F1207</f>
        <v>30000</v>
      </c>
      <c r="H1207" s="2" t="str">
        <f aca="false">INDEX(Daftar_Menu!$B$2:$B$13,MATCH(C1207,Daftar_Menu!$A$2:$A$13,0))</f>
        <v>Makanan</v>
      </c>
      <c r="I1207" s="2" t="str">
        <f aca="false">CHOOSE(WEEKDAY(B1207,2),"Senin","Selasa","Rabu","Kamis","Jumat","Sabtu","Minggu")</f>
        <v>Rabu</v>
      </c>
      <c r="J1207" s="2" t="n">
        <f aca="false">HOUR(E1207)</f>
        <v>13</v>
      </c>
      <c r="K1207" s="2" t="str">
        <f aca="false">IF(J1207&lt;11,"Pagi",IF(J1207&lt;17,"Siang","Malam"))</f>
        <v>Siang</v>
      </c>
      <c r="L1207" s="2" t="n">
        <f aca="false">IF(A1207&lt;&gt;A1206,1,0)</f>
        <v>1</v>
      </c>
    </row>
    <row r="1208" customFormat="false" ht="15" hidden="false" customHeight="false" outlineLevel="0" collapsed="false">
      <c r="A1208" s="2" t="s">
        <v>1276</v>
      </c>
      <c r="B1208" s="13" t="n">
        <v>46281</v>
      </c>
      <c r="C1208" s="2" t="s">
        <v>126</v>
      </c>
      <c r="D1208" s="2" t="n">
        <v>1</v>
      </c>
      <c r="E1208" s="15" t="n">
        <v>0.547916666666667</v>
      </c>
      <c r="F1208" s="7" t="n">
        <v>3000</v>
      </c>
      <c r="G1208" s="7" t="n">
        <f aca="false">D1208*F1208</f>
        <v>3000</v>
      </c>
      <c r="H1208" s="2" t="str">
        <f aca="false">INDEX(Daftar_Menu!$B$2:$B$13,MATCH(C1208,Daftar_Menu!$A$2:$A$13,0))</f>
        <v>Minuman</v>
      </c>
      <c r="I1208" s="2" t="str">
        <f aca="false">CHOOSE(WEEKDAY(B1208,2),"Senin","Selasa","Rabu","Kamis","Jumat","Sabtu","Minggu")</f>
        <v>Rabu</v>
      </c>
      <c r="J1208" s="2" t="n">
        <f aca="false">HOUR(E1208)</f>
        <v>13</v>
      </c>
      <c r="K1208" s="2" t="str">
        <f aca="false">IF(J1208&lt;11,"Pagi",IF(J1208&lt;17,"Siang","Malam"))</f>
        <v>Siang</v>
      </c>
      <c r="L1208" s="2" t="n">
        <f aca="false">IF(A1208&lt;&gt;A1207,1,0)</f>
        <v>0</v>
      </c>
    </row>
    <row r="1209" customFormat="false" ht="15" hidden="false" customHeight="false" outlineLevel="0" collapsed="false">
      <c r="A1209" s="2" t="s">
        <v>1276</v>
      </c>
      <c r="B1209" s="13" t="n">
        <v>46281</v>
      </c>
      <c r="C1209" s="2" t="s">
        <v>132</v>
      </c>
      <c r="D1209" s="2" t="n">
        <v>2</v>
      </c>
      <c r="E1209" s="15" t="n">
        <v>0.547916666666667</v>
      </c>
      <c r="F1209" s="7" t="n">
        <v>15000</v>
      </c>
      <c r="G1209" s="7" t="n">
        <f aca="false">D1209*F1209</f>
        <v>30000</v>
      </c>
      <c r="H1209" s="2" t="str">
        <f aca="false">INDEX(Daftar_Menu!$B$2:$B$13,MATCH(C1209,Daftar_Menu!$A$2:$A$13,0))</f>
        <v>Makanan</v>
      </c>
      <c r="I1209" s="2" t="str">
        <f aca="false">CHOOSE(WEEKDAY(B1209,2),"Senin","Selasa","Rabu","Kamis","Jumat","Sabtu","Minggu")</f>
        <v>Rabu</v>
      </c>
      <c r="J1209" s="2" t="n">
        <f aca="false">HOUR(E1209)</f>
        <v>13</v>
      </c>
      <c r="K1209" s="2" t="str">
        <f aca="false">IF(J1209&lt;11,"Pagi",IF(J1209&lt;17,"Siang","Malam"))</f>
        <v>Siang</v>
      </c>
      <c r="L1209" s="2" t="n">
        <f aca="false">IF(A1209&lt;&gt;A1208,1,0)</f>
        <v>0</v>
      </c>
    </row>
    <row r="1210" customFormat="false" ht="15" hidden="false" customHeight="false" outlineLevel="0" collapsed="false">
      <c r="A1210" s="2" t="s">
        <v>1278</v>
      </c>
      <c r="B1210" s="13" t="n">
        <v>46281</v>
      </c>
      <c r="C1210" s="2" t="s">
        <v>79</v>
      </c>
      <c r="D1210" s="2" t="n">
        <v>1</v>
      </c>
      <c r="E1210" s="15" t="n">
        <v>0.570833333333333</v>
      </c>
      <c r="F1210" s="7" t="n">
        <v>16000</v>
      </c>
      <c r="G1210" s="7" t="n">
        <f aca="false">D1210*F1210</f>
        <v>16000</v>
      </c>
      <c r="H1210" s="2" t="str">
        <f aca="false">INDEX(Daftar_Menu!$B$2:$B$13,MATCH(C1210,Daftar_Menu!$A$2:$A$13,0))</f>
        <v>Makanan</v>
      </c>
      <c r="I1210" s="2" t="str">
        <f aca="false">CHOOSE(WEEKDAY(B1210,2),"Senin","Selasa","Rabu","Kamis","Jumat","Sabtu","Minggu")</f>
        <v>Rabu</v>
      </c>
      <c r="J1210" s="2" t="n">
        <f aca="false">HOUR(E1210)</f>
        <v>13</v>
      </c>
      <c r="K1210" s="2" t="str">
        <f aca="false">IF(J1210&lt;11,"Pagi",IF(J1210&lt;17,"Siang","Malam"))</f>
        <v>Siang</v>
      </c>
      <c r="L1210" s="2" t="n">
        <f aca="false">IF(A1210&lt;&gt;A1209,1,0)</f>
        <v>1</v>
      </c>
    </row>
    <row r="1211" customFormat="false" ht="15" hidden="false" customHeight="false" outlineLevel="0" collapsed="false">
      <c r="A1211" s="2" t="s">
        <v>1280</v>
      </c>
      <c r="B1211" s="13" t="n">
        <v>46281</v>
      </c>
      <c r="C1211" s="2" t="s">
        <v>84</v>
      </c>
      <c r="D1211" s="2" t="n">
        <v>2</v>
      </c>
      <c r="E1211" s="15" t="n">
        <v>0.571527777777778</v>
      </c>
      <c r="F1211" s="7" t="n">
        <v>5000</v>
      </c>
      <c r="G1211" s="7" t="n">
        <f aca="false">D1211*F1211</f>
        <v>10000</v>
      </c>
      <c r="H1211" s="2" t="str">
        <f aca="false">INDEX(Daftar_Menu!$B$2:$B$13,MATCH(C1211,Daftar_Menu!$A$2:$A$13,0))</f>
        <v>Minuman</v>
      </c>
      <c r="I1211" s="2" t="str">
        <f aca="false">CHOOSE(WEEKDAY(B1211,2),"Senin","Selasa","Rabu","Kamis","Jumat","Sabtu","Minggu")</f>
        <v>Rabu</v>
      </c>
      <c r="J1211" s="2" t="n">
        <f aca="false">HOUR(E1211)</f>
        <v>13</v>
      </c>
      <c r="K1211" s="2" t="str">
        <f aca="false">IF(J1211&lt;11,"Pagi",IF(J1211&lt;17,"Siang","Malam"))</f>
        <v>Siang</v>
      </c>
      <c r="L1211" s="2" t="n">
        <f aca="false">IF(A1211&lt;&gt;A1210,1,0)</f>
        <v>1</v>
      </c>
    </row>
    <row r="1212" customFormat="false" ht="15" hidden="false" customHeight="false" outlineLevel="0" collapsed="false">
      <c r="A1212" s="2" t="s">
        <v>1282</v>
      </c>
      <c r="B1212" s="13" t="n">
        <v>46281</v>
      </c>
      <c r="C1212" s="2" t="s">
        <v>108</v>
      </c>
      <c r="D1212" s="2" t="n">
        <v>1</v>
      </c>
      <c r="E1212" s="15" t="n">
        <v>0.578472222222222</v>
      </c>
      <c r="F1212" s="7" t="n">
        <v>20000</v>
      </c>
      <c r="G1212" s="7" t="n">
        <f aca="false">D1212*F1212</f>
        <v>20000</v>
      </c>
      <c r="H1212" s="2" t="str">
        <f aca="false">INDEX(Daftar_Menu!$B$2:$B$13,MATCH(C1212,Daftar_Menu!$A$2:$A$13,0))</f>
        <v>Makanan</v>
      </c>
      <c r="I1212" s="2" t="str">
        <f aca="false">CHOOSE(WEEKDAY(B1212,2),"Senin","Selasa","Rabu","Kamis","Jumat","Sabtu","Minggu")</f>
        <v>Rabu</v>
      </c>
      <c r="J1212" s="2" t="n">
        <f aca="false">HOUR(E1212)</f>
        <v>13</v>
      </c>
      <c r="K1212" s="2" t="str">
        <f aca="false">IF(J1212&lt;11,"Pagi",IF(J1212&lt;17,"Siang","Malam"))</f>
        <v>Siang</v>
      </c>
      <c r="L1212" s="2" t="n">
        <f aca="false">IF(A1212&lt;&gt;A1211,1,0)</f>
        <v>1</v>
      </c>
    </row>
    <row r="1213" customFormat="false" ht="15" hidden="false" customHeight="false" outlineLevel="0" collapsed="false">
      <c r="A1213" s="2" t="s">
        <v>1282</v>
      </c>
      <c r="B1213" s="13" t="n">
        <v>46281</v>
      </c>
      <c r="C1213" s="2" t="s">
        <v>84</v>
      </c>
      <c r="D1213" s="2" t="n">
        <v>1</v>
      </c>
      <c r="E1213" s="15" t="n">
        <v>0.578472222222222</v>
      </c>
      <c r="F1213" s="7" t="n">
        <v>5000</v>
      </c>
      <c r="G1213" s="7" t="n">
        <f aca="false">D1213*F1213</f>
        <v>5000</v>
      </c>
      <c r="H1213" s="2" t="str">
        <f aca="false">INDEX(Daftar_Menu!$B$2:$B$13,MATCH(C1213,Daftar_Menu!$A$2:$A$13,0))</f>
        <v>Minuman</v>
      </c>
      <c r="I1213" s="2" t="str">
        <f aca="false">CHOOSE(WEEKDAY(B1213,2),"Senin","Selasa","Rabu","Kamis","Jumat","Sabtu","Minggu")</f>
        <v>Rabu</v>
      </c>
      <c r="J1213" s="2" t="n">
        <f aca="false">HOUR(E1213)</f>
        <v>13</v>
      </c>
      <c r="K1213" s="2" t="str">
        <f aca="false">IF(J1213&lt;11,"Pagi",IF(J1213&lt;17,"Siang","Malam"))</f>
        <v>Siang</v>
      </c>
      <c r="L1213" s="2" t="n">
        <f aca="false">IF(A1213&lt;&gt;A1212,1,0)</f>
        <v>0</v>
      </c>
    </row>
    <row r="1214" customFormat="false" ht="15" hidden="false" customHeight="false" outlineLevel="0" collapsed="false">
      <c r="A1214" s="2" t="s">
        <v>1282</v>
      </c>
      <c r="B1214" s="13" t="n">
        <v>46281</v>
      </c>
      <c r="C1214" s="2" t="s">
        <v>89</v>
      </c>
      <c r="D1214" s="2" t="n">
        <v>1</v>
      </c>
      <c r="E1214" s="15" t="n">
        <v>0.578472222222222</v>
      </c>
      <c r="F1214" s="7" t="n">
        <v>14000</v>
      </c>
      <c r="G1214" s="7" t="n">
        <f aca="false">D1214*F1214</f>
        <v>14000</v>
      </c>
      <c r="H1214" s="2" t="str">
        <f aca="false">INDEX(Daftar_Menu!$B$2:$B$13,MATCH(C1214,Daftar_Menu!$A$2:$A$13,0))</f>
        <v>Makanan</v>
      </c>
      <c r="I1214" s="2" t="str">
        <f aca="false">CHOOSE(WEEKDAY(B1214,2),"Senin","Selasa","Rabu","Kamis","Jumat","Sabtu","Minggu")</f>
        <v>Rabu</v>
      </c>
      <c r="J1214" s="2" t="n">
        <f aca="false">HOUR(E1214)</f>
        <v>13</v>
      </c>
      <c r="K1214" s="2" t="str">
        <f aca="false">IF(J1214&lt;11,"Pagi",IF(J1214&lt;17,"Siang","Malam"))</f>
        <v>Siang</v>
      </c>
      <c r="L1214" s="2" t="n">
        <f aca="false">IF(A1214&lt;&gt;A1213,1,0)</f>
        <v>0</v>
      </c>
    </row>
    <row r="1215" customFormat="false" ht="15" hidden="false" customHeight="false" outlineLevel="0" collapsed="false">
      <c r="A1215" s="2" t="s">
        <v>1283</v>
      </c>
      <c r="B1215" s="13" t="n">
        <v>46281</v>
      </c>
      <c r="C1215" s="2" t="s">
        <v>186</v>
      </c>
      <c r="D1215" s="2" t="n">
        <v>1</v>
      </c>
      <c r="E1215" s="15" t="n">
        <v>0.586111111111111</v>
      </c>
      <c r="F1215" s="7" t="n">
        <v>7000</v>
      </c>
      <c r="G1215" s="7" t="n">
        <f aca="false">D1215*F1215</f>
        <v>7000</v>
      </c>
      <c r="H1215" s="2" t="str">
        <f aca="false">INDEX(Daftar_Menu!$B$2:$B$13,MATCH(C1215,Daftar_Menu!$A$2:$A$13,0))</f>
        <v>Minuman</v>
      </c>
      <c r="I1215" s="2" t="str">
        <f aca="false">CHOOSE(WEEKDAY(B1215,2),"Senin","Selasa","Rabu","Kamis","Jumat","Sabtu","Minggu")</f>
        <v>Rabu</v>
      </c>
      <c r="J1215" s="2" t="n">
        <f aca="false">HOUR(E1215)</f>
        <v>14</v>
      </c>
      <c r="K1215" s="2" t="str">
        <f aca="false">IF(J1215&lt;11,"Pagi",IF(J1215&lt;17,"Siang","Malam"))</f>
        <v>Siang</v>
      </c>
      <c r="L1215" s="2" t="n">
        <f aca="false">IF(A1215&lt;&gt;A1214,1,0)</f>
        <v>1</v>
      </c>
    </row>
    <row r="1216" customFormat="false" ht="15" hidden="false" customHeight="false" outlineLevel="0" collapsed="false">
      <c r="A1216" s="2" t="s">
        <v>1283</v>
      </c>
      <c r="B1216" s="13" t="n">
        <v>46281</v>
      </c>
      <c r="C1216" s="2" t="s">
        <v>92</v>
      </c>
      <c r="D1216" s="2" t="n">
        <v>3</v>
      </c>
      <c r="E1216" s="15" t="n">
        <v>0.586111111111111</v>
      </c>
      <c r="F1216" s="7" t="n">
        <v>4000</v>
      </c>
      <c r="G1216" s="7" t="n">
        <f aca="false">D1216*F1216</f>
        <v>12000</v>
      </c>
      <c r="H1216" s="2" t="str">
        <f aca="false">INDEX(Daftar_Menu!$B$2:$B$13,MATCH(C1216,Daftar_Menu!$A$2:$A$13,0))</f>
        <v>Minuman</v>
      </c>
      <c r="I1216" s="2" t="str">
        <f aca="false">CHOOSE(WEEKDAY(B1216,2),"Senin","Selasa","Rabu","Kamis","Jumat","Sabtu","Minggu")</f>
        <v>Rabu</v>
      </c>
      <c r="J1216" s="2" t="n">
        <f aca="false">HOUR(E1216)</f>
        <v>14</v>
      </c>
      <c r="K1216" s="2" t="str">
        <f aca="false">IF(J1216&lt;11,"Pagi",IF(J1216&lt;17,"Siang","Malam"))</f>
        <v>Siang</v>
      </c>
      <c r="L1216" s="2" t="n">
        <f aca="false">IF(A1216&lt;&gt;A1215,1,0)</f>
        <v>0</v>
      </c>
    </row>
    <row r="1217" customFormat="false" ht="15" hidden="false" customHeight="false" outlineLevel="0" collapsed="false">
      <c r="A1217" s="2" t="s">
        <v>1285</v>
      </c>
      <c r="B1217" s="13" t="n">
        <v>46281</v>
      </c>
      <c r="C1217" s="2" t="s">
        <v>84</v>
      </c>
      <c r="D1217" s="2" t="n">
        <v>1</v>
      </c>
      <c r="E1217" s="15" t="n">
        <v>0.610416666666667</v>
      </c>
      <c r="F1217" s="7" t="n">
        <v>5000</v>
      </c>
      <c r="G1217" s="7" t="n">
        <f aca="false">D1217*F1217</f>
        <v>5000</v>
      </c>
      <c r="H1217" s="2" t="str">
        <f aca="false">INDEX(Daftar_Menu!$B$2:$B$13,MATCH(C1217,Daftar_Menu!$A$2:$A$13,0))</f>
        <v>Minuman</v>
      </c>
      <c r="I1217" s="2" t="str">
        <f aca="false">CHOOSE(WEEKDAY(B1217,2),"Senin","Selasa","Rabu","Kamis","Jumat","Sabtu","Minggu")</f>
        <v>Rabu</v>
      </c>
      <c r="J1217" s="2" t="n">
        <f aca="false">HOUR(E1217)</f>
        <v>14</v>
      </c>
      <c r="K1217" s="2" t="str">
        <f aca="false">IF(J1217&lt;11,"Pagi",IF(J1217&lt;17,"Siang","Malam"))</f>
        <v>Siang</v>
      </c>
      <c r="L1217" s="2" t="n">
        <f aca="false">IF(A1217&lt;&gt;A1216,1,0)</f>
        <v>1</v>
      </c>
    </row>
    <row r="1218" customFormat="false" ht="15" hidden="false" customHeight="false" outlineLevel="0" collapsed="false">
      <c r="A1218" s="2" t="s">
        <v>1285</v>
      </c>
      <c r="B1218" s="13" t="n">
        <v>46281</v>
      </c>
      <c r="C1218" s="2" t="s">
        <v>89</v>
      </c>
      <c r="D1218" s="2" t="n">
        <v>2</v>
      </c>
      <c r="E1218" s="15" t="n">
        <v>0.610416666666667</v>
      </c>
      <c r="F1218" s="7" t="n">
        <v>14000</v>
      </c>
      <c r="G1218" s="7" t="n">
        <f aca="false">D1218*F1218</f>
        <v>28000</v>
      </c>
      <c r="H1218" s="2" t="str">
        <f aca="false">INDEX(Daftar_Menu!$B$2:$B$13,MATCH(C1218,Daftar_Menu!$A$2:$A$13,0))</f>
        <v>Makanan</v>
      </c>
      <c r="I1218" s="2" t="str">
        <f aca="false">CHOOSE(WEEKDAY(B1218,2),"Senin","Selasa","Rabu","Kamis","Jumat","Sabtu","Minggu")</f>
        <v>Rabu</v>
      </c>
      <c r="J1218" s="2" t="n">
        <f aca="false">HOUR(E1218)</f>
        <v>14</v>
      </c>
      <c r="K1218" s="2" t="str">
        <f aca="false">IF(J1218&lt;11,"Pagi",IF(J1218&lt;17,"Siang","Malam"))</f>
        <v>Siang</v>
      </c>
      <c r="L1218" s="2" t="n">
        <f aca="false">IF(A1218&lt;&gt;A1217,1,0)</f>
        <v>0</v>
      </c>
    </row>
    <row r="1219" customFormat="false" ht="15" hidden="false" customHeight="false" outlineLevel="0" collapsed="false">
      <c r="A1219" s="2" t="s">
        <v>1287</v>
      </c>
      <c r="B1219" s="13" t="n">
        <v>46281</v>
      </c>
      <c r="C1219" s="2" t="s">
        <v>101</v>
      </c>
      <c r="D1219" s="2" t="n">
        <v>1</v>
      </c>
      <c r="E1219" s="15" t="n">
        <v>0.629861111111111</v>
      </c>
      <c r="F1219" s="7" t="n">
        <v>18000</v>
      </c>
      <c r="G1219" s="7" t="n">
        <f aca="false">D1219*F1219</f>
        <v>18000</v>
      </c>
      <c r="H1219" s="2" t="str">
        <f aca="false">INDEX(Daftar_Menu!$B$2:$B$13,MATCH(C1219,Daftar_Menu!$A$2:$A$13,0))</f>
        <v>Makanan</v>
      </c>
      <c r="I1219" s="2" t="str">
        <f aca="false">CHOOSE(WEEKDAY(B1219,2),"Senin","Selasa","Rabu","Kamis","Jumat","Sabtu","Minggu")</f>
        <v>Rabu</v>
      </c>
      <c r="J1219" s="2" t="n">
        <f aca="false">HOUR(E1219)</f>
        <v>15</v>
      </c>
      <c r="K1219" s="2" t="str">
        <f aca="false">IF(J1219&lt;11,"Pagi",IF(J1219&lt;17,"Siang","Malam"))</f>
        <v>Siang</v>
      </c>
      <c r="L1219" s="2" t="n">
        <f aca="false">IF(A1219&lt;&gt;A1218,1,0)</f>
        <v>1</v>
      </c>
    </row>
    <row r="1220" customFormat="false" ht="15" hidden="false" customHeight="false" outlineLevel="0" collapsed="false">
      <c r="A1220" s="2" t="s">
        <v>1287</v>
      </c>
      <c r="B1220" s="13" t="n">
        <v>46281</v>
      </c>
      <c r="C1220" s="2" t="s">
        <v>84</v>
      </c>
      <c r="D1220" s="2" t="n">
        <v>2</v>
      </c>
      <c r="E1220" s="15" t="n">
        <v>0.629861111111111</v>
      </c>
      <c r="F1220" s="7" t="n">
        <v>5000</v>
      </c>
      <c r="G1220" s="7" t="n">
        <f aca="false">D1220*F1220</f>
        <v>10000</v>
      </c>
      <c r="H1220" s="2" t="str">
        <f aca="false">INDEX(Daftar_Menu!$B$2:$B$13,MATCH(C1220,Daftar_Menu!$A$2:$A$13,0))</f>
        <v>Minuman</v>
      </c>
      <c r="I1220" s="2" t="str">
        <f aca="false">CHOOSE(WEEKDAY(B1220,2),"Senin","Selasa","Rabu","Kamis","Jumat","Sabtu","Minggu")</f>
        <v>Rabu</v>
      </c>
      <c r="J1220" s="2" t="n">
        <f aca="false">HOUR(E1220)</f>
        <v>15</v>
      </c>
      <c r="K1220" s="2" t="str">
        <f aca="false">IF(J1220&lt;11,"Pagi",IF(J1220&lt;17,"Siang","Malam"))</f>
        <v>Siang</v>
      </c>
      <c r="L1220" s="2" t="n">
        <f aca="false">IF(A1220&lt;&gt;A1219,1,0)</f>
        <v>0</v>
      </c>
    </row>
    <row r="1221" customFormat="false" ht="15" hidden="false" customHeight="false" outlineLevel="0" collapsed="false">
      <c r="A1221" s="2" t="s">
        <v>1287</v>
      </c>
      <c r="B1221" s="13" t="n">
        <v>46281</v>
      </c>
      <c r="C1221" s="2" t="s">
        <v>132</v>
      </c>
      <c r="D1221" s="2" t="n">
        <v>1</v>
      </c>
      <c r="E1221" s="15" t="n">
        <v>0.629861111111111</v>
      </c>
      <c r="F1221" s="7" t="n">
        <v>15000</v>
      </c>
      <c r="G1221" s="7" t="n">
        <f aca="false">D1221*F1221</f>
        <v>15000</v>
      </c>
      <c r="H1221" s="2" t="str">
        <f aca="false">INDEX(Daftar_Menu!$B$2:$B$13,MATCH(C1221,Daftar_Menu!$A$2:$A$13,0))</f>
        <v>Makanan</v>
      </c>
      <c r="I1221" s="2" t="str">
        <f aca="false">CHOOSE(WEEKDAY(B1221,2),"Senin","Selasa","Rabu","Kamis","Jumat","Sabtu","Minggu")</f>
        <v>Rabu</v>
      </c>
      <c r="J1221" s="2" t="n">
        <f aca="false">HOUR(E1221)</f>
        <v>15</v>
      </c>
      <c r="K1221" s="2" t="str">
        <f aca="false">IF(J1221&lt;11,"Pagi",IF(J1221&lt;17,"Siang","Malam"))</f>
        <v>Siang</v>
      </c>
      <c r="L1221" s="2" t="n">
        <f aca="false">IF(A1221&lt;&gt;A1220,1,0)</f>
        <v>0</v>
      </c>
    </row>
    <row r="1222" customFormat="false" ht="15" hidden="false" customHeight="false" outlineLevel="0" collapsed="false">
      <c r="A1222" s="2" t="s">
        <v>1289</v>
      </c>
      <c r="B1222" s="13" t="n">
        <v>46281</v>
      </c>
      <c r="C1222" s="2" t="s">
        <v>132</v>
      </c>
      <c r="D1222" s="2" t="n">
        <v>1</v>
      </c>
      <c r="E1222" s="15" t="n">
        <v>0.667361111111111</v>
      </c>
      <c r="F1222" s="7" t="n">
        <v>15000</v>
      </c>
      <c r="G1222" s="7" t="n">
        <f aca="false">D1222*F1222</f>
        <v>15000</v>
      </c>
      <c r="H1222" s="2" t="str">
        <f aca="false">INDEX(Daftar_Menu!$B$2:$B$13,MATCH(C1222,Daftar_Menu!$A$2:$A$13,0))</f>
        <v>Makanan</v>
      </c>
      <c r="I1222" s="2" t="str">
        <f aca="false">CHOOSE(WEEKDAY(B1222,2),"Senin","Selasa","Rabu","Kamis","Jumat","Sabtu","Minggu")</f>
        <v>Rabu</v>
      </c>
      <c r="J1222" s="2" t="n">
        <f aca="false">HOUR(E1222)</f>
        <v>16</v>
      </c>
      <c r="K1222" s="2" t="str">
        <f aca="false">IF(J1222&lt;11,"Pagi",IF(J1222&lt;17,"Siang","Malam"))</f>
        <v>Siang</v>
      </c>
      <c r="L1222" s="2" t="n">
        <f aca="false">IF(A1222&lt;&gt;A1221,1,0)</f>
        <v>1</v>
      </c>
    </row>
    <row r="1223" customFormat="false" ht="15" hidden="false" customHeight="false" outlineLevel="0" collapsed="false">
      <c r="A1223" s="2" t="s">
        <v>1290</v>
      </c>
      <c r="B1223" s="13" t="n">
        <v>46281</v>
      </c>
      <c r="C1223" s="2" t="s">
        <v>92</v>
      </c>
      <c r="D1223" s="2" t="n">
        <v>1</v>
      </c>
      <c r="E1223" s="15" t="n">
        <v>0.696527777777778</v>
      </c>
      <c r="F1223" s="7" t="n">
        <v>4000</v>
      </c>
      <c r="G1223" s="7" t="n">
        <f aca="false">D1223*F1223</f>
        <v>4000</v>
      </c>
      <c r="H1223" s="2" t="str">
        <f aca="false">INDEX(Daftar_Menu!$B$2:$B$13,MATCH(C1223,Daftar_Menu!$A$2:$A$13,0))</f>
        <v>Minuman</v>
      </c>
      <c r="I1223" s="2" t="str">
        <f aca="false">CHOOSE(WEEKDAY(B1223,2),"Senin","Selasa","Rabu","Kamis","Jumat","Sabtu","Minggu")</f>
        <v>Rabu</v>
      </c>
      <c r="J1223" s="2" t="n">
        <f aca="false">HOUR(E1223)</f>
        <v>16</v>
      </c>
      <c r="K1223" s="2" t="str">
        <f aca="false">IF(J1223&lt;11,"Pagi",IF(J1223&lt;17,"Siang","Malam"))</f>
        <v>Siang</v>
      </c>
      <c r="L1223" s="2" t="n">
        <f aca="false">IF(A1223&lt;&gt;A1222,1,0)</f>
        <v>1</v>
      </c>
    </row>
    <row r="1224" customFormat="false" ht="15" hidden="false" customHeight="false" outlineLevel="0" collapsed="false">
      <c r="A1224" s="2" t="s">
        <v>1290</v>
      </c>
      <c r="B1224" s="13" t="n">
        <v>46281</v>
      </c>
      <c r="C1224" s="2" t="s">
        <v>132</v>
      </c>
      <c r="D1224" s="2" t="n">
        <v>1</v>
      </c>
      <c r="E1224" s="15" t="n">
        <v>0.696527777777778</v>
      </c>
      <c r="F1224" s="7" t="n">
        <v>15000</v>
      </c>
      <c r="G1224" s="7" t="n">
        <f aca="false">D1224*F1224</f>
        <v>15000</v>
      </c>
      <c r="H1224" s="2" t="str">
        <f aca="false">INDEX(Daftar_Menu!$B$2:$B$13,MATCH(C1224,Daftar_Menu!$A$2:$A$13,0))</f>
        <v>Makanan</v>
      </c>
      <c r="I1224" s="2" t="str">
        <f aca="false">CHOOSE(WEEKDAY(B1224,2),"Senin","Selasa","Rabu","Kamis","Jumat","Sabtu","Minggu")</f>
        <v>Rabu</v>
      </c>
      <c r="J1224" s="2" t="n">
        <f aca="false">HOUR(E1224)</f>
        <v>16</v>
      </c>
      <c r="K1224" s="2" t="str">
        <f aca="false">IF(J1224&lt;11,"Pagi",IF(J1224&lt;17,"Siang","Malam"))</f>
        <v>Siang</v>
      </c>
      <c r="L1224" s="2" t="n">
        <f aca="false">IF(A1224&lt;&gt;A1223,1,0)</f>
        <v>0</v>
      </c>
    </row>
    <row r="1225" customFormat="false" ht="15" hidden="false" customHeight="false" outlineLevel="0" collapsed="false">
      <c r="A1225" s="2" t="s">
        <v>1291</v>
      </c>
      <c r="B1225" s="13" t="n">
        <v>46281</v>
      </c>
      <c r="C1225" s="2" t="s">
        <v>132</v>
      </c>
      <c r="D1225" s="2" t="n">
        <v>1</v>
      </c>
      <c r="E1225" s="15" t="n">
        <v>0.701388888888889</v>
      </c>
      <c r="F1225" s="7" t="n">
        <v>15000</v>
      </c>
      <c r="G1225" s="7" t="n">
        <f aca="false">D1225*F1225</f>
        <v>15000</v>
      </c>
      <c r="H1225" s="2" t="str">
        <f aca="false">INDEX(Daftar_Menu!$B$2:$B$13,MATCH(C1225,Daftar_Menu!$A$2:$A$13,0))</f>
        <v>Makanan</v>
      </c>
      <c r="I1225" s="2" t="str">
        <f aca="false">CHOOSE(WEEKDAY(B1225,2),"Senin","Selasa","Rabu","Kamis","Jumat","Sabtu","Minggu")</f>
        <v>Rabu</v>
      </c>
      <c r="J1225" s="2" t="n">
        <f aca="false">HOUR(E1225)</f>
        <v>16</v>
      </c>
      <c r="K1225" s="2" t="str">
        <f aca="false">IF(J1225&lt;11,"Pagi",IF(J1225&lt;17,"Siang","Malam"))</f>
        <v>Siang</v>
      </c>
      <c r="L1225" s="2" t="n">
        <f aca="false">IF(A1225&lt;&gt;A1224,1,0)</f>
        <v>1</v>
      </c>
    </row>
    <row r="1226" customFormat="false" ht="15" hidden="false" customHeight="false" outlineLevel="0" collapsed="false">
      <c r="A1226" s="2" t="s">
        <v>1291</v>
      </c>
      <c r="B1226" s="13" t="n">
        <v>46281</v>
      </c>
      <c r="C1226" s="2" t="s">
        <v>81</v>
      </c>
      <c r="D1226" s="2" t="n">
        <v>2</v>
      </c>
      <c r="E1226" s="15" t="n">
        <v>0.701388888888889</v>
      </c>
      <c r="F1226" s="7" t="n">
        <v>15000</v>
      </c>
      <c r="G1226" s="7" t="n">
        <f aca="false">D1226*F1226</f>
        <v>30000</v>
      </c>
      <c r="H1226" s="2" t="str">
        <f aca="false">INDEX(Daftar_Menu!$B$2:$B$13,MATCH(C1226,Daftar_Menu!$A$2:$A$13,0))</f>
        <v>Makanan</v>
      </c>
      <c r="I1226" s="2" t="str">
        <f aca="false">CHOOSE(WEEKDAY(B1226,2),"Senin","Selasa","Rabu","Kamis","Jumat","Sabtu","Minggu")</f>
        <v>Rabu</v>
      </c>
      <c r="J1226" s="2" t="n">
        <f aca="false">HOUR(E1226)</f>
        <v>16</v>
      </c>
      <c r="K1226" s="2" t="str">
        <f aca="false">IF(J1226&lt;11,"Pagi",IF(J1226&lt;17,"Siang","Malam"))</f>
        <v>Siang</v>
      </c>
      <c r="L1226" s="2" t="n">
        <f aca="false">IF(A1226&lt;&gt;A1225,1,0)</f>
        <v>0</v>
      </c>
    </row>
    <row r="1227" customFormat="false" ht="15" hidden="false" customHeight="false" outlineLevel="0" collapsed="false">
      <c r="A1227" s="2" t="s">
        <v>1291</v>
      </c>
      <c r="B1227" s="13" t="n">
        <v>46281</v>
      </c>
      <c r="C1227" s="2" t="s">
        <v>186</v>
      </c>
      <c r="D1227" s="2" t="n">
        <v>1</v>
      </c>
      <c r="E1227" s="15" t="n">
        <v>0.701388888888889</v>
      </c>
      <c r="F1227" s="7" t="n">
        <v>7000</v>
      </c>
      <c r="G1227" s="7" t="n">
        <f aca="false">D1227*F1227</f>
        <v>7000</v>
      </c>
      <c r="H1227" s="2" t="str">
        <f aca="false">INDEX(Daftar_Menu!$B$2:$B$13,MATCH(C1227,Daftar_Menu!$A$2:$A$13,0))</f>
        <v>Minuman</v>
      </c>
      <c r="I1227" s="2" t="str">
        <f aca="false">CHOOSE(WEEKDAY(B1227,2),"Senin","Selasa","Rabu","Kamis","Jumat","Sabtu","Minggu")</f>
        <v>Rabu</v>
      </c>
      <c r="J1227" s="2" t="n">
        <f aca="false">HOUR(E1227)</f>
        <v>16</v>
      </c>
      <c r="K1227" s="2" t="str">
        <f aca="false">IF(J1227&lt;11,"Pagi",IF(J1227&lt;17,"Siang","Malam"))</f>
        <v>Siang</v>
      </c>
      <c r="L1227" s="2" t="n">
        <f aca="false">IF(A1227&lt;&gt;A1226,1,0)</f>
        <v>0</v>
      </c>
    </row>
    <row r="1228" customFormat="false" ht="15" hidden="false" customHeight="false" outlineLevel="0" collapsed="false">
      <c r="A1228" s="2" t="s">
        <v>1293</v>
      </c>
      <c r="B1228" s="13" t="n">
        <v>46281</v>
      </c>
      <c r="C1228" s="2" t="s">
        <v>112</v>
      </c>
      <c r="D1228" s="2" t="n">
        <v>1</v>
      </c>
      <c r="E1228" s="15" t="n">
        <v>0.714583333333333</v>
      </c>
      <c r="F1228" s="7" t="n">
        <v>10000</v>
      </c>
      <c r="G1228" s="7" t="n">
        <f aca="false">D1228*F1228</f>
        <v>10000</v>
      </c>
      <c r="H1228" s="2" t="str">
        <f aca="false">INDEX(Daftar_Menu!$B$2:$B$13,MATCH(C1228,Daftar_Menu!$A$2:$A$13,0))</f>
        <v>Minuman</v>
      </c>
      <c r="I1228" s="2" t="str">
        <f aca="false">CHOOSE(WEEKDAY(B1228,2),"Senin","Selasa","Rabu","Kamis","Jumat","Sabtu","Minggu")</f>
        <v>Rabu</v>
      </c>
      <c r="J1228" s="2" t="n">
        <f aca="false">HOUR(E1228)</f>
        <v>17</v>
      </c>
      <c r="K1228" s="2" t="str">
        <f aca="false">IF(J1228&lt;11,"Pagi",IF(J1228&lt;17,"Siang","Malam"))</f>
        <v>Malam</v>
      </c>
      <c r="L1228" s="2" t="n">
        <f aca="false">IF(A1228&lt;&gt;A1227,1,0)</f>
        <v>1</v>
      </c>
    </row>
    <row r="1229" customFormat="false" ht="15" hidden="false" customHeight="false" outlineLevel="0" collapsed="false">
      <c r="A1229" s="2" t="s">
        <v>1294</v>
      </c>
      <c r="B1229" s="13" t="n">
        <v>46281</v>
      </c>
      <c r="C1229" s="2" t="s">
        <v>89</v>
      </c>
      <c r="D1229" s="2" t="n">
        <v>1</v>
      </c>
      <c r="E1229" s="15" t="n">
        <v>0.739583333333333</v>
      </c>
      <c r="F1229" s="7" t="n">
        <v>14000</v>
      </c>
      <c r="G1229" s="7" t="n">
        <f aca="false">D1229*F1229</f>
        <v>14000</v>
      </c>
      <c r="H1229" s="2" t="str">
        <f aca="false">INDEX(Daftar_Menu!$B$2:$B$13,MATCH(C1229,Daftar_Menu!$A$2:$A$13,0))</f>
        <v>Makanan</v>
      </c>
      <c r="I1229" s="2" t="str">
        <f aca="false">CHOOSE(WEEKDAY(B1229,2),"Senin","Selasa","Rabu","Kamis","Jumat","Sabtu","Minggu")</f>
        <v>Rabu</v>
      </c>
      <c r="J1229" s="2" t="n">
        <f aca="false">HOUR(E1229)</f>
        <v>17</v>
      </c>
      <c r="K1229" s="2" t="str">
        <f aca="false">IF(J1229&lt;11,"Pagi",IF(J1229&lt;17,"Siang","Malam"))</f>
        <v>Malam</v>
      </c>
      <c r="L1229" s="2" t="n">
        <f aca="false">IF(A1229&lt;&gt;A1228,1,0)</f>
        <v>1</v>
      </c>
    </row>
    <row r="1230" customFormat="false" ht="15" hidden="false" customHeight="false" outlineLevel="0" collapsed="false">
      <c r="A1230" s="2" t="s">
        <v>1294</v>
      </c>
      <c r="B1230" s="13" t="n">
        <v>46281</v>
      </c>
      <c r="C1230" s="2" t="s">
        <v>112</v>
      </c>
      <c r="D1230" s="2" t="n">
        <v>2</v>
      </c>
      <c r="E1230" s="15" t="n">
        <v>0.739583333333333</v>
      </c>
      <c r="F1230" s="7" t="n">
        <v>10000</v>
      </c>
      <c r="G1230" s="7" t="n">
        <f aca="false">D1230*F1230</f>
        <v>20000</v>
      </c>
      <c r="H1230" s="2" t="str">
        <f aca="false">INDEX(Daftar_Menu!$B$2:$B$13,MATCH(C1230,Daftar_Menu!$A$2:$A$13,0))</f>
        <v>Minuman</v>
      </c>
      <c r="I1230" s="2" t="str">
        <f aca="false">CHOOSE(WEEKDAY(B1230,2),"Senin","Selasa","Rabu","Kamis","Jumat","Sabtu","Minggu")</f>
        <v>Rabu</v>
      </c>
      <c r="J1230" s="2" t="n">
        <f aca="false">HOUR(E1230)</f>
        <v>17</v>
      </c>
      <c r="K1230" s="2" t="str">
        <f aca="false">IF(J1230&lt;11,"Pagi",IF(J1230&lt;17,"Siang","Malam"))</f>
        <v>Malam</v>
      </c>
      <c r="L1230" s="2" t="n">
        <f aca="false">IF(A1230&lt;&gt;A1229,1,0)</f>
        <v>0</v>
      </c>
    </row>
    <row r="1231" customFormat="false" ht="15" hidden="false" customHeight="false" outlineLevel="0" collapsed="false">
      <c r="A1231" s="2" t="s">
        <v>1295</v>
      </c>
      <c r="B1231" s="13" t="n">
        <v>46281</v>
      </c>
      <c r="C1231" s="2" t="s">
        <v>101</v>
      </c>
      <c r="D1231" s="2" t="n">
        <v>1</v>
      </c>
      <c r="E1231" s="15" t="n">
        <v>0.750694444444444</v>
      </c>
      <c r="F1231" s="7" t="n">
        <v>18000</v>
      </c>
      <c r="G1231" s="7" t="n">
        <f aca="false">D1231*F1231</f>
        <v>18000</v>
      </c>
      <c r="H1231" s="2" t="str">
        <f aca="false">INDEX(Daftar_Menu!$B$2:$B$13,MATCH(C1231,Daftar_Menu!$A$2:$A$13,0))</f>
        <v>Makanan</v>
      </c>
      <c r="I1231" s="2" t="str">
        <f aca="false">CHOOSE(WEEKDAY(B1231,2),"Senin","Selasa","Rabu","Kamis","Jumat","Sabtu","Minggu")</f>
        <v>Rabu</v>
      </c>
      <c r="J1231" s="2" t="n">
        <f aca="false">HOUR(E1231)</f>
        <v>18</v>
      </c>
      <c r="K1231" s="2" t="str">
        <f aca="false">IF(J1231&lt;11,"Pagi",IF(J1231&lt;17,"Siang","Malam"))</f>
        <v>Malam</v>
      </c>
      <c r="L1231" s="2" t="n">
        <f aca="false">IF(A1231&lt;&gt;A1230,1,0)</f>
        <v>1</v>
      </c>
    </row>
    <row r="1232" customFormat="false" ht="15" hidden="false" customHeight="false" outlineLevel="0" collapsed="false">
      <c r="A1232" s="2" t="s">
        <v>1295</v>
      </c>
      <c r="B1232" s="13" t="n">
        <v>46281</v>
      </c>
      <c r="C1232" s="2" t="s">
        <v>112</v>
      </c>
      <c r="D1232" s="2" t="n">
        <v>2</v>
      </c>
      <c r="E1232" s="15" t="n">
        <v>0.750694444444444</v>
      </c>
      <c r="F1232" s="7" t="n">
        <v>10000</v>
      </c>
      <c r="G1232" s="7" t="n">
        <f aca="false">D1232*F1232</f>
        <v>20000</v>
      </c>
      <c r="H1232" s="2" t="str">
        <f aca="false">INDEX(Daftar_Menu!$B$2:$B$13,MATCH(C1232,Daftar_Menu!$A$2:$A$13,0))</f>
        <v>Minuman</v>
      </c>
      <c r="I1232" s="2" t="str">
        <f aca="false">CHOOSE(WEEKDAY(B1232,2),"Senin","Selasa","Rabu","Kamis","Jumat","Sabtu","Minggu")</f>
        <v>Rabu</v>
      </c>
      <c r="J1232" s="2" t="n">
        <f aca="false">HOUR(E1232)</f>
        <v>18</v>
      </c>
      <c r="K1232" s="2" t="str">
        <f aca="false">IF(J1232&lt;11,"Pagi",IF(J1232&lt;17,"Siang","Malam"))</f>
        <v>Malam</v>
      </c>
      <c r="L1232" s="2" t="n">
        <f aca="false">IF(A1232&lt;&gt;A1231,1,0)</f>
        <v>0</v>
      </c>
    </row>
    <row r="1233" customFormat="false" ht="15" hidden="false" customHeight="false" outlineLevel="0" collapsed="false">
      <c r="A1233" s="2" t="s">
        <v>1296</v>
      </c>
      <c r="B1233" s="13" t="n">
        <v>46281</v>
      </c>
      <c r="C1233" s="2" t="s">
        <v>89</v>
      </c>
      <c r="D1233" s="2" t="n">
        <v>1</v>
      </c>
      <c r="E1233" s="15" t="n">
        <v>0.754166666666667</v>
      </c>
      <c r="F1233" s="7" t="n">
        <v>14000</v>
      </c>
      <c r="G1233" s="7" t="n">
        <f aca="false">D1233*F1233</f>
        <v>14000</v>
      </c>
      <c r="H1233" s="2" t="str">
        <f aca="false">INDEX(Daftar_Menu!$B$2:$B$13,MATCH(C1233,Daftar_Menu!$A$2:$A$13,0))</f>
        <v>Makanan</v>
      </c>
      <c r="I1233" s="2" t="str">
        <f aca="false">CHOOSE(WEEKDAY(B1233,2),"Senin","Selasa","Rabu","Kamis","Jumat","Sabtu","Minggu")</f>
        <v>Rabu</v>
      </c>
      <c r="J1233" s="2" t="n">
        <f aca="false">HOUR(E1233)</f>
        <v>18</v>
      </c>
      <c r="K1233" s="2" t="str">
        <f aca="false">IF(J1233&lt;11,"Pagi",IF(J1233&lt;17,"Siang","Malam"))</f>
        <v>Malam</v>
      </c>
      <c r="L1233" s="2" t="n">
        <f aca="false">IF(A1233&lt;&gt;A1232,1,0)</f>
        <v>1</v>
      </c>
    </row>
    <row r="1234" customFormat="false" ht="15" hidden="false" customHeight="false" outlineLevel="0" collapsed="false">
      <c r="A1234" s="2" t="s">
        <v>1296</v>
      </c>
      <c r="B1234" s="13" t="n">
        <v>46281</v>
      </c>
      <c r="C1234" s="2" t="s">
        <v>101</v>
      </c>
      <c r="D1234" s="2" t="n">
        <v>1</v>
      </c>
      <c r="E1234" s="15" t="n">
        <v>0.754166666666667</v>
      </c>
      <c r="F1234" s="7" t="n">
        <v>18000</v>
      </c>
      <c r="G1234" s="7" t="n">
        <f aca="false">D1234*F1234</f>
        <v>18000</v>
      </c>
      <c r="H1234" s="2" t="str">
        <f aca="false">INDEX(Daftar_Menu!$B$2:$B$13,MATCH(C1234,Daftar_Menu!$A$2:$A$13,0))</f>
        <v>Makanan</v>
      </c>
      <c r="I1234" s="2" t="str">
        <f aca="false">CHOOSE(WEEKDAY(B1234,2),"Senin","Selasa","Rabu","Kamis","Jumat","Sabtu","Minggu")</f>
        <v>Rabu</v>
      </c>
      <c r="J1234" s="2" t="n">
        <f aca="false">HOUR(E1234)</f>
        <v>18</v>
      </c>
      <c r="K1234" s="2" t="str">
        <f aca="false">IF(J1234&lt;11,"Pagi",IF(J1234&lt;17,"Siang","Malam"))</f>
        <v>Malam</v>
      </c>
      <c r="L1234" s="2" t="n">
        <f aca="false">IF(A1234&lt;&gt;A1233,1,0)</f>
        <v>0</v>
      </c>
    </row>
    <row r="1235" customFormat="false" ht="15" hidden="false" customHeight="false" outlineLevel="0" collapsed="false">
      <c r="A1235" s="2" t="s">
        <v>1297</v>
      </c>
      <c r="B1235" s="13" t="n">
        <v>46281</v>
      </c>
      <c r="C1235" s="2" t="s">
        <v>79</v>
      </c>
      <c r="D1235" s="2" t="n">
        <v>1</v>
      </c>
      <c r="E1235" s="15" t="n">
        <v>0.755555555555556</v>
      </c>
      <c r="F1235" s="7" t="n">
        <v>16000</v>
      </c>
      <c r="G1235" s="7" t="n">
        <f aca="false">D1235*F1235</f>
        <v>16000</v>
      </c>
      <c r="H1235" s="2" t="str">
        <f aca="false">INDEX(Daftar_Menu!$B$2:$B$13,MATCH(C1235,Daftar_Menu!$A$2:$A$13,0))</f>
        <v>Makanan</v>
      </c>
      <c r="I1235" s="2" t="str">
        <f aca="false">CHOOSE(WEEKDAY(B1235,2),"Senin","Selasa","Rabu","Kamis","Jumat","Sabtu","Minggu")</f>
        <v>Rabu</v>
      </c>
      <c r="J1235" s="2" t="n">
        <f aca="false">HOUR(E1235)</f>
        <v>18</v>
      </c>
      <c r="K1235" s="2" t="str">
        <f aca="false">IF(J1235&lt;11,"Pagi",IF(J1235&lt;17,"Siang","Malam"))</f>
        <v>Malam</v>
      </c>
      <c r="L1235" s="2" t="n">
        <f aca="false">IF(A1235&lt;&gt;A1234,1,0)</f>
        <v>1</v>
      </c>
    </row>
    <row r="1236" customFormat="false" ht="15" hidden="false" customHeight="false" outlineLevel="0" collapsed="false">
      <c r="A1236" s="2" t="s">
        <v>1298</v>
      </c>
      <c r="B1236" s="13" t="n">
        <v>46281</v>
      </c>
      <c r="C1236" s="2" t="s">
        <v>84</v>
      </c>
      <c r="D1236" s="2" t="n">
        <v>1</v>
      </c>
      <c r="E1236" s="15" t="n">
        <v>0.7625</v>
      </c>
      <c r="F1236" s="7" t="n">
        <v>5000</v>
      </c>
      <c r="G1236" s="7" t="n">
        <f aca="false">D1236*F1236</f>
        <v>5000</v>
      </c>
      <c r="H1236" s="2" t="str">
        <f aca="false">INDEX(Daftar_Menu!$B$2:$B$13,MATCH(C1236,Daftar_Menu!$A$2:$A$13,0))</f>
        <v>Minuman</v>
      </c>
      <c r="I1236" s="2" t="str">
        <f aca="false">CHOOSE(WEEKDAY(B1236,2),"Senin","Selasa","Rabu","Kamis","Jumat","Sabtu","Minggu")</f>
        <v>Rabu</v>
      </c>
      <c r="J1236" s="2" t="n">
        <f aca="false">HOUR(E1236)</f>
        <v>18</v>
      </c>
      <c r="K1236" s="2" t="str">
        <f aca="false">IF(J1236&lt;11,"Pagi",IF(J1236&lt;17,"Siang","Malam"))</f>
        <v>Malam</v>
      </c>
      <c r="L1236" s="2" t="n">
        <f aca="false">IF(A1236&lt;&gt;A1235,1,0)</f>
        <v>1</v>
      </c>
    </row>
    <row r="1237" customFormat="false" ht="15" hidden="false" customHeight="false" outlineLevel="0" collapsed="false">
      <c r="A1237" s="2" t="s">
        <v>1299</v>
      </c>
      <c r="B1237" s="13" t="n">
        <v>46281</v>
      </c>
      <c r="C1237" s="2" t="s">
        <v>89</v>
      </c>
      <c r="D1237" s="2" t="n">
        <v>1</v>
      </c>
      <c r="E1237" s="15" t="n">
        <v>0.76875</v>
      </c>
      <c r="F1237" s="7" t="n">
        <v>14000</v>
      </c>
      <c r="G1237" s="7" t="n">
        <f aca="false">D1237*F1237</f>
        <v>14000</v>
      </c>
      <c r="H1237" s="2" t="str">
        <f aca="false">INDEX(Daftar_Menu!$B$2:$B$13,MATCH(C1237,Daftar_Menu!$A$2:$A$13,0))</f>
        <v>Makanan</v>
      </c>
      <c r="I1237" s="2" t="str">
        <f aca="false">CHOOSE(WEEKDAY(B1237,2),"Senin","Selasa","Rabu","Kamis","Jumat","Sabtu","Minggu")</f>
        <v>Rabu</v>
      </c>
      <c r="J1237" s="2" t="n">
        <f aca="false">HOUR(E1237)</f>
        <v>18</v>
      </c>
      <c r="K1237" s="2" t="str">
        <f aca="false">IF(J1237&lt;11,"Pagi",IF(J1237&lt;17,"Siang","Malam"))</f>
        <v>Malam</v>
      </c>
      <c r="L1237" s="2" t="n">
        <f aca="false">IF(A1237&lt;&gt;A1236,1,0)</f>
        <v>1</v>
      </c>
    </row>
    <row r="1238" customFormat="false" ht="15" hidden="false" customHeight="false" outlineLevel="0" collapsed="false">
      <c r="A1238" s="2" t="s">
        <v>1299</v>
      </c>
      <c r="B1238" s="13" t="n">
        <v>46281</v>
      </c>
      <c r="C1238" s="2" t="s">
        <v>101</v>
      </c>
      <c r="D1238" s="2" t="n">
        <v>1</v>
      </c>
      <c r="E1238" s="15" t="n">
        <v>0.76875</v>
      </c>
      <c r="F1238" s="7" t="n">
        <v>18000</v>
      </c>
      <c r="G1238" s="7" t="n">
        <f aca="false">D1238*F1238</f>
        <v>18000</v>
      </c>
      <c r="H1238" s="2" t="str">
        <f aca="false">INDEX(Daftar_Menu!$B$2:$B$13,MATCH(C1238,Daftar_Menu!$A$2:$A$13,0))</f>
        <v>Makanan</v>
      </c>
      <c r="I1238" s="2" t="str">
        <f aca="false">CHOOSE(WEEKDAY(B1238,2),"Senin","Selasa","Rabu","Kamis","Jumat","Sabtu","Minggu")</f>
        <v>Rabu</v>
      </c>
      <c r="J1238" s="2" t="n">
        <f aca="false">HOUR(E1238)</f>
        <v>18</v>
      </c>
      <c r="K1238" s="2" t="str">
        <f aca="false">IF(J1238&lt;11,"Pagi",IF(J1238&lt;17,"Siang","Malam"))</f>
        <v>Malam</v>
      </c>
      <c r="L1238" s="2" t="n">
        <f aca="false">IF(A1238&lt;&gt;A1237,1,0)</f>
        <v>0</v>
      </c>
    </row>
    <row r="1239" customFormat="false" ht="15" hidden="false" customHeight="false" outlineLevel="0" collapsed="false">
      <c r="A1239" s="2" t="s">
        <v>1300</v>
      </c>
      <c r="B1239" s="13" t="n">
        <v>46281</v>
      </c>
      <c r="C1239" s="2" t="s">
        <v>108</v>
      </c>
      <c r="D1239" s="2" t="n">
        <v>1</v>
      </c>
      <c r="E1239" s="15" t="n">
        <v>0.770138888888889</v>
      </c>
      <c r="F1239" s="7" t="n">
        <v>20000</v>
      </c>
      <c r="G1239" s="7" t="n">
        <f aca="false">D1239*F1239</f>
        <v>20000</v>
      </c>
      <c r="H1239" s="2" t="str">
        <f aca="false">INDEX(Daftar_Menu!$B$2:$B$13,MATCH(C1239,Daftar_Menu!$A$2:$A$13,0))</f>
        <v>Makanan</v>
      </c>
      <c r="I1239" s="2" t="str">
        <f aca="false">CHOOSE(WEEKDAY(B1239,2),"Senin","Selasa","Rabu","Kamis","Jumat","Sabtu","Minggu")</f>
        <v>Rabu</v>
      </c>
      <c r="J1239" s="2" t="n">
        <f aca="false">HOUR(E1239)</f>
        <v>18</v>
      </c>
      <c r="K1239" s="2" t="str">
        <f aca="false">IF(J1239&lt;11,"Pagi",IF(J1239&lt;17,"Siang","Malam"))</f>
        <v>Malam</v>
      </c>
      <c r="L1239" s="2" t="n">
        <f aca="false">IF(A1239&lt;&gt;A1238,1,0)</f>
        <v>1</v>
      </c>
    </row>
    <row r="1240" customFormat="false" ht="15" hidden="false" customHeight="false" outlineLevel="0" collapsed="false">
      <c r="A1240" s="2" t="s">
        <v>1302</v>
      </c>
      <c r="B1240" s="13" t="n">
        <v>46281</v>
      </c>
      <c r="C1240" s="2" t="s">
        <v>186</v>
      </c>
      <c r="D1240" s="2" t="n">
        <v>2</v>
      </c>
      <c r="E1240" s="15" t="n">
        <v>0.775694444444445</v>
      </c>
      <c r="F1240" s="7" t="n">
        <v>7000</v>
      </c>
      <c r="G1240" s="7" t="n">
        <f aca="false">D1240*F1240</f>
        <v>14000</v>
      </c>
      <c r="H1240" s="2" t="str">
        <f aca="false">INDEX(Daftar_Menu!$B$2:$B$13,MATCH(C1240,Daftar_Menu!$A$2:$A$13,0))</f>
        <v>Minuman</v>
      </c>
      <c r="I1240" s="2" t="str">
        <f aca="false">CHOOSE(WEEKDAY(B1240,2),"Senin","Selasa","Rabu","Kamis","Jumat","Sabtu","Minggu")</f>
        <v>Rabu</v>
      </c>
      <c r="J1240" s="2" t="n">
        <f aca="false">HOUR(E1240)</f>
        <v>18</v>
      </c>
      <c r="K1240" s="2" t="str">
        <f aca="false">IF(J1240&lt;11,"Pagi",IF(J1240&lt;17,"Siang","Malam"))</f>
        <v>Malam</v>
      </c>
      <c r="L1240" s="2" t="n">
        <f aca="false">IF(A1240&lt;&gt;A1239,1,0)</f>
        <v>1</v>
      </c>
    </row>
    <row r="1241" customFormat="false" ht="15" hidden="false" customHeight="false" outlineLevel="0" collapsed="false">
      <c r="A1241" s="2" t="s">
        <v>1302</v>
      </c>
      <c r="B1241" s="13" t="n">
        <v>46281</v>
      </c>
      <c r="C1241" s="2" t="s">
        <v>89</v>
      </c>
      <c r="D1241" s="2" t="n">
        <v>3</v>
      </c>
      <c r="E1241" s="15" t="n">
        <v>0.775694444444445</v>
      </c>
      <c r="F1241" s="7" t="n">
        <v>14000</v>
      </c>
      <c r="G1241" s="7" t="n">
        <f aca="false">D1241*F1241</f>
        <v>42000</v>
      </c>
      <c r="H1241" s="2" t="str">
        <f aca="false">INDEX(Daftar_Menu!$B$2:$B$13,MATCH(C1241,Daftar_Menu!$A$2:$A$13,0))</f>
        <v>Makanan</v>
      </c>
      <c r="I1241" s="2" t="str">
        <f aca="false">CHOOSE(WEEKDAY(B1241,2),"Senin","Selasa","Rabu","Kamis","Jumat","Sabtu","Minggu")</f>
        <v>Rabu</v>
      </c>
      <c r="J1241" s="2" t="n">
        <f aca="false">HOUR(E1241)</f>
        <v>18</v>
      </c>
      <c r="K1241" s="2" t="str">
        <f aca="false">IF(J1241&lt;11,"Pagi",IF(J1241&lt;17,"Siang","Malam"))</f>
        <v>Malam</v>
      </c>
      <c r="L1241" s="2" t="n">
        <f aca="false">IF(A1241&lt;&gt;A1240,1,0)</f>
        <v>0</v>
      </c>
    </row>
    <row r="1242" customFormat="false" ht="15" hidden="false" customHeight="false" outlineLevel="0" collapsed="false">
      <c r="A1242" s="2" t="s">
        <v>1303</v>
      </c>
      <c r="B1242" s="13" t="n">
        <v>46281</v>
      </c>
      <c r="C1242" s="2" t="s">
        <v>101</v>
      </c>
      <c r="D1242" s="2" t="n">
        <v>1</v>
      </c>
      <c r="E1242" s="15" t="n">
        <v>0.788194444444444</v>
      </c>
      <c r="F1242" s="7" t="n">
        <v>18000</v>
      </c>
      <c r="G1242" s="7" t="n">
        <f aca="false">D1242*F1242</f>
        <v>18000</v>
      </c>
      <c r="H1242" s="2" t="str">
        <f aca="false">INDEX(Daftar_Menu!$B$2:$B$13,MATCH(C1242,Daftar_Menu!$A$2:$A$13,0))</f>
        <v>Makanan</v>
      </c>
      <c r="I1242" s="2" t="str">
        <f aca="false">CHOOSE(WEEKDAY(B1242,2),"Senin","Selasa","Rabu","Kamis","Jumat","Sabtu","Minggu")</f>
        <v>Rabu</v>
      </c>
      <c r="J1242" s="2" t="n">
        <f aca="false">HOUR(E1242)</f>
        <v>18</v>
      </c>
      <c r="K1242" s="2" t="str">
        <f aca="false">IF(J1242&lt;11,"Pagi",IF(J1242&lt;17,"Siang","Malam"))</f>
        <v>Malam</v>
      </c>
      <c r="L1242" s="2" t="n">
        <f aca="false">IF(A1242&lt;&gt;A1241,1,0)</f>
        <v>1</v>
      </c>
    </row>
    <row r="1243" customFormat="false" ht="15" hidden="false" customHeight="false" outlineLevel="0" collapsed="false">
      <c r="A1243" s="2" t="s">
        <v>1303</v>
      </c>
      <c r="B1243" s="13" t="n">
        <v>46281</v>
      </c>
      <c r="C1243" s="2" t="s">
        <v>79</v>
      </c>
      <c r="D1243" s="2" t="n">
        <v>2</v>
      </c>
      <c r="E1243" s="15" t="n">
        <v>0.788194444444444</v>
      </c>
      <c r="F1243" s="7" t="n">
        <v>16000</v>
      </c>
      <c r="G1243" s="7" t="n">
        <f aca="false">D1243*F1243</f>
        <v>32000</v>
      </c>
      <c r="H1243" s="2" t="str">
        <f aca="false">INDEX(Daftar_Menu!$B$2:$B$13,MATCH(C1243,Daftar_Menu!$A$2:$A$13,0))</f>
        <v>Makanan</v>
      </c>
      <c r="I1243" s="2" t="str">
        <f aca="false">CHOOSE(WEEKDAY(B1243,2),"Senin","Selasa","Rabu","Kamis","Jumat","Sabtu","Minggu")</f>
        <v>Rabu</v>
      </c>
      <c r="J1243" s="2" t="n">
        <f aca="false">HOUR(E1243)</f>
        <v>18</v>
      </c>
      <c r="K1243" s="2" t="str">
        <f aca="false">IF(J1243&lt;11,"Pagi",IF(J1243&lt;17,"Siang","Malam"))</f>
        <v>Malam</v>
      </c>
      <c r="L1243" s="2" t="n">
        <f aca="false">IF(A1243&lt;&gt;A1242,1,0)</f>
        <v>0</v>
      </c>
    </row>
    <row r="1244" customFormat="false" ht="15" hidden="false" customHeight="false" outlineLevel="0" collapsed="false">
      <c r="A1244" s="2" t="s">
        <v>1304</v>
      </c>
      <c r="B1244" s="13" t="n">
        <v>46281</v>
      </c>
      <c r="C1244" s="2" t="s">
        <v>81</v>
      </c>
      <c r="D1244" s="2" t="n">
        <v>1</v>
      </c>
      <c r="E1244" s="15" t="n">
        <v>0.791666666666667</v>
      </c>
      <c r="F1244" s="7" t="n">
        <v>15000</v>
      </c>
      <c r="G1244" s="7" t="n">
        <f aca="false">D1244*F1244</f>
        <v>15000</v>
      </c>
      <c r="H1244" s="2" t="str">
        <f aca="false">INDEX(Daftar_Menu!$B$2:$B$13,MATCH(C1244,Daftar_Menu!$A$2:$A$13,0))</f>
        <v>Makanan</v>
      </c>
      <c r="I1244" s="2" t="str">
        <f aca="false">CHOOSE(WEEKDAY(B1244,2),"Senin","Selasa","Rabu","Kamis","Jumat","Sabtu","Minggu")</f>
        <v>Rabu</v>
      </c>
      <c r="J1244" s="2" t="n">
        <f aca="false">HOUR(E1244)</f>
        <v>19</v>
      </c>
      <c r="K1244" s="2" t="str">
        <f aca="false">IF(J1244&lt;11,"Pagi",IF(J1244&lt;17,"Siang","Malam"))</f>
        <v>Malam</v>
      </c>
      <c r="L1244" s="2" t="n">
        <f aca="false">IF(A1244&lt;&gt;A1243,1,0)</f>
        <v>1</v>
      </c>
    </row>
    <row r="1245" customFormat="false" ht="15" hidden="false" customHeight="false" outlineLevel="0" collapsed="false">
      <c r="A1245" s="2" t="s">
        <v>1304</v>
      </c>
      <c r="B1245" s="13" t="n">
        <v>46281</v>
      </c>
      <c r="C1245" s="2" t="s">
        <v>108</v>
      </c>
      <c r="D1245" s="2" t="n">
        <v>3</v>
      </c>
      <c r="E1245" s="15" t="n">
        <v>0.791666666666667</v>
      </c>
      <c r="F1245" s="7" t="n">
        <v>20000</v>
      </c>
      <c r="G1245" s="7" t="n">
        <f aca="false">D1245*F1245</f>
        <v>60000</v>
      </c>
      <c r="H1245" s="2" t="str">
        <f aca="false">INDEX(Daftar_Menu!$B$2:$B$13,MATCH(C1245,Daftar_Menu!$A$2:$A$13,0))</f>
        <v>Makanan</v>
      </c>
      <c r="I1245" s="2" t="str">
        <f aca="false">CHOOSE(WEEKDAY(B1245,2),"Senin","Selasa","Rabu","Kamis","Jumat","Sabtu","Minggu")</f>
        <v>Rabu</v>
      </c>
      <c r="J1245" s="2" t="n">
        <f aca="false">HOUR(E1245)</f>
        <v>19</v>
      </c>
      <c r="K1245" s="2" t="str">
        <f aca="false">IF(J1245&lt;11,"Pagi",IF(J1245&lt;17,"Siang","Malam"))</f>
        <v>Malam</v>
      </c>
      <c r="L1245" s="2" t="n">
        <f aca="false">IF(A1245&lt;&gt;A1244,1,0)</f>
        <v>0</v>
      </c>
    </row>
    <row r="1246" customFormat="false" ht="15" hidden="false" customHeight="false" outlineLevel="0" collapsed="false">
      <c r="A1246" s="2" t="s">
        <v>1304</v>
      </c>
      <c r="B1246" s="13" t="n">
        <v>46281</v>
      </c>
      <c r="C1246" s="2" t="s">
        <v>101</v>
      </c>
      <c r="D1246" s="2" t="n">
        <v>1</v>
      </c>
      <c r="E1246" s="15" t="n">
        <v>0.791666666666667</v>
      </c>
      <c r="F1246" s="7" t="n">
        <v>18000</v>
      </c>
      <c r="G1246" s="7" t="n">
        <f aca="false">D1246*F1246</f>
        <v>18000</v>
      </c>
      <c r="H1246" s="2" t="str">
        <f aca="false">INDEX(Daftar_Menu!$B$2:$B$13,MATCH(C1246,Daftar_Menu!$A$2:$A$13,0))</f>
        <v>Makanan</v>
      </c>
      <c r="I1246" s="2" t="str">
        <f aca="false">CHOOSE(WEEKDAY(B1246,2),"Senin","Selasa","Rabu","Kamis","Jumat","Sabtu","Minggu")</f>
        <v>Rabu</v>
      </c>
      <c r="J1246" s="2" t="n">
        <f aca="false">HOUR(E1246)</f>
        <v>19</v>
      </c>
      <c r="K1246" s="2" t="str">
        <f aca="false">IF(J1246&lt;11,"Pagi",IF(J1246&lt;17,"Siang","Malam"))</f>
        <v>Malam</v>
      </c>
      <c r="L1246" s="2" t="n">
        <f aca="false">IF(A1246&lt;&gt;A1245,1,0)</f>
        <v>0</v>
      </c>
    </row>
    <row r="1247" customFormat="false" ht="15" hidden="false" customHeight="false" outlineLevel="0" collapsed="false">
      <c r="A1247" s="2" t="s">
        <v>1305</v>
      </c>
      <c r="B1247" s="13" t="n">
        <v>46281</v>
      </c>
      <c r="C1247" s="2" t="s">
        <v>108</v>
      </c>
      <c r="D1247" s="2" t="n">
        <v>2</v>
      </c>
      <c r="E1247" s="15" t="n">
        <v>0.794444444444444</v>
      </c>
      <c r="F1247" s="7" t="n">
        <v>20000</v>
      </c>
      <c r="G1247" s="7" t="n">
        <f aca="false">D1247*F1247</f>
        <v>40000</v>
      </c>
      <c r="H1247" s="2" t="str">
        <f aca="false">INDEX(Daftar_Menu!$B$2:$B$13,MATCH(C1247,Daftar_Menu!$A$2:$A$13,0))</f>
        <v>Makanan</v>
      </c>
      <c r="I1247" s="2" t="str">
        <f aca="false">CHOOSE(WEEKDAY(B1247,2),"Senin","Selasa","Rabu","Kamis","Jumat","Sabtu","Minggu")</f>
        <v>Rabu</v>
      </c>
      <c r="J1247" s="2" t="n">
        <f aca="false">HOUR(E1247)</f>
        <v>19</v>
      </c>
      <c r="K1247" s="2" t="str">
        <f aca="false">IF(J1247&lt;11,"Pagi",IF(J1247&lt;17,"Siang","Malam"))</f>
        <v>Malam</v>
      </c>
      <c r="L1247" s="2" t="n">
        <f aca="false">IF(A1247&lt;&gt;A1246,1,0)</f>
        <v>1</v>
      </c>
    </row>
    <row r="1248" customFormat="false" ht="15" hidden="false" customHeight="false" outlineLevel="0" collapsed="false">
      <c r="A1248" s="2" t="s">
        <v>1305</v>
      </c>
      <c r="B1248" s="13" t="n">
        <v>46281</v>
      </c>
      <c r="C1248" s="2" t="s">
        <v>79</v>
      </c>
      <c r="D1248" s="2" t="n">
        <v>1</v>
      </c>
      <c r="E1248" s="15" t="n">
        <v>0.794444444444444</v>
      </c>
      <c r="F1248" s="7" t="n">
        <v>16000</v>
      </c>
      <c r="G1248" s="7" t="n">
        <f aca="false">D1248*F1248</f>
        <v>16000</v>
      </c>
      <c r="H1248" s="2" t="str">
        <f aca="false">INDEX(Daftar_Menu!$B$2:$B$13,MATCH(C1248,Daftar_Menu!$A$2:$A$13,0))</f>
        <v>Makanan</v>
      </c>
      <c r="I1248" s="2" t="str">
        <f aca="false">CHOOSE(WEEKDAY(B1248,2),"Senin","Selasa","Rabu","Kamis","Jumat","Sabtu","Minggu")</f>
        <v>Rabu</v>
      </c>
      <c r="J1248" s="2" t="n">
        <f aca="false">HOUR(E1248)</f>
        <v>19</v>
      </c>
      <c r="K1248" s="2" t="str">
        <f aca="false">IF(J1248&lt;11,"Pagi",IF(J1248&lt;17,"Siang","Malam"))</f>
        <v>Malam</v>
      </c>
      <c r="L1248" s="2" t="n">
        <f aca="false">IF(A1248&lt;&gt;A1247,1,0)</f>
        <v>0</v>
      </c>
    </row>
    <row r="1249" customFormat="false" ht="15" hidden="false" customHeight="false" outlineLevel="0" collapsed="false">
      <c r="A1249" s="2" t="s">
        <v>1306</v>
      </c>
      <c r="B1249" s="13" t="n">
        <v>46281</v>
      </c>
      <c r="C1249" s="2" t="s">
        <v>108</v>
      </c>
      <c r="D1249" s="2" t="n">
        <v>1</v>
      </c>
      <c r="E1249" s="15" t="n">
        <v>0.8</v>
      </c>
      <c r="F1249" s="7" t="n">
        <v>20000</v>
      </c>
      <c r="G1249" s="7" t="n">
        <f aca="false">D1249*F1249</f>
        <v>20000</v>
      </c>
      <c r="H1249" s="2" t="str">
        <f aca="false">INDEX(Daftar_Menu!$B$2:$B$13,MATCH(C1249,Daftar_Menu!$A$2:$A$13,0))</f>
        <v>Makanan</v>
      </c>
      <c r="I1249" s="2" t="str">
        <f aca="false">CHOOSE(WEEKDAY(B1249,2),"Senin","Selasa","Rabu","Kamis","Jumat","Sabtu","Minggu")</f>
        <v>Rabu</v>
      </c>
      <c r="J1249" s="2" t="n">
        <f aca="false">HOUR(E1249)</f>
        <v>19</v>
      </c>
      <c r="K1249" s="2" t="str">
        <f aca="false">IF(J1249&lt;11,"Pagi",IF(J1249&lt;17,"Siang","Malam"))</f>
        <v>Malam</v>
      </c>
      <c r="L1249" s="2" t="n">
        <f aca="false">IF(A1249&lt;&gt;A1248,1,0)</f>
        <v>1</v>
      </c>
    </row>
    <row r="1250" customFormat="false" ht="15" hidden="false" customHeight="false" outlineLevel="0" collapsed="false">
      <c r="A1250" s="2" t="s">
        <v>1307</v>
      </c>
      <c r="B1250" s="13" t="n">
        <v>46281</v>
      </c>
      <c r="C1250" s="2" t="s">
        <v>186</v>
      </c>
      <c r="D1250" s="2" t="n">
        <v>1</v>
      </c>
      <c r="E1250" s="15" t="n">
        <v>0.811111111111111</v>
      </c>
      <c r="F1250" s="7" t="n">
        <v>7000</v>
      </c>
      <c r="G1250" s="7" t="n">
        <f aca="false">D1250*F1250</f>
        <v>7000</v>
      </c>
      <c r="H1250" s="2" t="str">
        <f aca="false">INDEX(Daftar_Menu!$B$2:$B$13,MATCH(C1250,Daftar_Menu!$A$2:$A$13,0))</f>
        <v>Minuman</v>
      </c>
      <c r="I1250" s="2" t="str">
        <f aca="false">CHOOSE(WEEKDAY(B1250,2),"Senin","Selasa","Rabu","Kamis","Jumat","Sabtu","Minggu")</f>
        <v>Rabu</v>
      </c>
      <c r="J1250" s="2" t="n">
        <f aca="false">HOUR(E1250)</f>
        <v>19</v>
      </c>
      <c r="K1250" s="2" t="str">
        <f aca="false">IF(J1250&lt;11,"Pagi",IF(J1250&lt;17,"Siang","Malam"))</f>
        <v>Malam</v>
      </c>
      <c r="L1250" s="2" t="n">
        <f aca="false">IF(A1250&lt;&gt;A1249,1,0)</f>
        <v>1</v>
      </c>
    </row>
    <row r="1251" customFormat="false" ht="15" hidden="false" customHeight="false" outlineLevel="0" collapsed="false">
      <c r="A1251" s="2" t="s">
        <v>1307</v>
      </c>
      <c r="B1251" s="13" t="n">
        <v>46281</v>
      </c>
      <c r="C1251" s="2" t="s">
        <v>84</v>
      </c>
      <c r="D1251" s="2" t="n">
        <v>2</v>
      </c>
      <c r="E1251" s="15" t="n">
        <v>0.811111111111111</v>
      </c>
      <c r="F1251" s="7" t="n">
        <v>5000</v>
      </c>
      <c r="G1251" s="7" t="n">
        <f aca="false">D1251*F1251</f>
        <v>10000</v>
      </c>
      <c r="H1251" s="2" t="str">
        <f aca="false">INDEX(Daftar_Menu!$B$2:$B$13,MATCH(C1251,Daftar_Menu!$A$2:$A$13,0))</f>
        <v>Minuman</v>
      </c>
      <c r="I1251" s="2" t="str">
        <f aca="false">CHOOSE(WEEKDAY(B1251,2),"Senin","Selasa","Rabu","Kamis","Jumat","Sabtu","Minggu")</f>
        <v>Rabu</v>
      </c>
      <c r="J1251" s="2" t="n">
        <f aca="false">HOUR(E1251)</f>
        <v>19</v>
      </c>
      <c r="K1251" s="2" t="str">
        <f aca="false">IF(J1251&lt;11,"Pagi",IF(J1251&lt;17,"Siang","Malam"))</f>
        <v>Malam</v>
      </c>
      <c r="L1251" s="2" t="n">
        <f aca="false">IF(A1251&lt;&gt;A1250,1,0)</f>
        <v>0</v>
      </c>
    </row>
    <row r="1252" customFormat="false" ht="15" hidden="false" customHeight="false" outlineLevel="0" collapsed="false">
      <c r="A1252" s="2" t="s">
        <v>1308</v>
      </c>
      <c r="B1252" s="13" t="n">
        <v>46281</v>
      </c>
      <c r="C1252" s="2" t="s">
        <v>89</v>
      </c>
      <c r="D1252" s="2" t="n">
        <v>1</v>
      </c>
      <c r="E1252" s="15" t="n">
        <v>0.811111111111111</v>
      </c>
      <c r="F1252" s="7" t="n">
        <v>14000</v>
      </c>
      <c r="G1252" s="7" t="n">
        <f aca="false">D1252*F1252</f>
        <v>14000</v>
      </c>
      <c r="H1252" s="2" t="str">
        <f aca="false">INDEX(Daftar_Menu!$B$2:$B$13,MATCH(C1252,Daftar_Menu!$A$2:$A$13,0))</f>
        <v>Makanan</v>
      </c>
      <c r="I1252" s="2" t="str">
        <f aca="false">CHOOSE(WEEKDAY(B1252,2),"Senin","Selasa","Rabu","Kamis","Jumat","Sabtu","Minggu")</f>
        <v>Rabu</v>
      </c>
      <c r="J1252" s="2" t="n">
        <f aca="false">HOUR(E1252)</f>
        <v>19</v>
      </c>
      <c r="K1252" s="2" t="str">
        <f aca="false">IF(J1252&lt;11,"Pagi",IF(J1252&lt;17,"Siang","Malam"))</f>
        <v>Malam</v>
      </c>
      <c r="L1252" s="2" t="n">
        <f aca="false">IF(A1252&lt;&gt;A1251,1,0)</f>
        <v>1</v>
      </c>
    </row>
    <row r="1253" customFormat="false" ht="15" hidden="false" customHeight="false" outlineLevel="0" collapsed="false">
      <c r="A1253" s="2" t="s">
        <v>1308</v>
      </c>
      <c r="B1253" s="13" t="n">
        <v>46281</v>
      </c>
      <c r="C1253" s="2" t="s">
        <v>82</v>
      </c>
      <c r="D1253" s="2" t="n">
        <v>1</v>
      </c>
      <c r="E1253" s="15" t="n">
        <v>0.811111111111111</v>
      </c>
      <c r="F1253" s="7" t="n">
        <v>13000</v>
      </c>
      <c r="G1253" s="7" t="n">
        <f aca="false">D1253*F1253</f>
        <v>13000</v>
      </c>
      <c r="H1253" s="2" t="str">
        <f aca="false">INDEX(Daftar_Menu!$B$2:$B$13,MATCH(C1253,Daftar_Menu!$A$2:$A$13,0))</f>
        <v>Makanan</v>
      </c>
      <c r="I1253" s="2" t="str">
        <f aca="false">CHOOSE(WEEKDAY(B1253,2),"Senin","Selasa","Rabu","Kamis","Jumat","Sabtu","Minggu")</f>
        <v>Rabu</v>
      </c>
      <c r="J1253" s="2" t="n">
        <f aca="false">HOUR(E1253)</f>
        <v>19</v>
      </c>
      <c r="K1253" s="2" t="str">
        <f aca="false">IF(J1253&lt;11,"Pagi",IF(J1253&lt;17,"Siang","Malam"))</f>
        <v>Malam</v>
      </c>
      <c r="L1253" s="2" t="n">
        <f aca="false">IF(A1253&lt;&gt;A1252,1,0)</f>
        <v>0</v>
      </c>
    </row>
    <row r="1254" customFormat="false" ht="15" hidden="false" customHeight="false" outlineLevel="0" collapsed="false">
      <c r="A1254" s="2" t="s">
        <v>1308</v>
      </c>
      <c r="B1254" s="13" t="n">
        <v>46281</v>
      </c>
      <c r="C1254" s="2" t="s">
        <v>126</v>
      </c>
      <c r="D1254" s="2" t="n">
        <v>1</v>
      </c>
      <c r="E1254" s="15" t="n">
        <v>0.811111111111111</v>
      </c>
      <c r="F1254" s="7" t="n">
        <v>3000</v>
      </c>
      <c r="G1254" s="7" t="n">
        <f aca="false">D1254*F1254</f>
        <v>3000</v>
      </c>
      <c r="H1254" s="2" t="str">
        <f aca="false">INDEX(Daftar_Menu!$B$2:$B$13,MATCH(C1254,Daftar_Menu!$A$2:$A$13,0))</f>
        <v>Minuman</v>
      </c>
      <c r="I1254" s="2" t="str">
        <f aca="false">CHOOSE(WEEKDAY(B1254,2),"Senin","Selasa","Rabu","Kamis","Jumat","Sabtu","Minggu")</f>
        <v>Rabu</v>
      </c>
      <c r="J1254" s="2" t="n">
        <f aca="false">HOUR(E1254)</f>
        <v>19</v>
      </c>
      <c r="K1254" s="2" t="str">
        <f aca="false">IF(J1254&lt;11,"Pagi",IF(J1254&lt;17,"Siang","Malam"))</f>
        <v>Malam</v>
      </c>
      <c r="L1254" s="2" t="n">
        <f aca="false">IF(A1254&lt;&gt;A1253,1,0)</f>
        <v>0</v>
      </c>
    </row>
    <row r="1255" customFormat="false" ht="15" hidden="false" customHeight="false" outlineLevel="0" collapsed="false">
      <c r="A1255" s="2" t="s">
        <v>1309</v>
      </c>
      <c r="B1255" s="13" t="n">
        <v>46281</v>
      </c>
      <c r="C1255" s="2" t="s">
        <v>92</v>
      </c>
      <c r="D1255" s="2" t="n">
        <v>2</v>
      </c>
      <c r="E1255" s="15" t="n">
        <v>0.823611111111111</v>
      </c>
      <c r="F1255" s="7" t="n">
        <v>4000</v>
      </c>
      <c r="G1255" s="7" t="n">
        <f aca="false">D1255*F1255</f>
        <v>8000</v>
      </c>
      <c r="H1255" s="2" t="str">
        <f aca="false">INDEX(Daftar_Menu!$B$2:$B$13,MATCH(C1255,Daftar_Menu!$A$2:$A$13,0))</f>
        <v>Minuman</v>
      </c>
      <c r="I1255" s="2" t="str">
        <f aca="false">CHOOSE(WEEKDAY(B1255,2),"Senin","Selasa","Rabu","Kamis","Jumat","Sabtu","Minggu")</f>
        <v>Rabu</v>
      </c>
      <c r="J1255" s="2" t="n">
        <f aca="false">HOUR(E1255)</f>
        <v>19</v>
      </c>
      <c r="K1255" s="2" t="str">
        <f aca="false">IF(J1255&lt;11,"Pagi",IF(J1255&lt;17,"Siang","Malam"))</f>
        <v>Malam</v>
      </c>
      <c r="L1255" s="2" t="n">
        <f aca="false">IF(A1255&lt;&gt;A1254,1,0)</f>
        <v>1</v>
      </c>
    </row>
    <row r="1256" customFormat="false" ht="15" hidden="false" customHeight="false" outlineLevel="0" collapsed="false">
      <c r="A1256" s="2" t="s">
        <v>1309</v>
      </c>
      <c r="B1256" s="13" t="n">
        <v>46281</v>
      </c>
      <c r="C1256" s="2" t="s">
        <v>82</v>
      </c>
      <c r="D1256" s="2" t="n">
        <v>1</v>
      </c>
      <c r="E1256" s="15" t="n">
        <v>0.823611111111111</v>
      </c>
      <c r="F1256" s="7" t="n">
        <v>13000</v>
      </c>
      <c r="G1256" s="7" t="n">
        <f aca="false">D1256*F1256</f>
        <v>13000</v>
      </c>
      <c r="H1256" s="2" t="str">
        <f aca="false">INDEX(Daftar_Menu!$B$2:$B$13,MATCH(C1256,Daftar_Menu!$A$2:$A$13,0))</f>
        <v>Makanan</v>
      </c>
      <c r="I1256" s="2" t="str">
        <f aca="false">CHOOSE(WEEKDAY(B1256,2),"Senin","Selasa","Rabu","Kamis","Jumat","Sabtu","Minggu")</f>
        <v>Rabu</v>
      </c>
      <c r="J1256" s="2" t="n">
        <f aca="false">HOUR(E1256)</f>
        <v>19</v>
      </c>
      <c r="K1256" s="2" t="str">
        <f aca="false">IF(J1256&lt;11,"Pagi",IF(J1256&lt;17,"Siang","Malam"))</f>
        <v>Malam</v>
      </c>
      <c r="L1256" s="2" t="n">
        <f aca="false">IF(A1256&lt;&gt;A1255,1,0)</f>
        <v>0</v>
      </c>
    </row>
    <row r="1257" customFormat="false" ht="15" hidden="false" customHeight="false" outlineLevel="0" collapsed="false">
      <c r="A1257" s="2" t="s">
        <v>1311</v>
      </c>
      <c r="B1257" s="13" t="n">
        <v>46281</v>
      </c>
      <c r="C1257" s="2" t="s">
        <v>132</v>
      </c>
      <c r="D1257" s="2" t="n">
        <v>1</v>
      </c>
      <c r="E1257" s="15" t="n">
        <v>0.826388888888889</v>
      </c>
      <c r="F1257" s="7" t="n">
        <v>15000</v>
      </c>
      <c r="G1257" s="7" t="n">
        <f aca="false">D1257*F1257</f>
        <v>15000</v>
      </c>
      <c r="H1257" s="2" t="str">
        <f aca="false">INDEX(Daftar_Menu!$B$2:$B$13,MATCH(C1257,Daftar_Menu!$A$2:$A$13,0))</f>
        <v>Makanan</v>
      </c>
      <c r="I1257" s="2" t="str">
        <f aca="false">CHOOSE(WEEKDAY(B1257,2),"Senin","Selasa","Rabu","Kamis","Jumat","Sabtu","Minggu")</f>
        <v>Rabu</v>
      </c>
      <c r="J1257" s="2" t="n">
        <f aca="false">HOUR(E1257)</f>
        <v>19</v>
      </c>
      <c r="K1257" s="2" t="str">
        <f aca="false">IF(J1257&lt;11,"Pagi",IF(J1257&lt;17,"Siang","Malam"))</f>
        <v>Malam</v>
      </c>
      <c r="L1257" s="2" t="n">
        <f aca="false">IF(A1257&lt;&gt;A1256,1,0)</f>
        <v>1</v>
      </c>
    </row>
    <row r="1258" customFormat="false" ht="15" hidden="false" customHeight="false" outlineLevel="0" collapsed="false">
      <c r="A1258" s="2" t="s">
        <v>1311</v>
      </c>
      <c r="B1258" s="13" t="n">
        <v>46281</v>
      </c>
      <c r="C1258" s="2" t="s">
        <v>101</v>
      </c>
      <c r="D1258" s="2" t="n">
        <v>1</v>
      </c>
      <c r="E1258" s="15" t="n">
        <v>0.826388888888889</v>
      </c>
      <c r="F1258" s="7" t="n">
        <v>18000</v>
      </c>
      <c r="G1258" s="7" t="n">
        <f aca="false">D1258*F1258</f>
        <v>18000</v>
      </c>
      <c r="H1258" s="2" t="str">
        <f aca="false">INDEX(Daftar_Menu!$B$2:$B$13,MATCH(C1258,Daftar_Menu!$A$2:$A$13,0))</f>
        <v>Makanan</v>
      </c>
      <c r="I1258" s="2" t="str">
        <f aca="false">CHOOSE(WEEKDAY(B1258,2),"Senin","Selasa","Rabu","Kamis","Jumat","Sabtu","Minggu")</f>
        <v>Rabu</v>
      </c>
      <c r="J1258" s="2" t="n">
        <f aca="false">HOUR(E1258)</f>
        <v>19</v>
      </c>
      <c r="K1258" s="2" t="str">
        <f aca="false">IF(J1258&lt;11,"Pagi",IF(J1258&lt;17,"Siang","Malam"))</f>
        <v>Malam</v>
      </c>
      <c r="L1258" s="2" t="n">
        <f aca="false">IF(A1258&lt;&gt;A1257,1,0)</f>
        <v>0</v>
      </c>
    </row>
    <row r="1259" customFormat="false" ht="15" hidden="false" customHeight="false" outlineLevel="0" collapsed="false">
      <c r="A1259" s="2" t="s">
        <v>1313</v>
      </c>
      <c r="B1259" s="13" t="n">
        <v>46281</v>
      </c>
      <c r="C1259" s="2" t="s">
        <v>81</v>
      </c>
      <c r="D1259" s="2" t="n">
        <v>2</v>
      </c>
      <c r="E1259" s="15" t="n">
        <v>0.840277777777778</v>
      </c>
      <c r="F1259" s="7" t="n">
        <v>15000</v>
      </c>
      <c r="G1259" s="7" t="n">
        <f aca="false">D1259*F1259</f>
        <v>30000</v>
      </c>
      <c r="H1259" s="2" t="str">
        <f aca="false">INDEX(Daftar_Menu!$B$2:$B$13,MATCH(C1259,Daftar_Menu!$A$2:$A$13,0))</f>
        <v>Makanan</v>
      </c>
      <c r="I1259" s="2" t="str">
        <f aca="false">CHOOSE(WEEKDAY(B1259,2),"Senin","Selasa","Rabu","Kamis","Jumat","Sabtu","Minggu")</f>
        <v>Rabu</v>
      </c>
      <c r="J1259" s="2" t="n">
        <f aca="false">HOUR(E1259)</f>
        <v>20</v>
      </c>
      <c r="K1259" s="2" t="str">
        <f aca="false">IF(J1259&lt;11,"Pagi",IF(J1259&lt;17,"Siang","Malam"))</f>
        <v>Malam</v>
      </c>
      <c r="L1259" s="2" t="n">
        <f aca="false">IF(A1259&lt;&gt;A1258,1,0)</f>
        <v>1</v>
      </c>
    </row>
    <row r="1260" customFormat="false" ht="15" hidden="false" customHeight="false" outlineLevel="0" collapsed="false">
      <c r="A1260" s="2" t="s">
        <v>1314</v>
      </c>
      <c r="B1260" s="13" t="n">
        <v>46281</v>
      </c>
      <c r="C1260" s="2" t="s">
        <v>79</v>
      </c>
      <c r="D1260" s="2" t="n">
        <v>1</v>
      </c>
      <c r="E1260" s="15" t="n">
        <v>0.851388888888889</v>
      </c>
      <c r="F1260" s="7" t="n">
        <v>16000</v>
      </c>
      <c r="G1260" s="7" t="n">
        <f aca="false">D1260*F1260</f>
        <v>16000</v>
      </c>
      <c r="H1260" s="2" t="str">
        <f aca="false">INDEX(Daftar_Menu!$B$2:$B$13,MATCH(C1260,Daftar_Menu!$A$2:$A$13,0))</f>
        <v>Makanan</v>
      </c>
      <c r="I1260" s="2" t="str">
        <f aca="false">CHOOSE(WEEKDAY(B1260,2),"Senin","Selasa","Rabu","Kamis","Jumat","Sabtu","Minggu")</f>
        <v>Rabu</v>
      </c>
      <c r="J1260" s="2" t="n">
        <f aca="false">HOUR(E1260)</f>
        <v>20</v>
      </c>
      <c r="K1260" s="2" t="str">
        <f aca="false">IF(J1260&lt;11,"Pagi",IF(J1260&lt;17,"Siang","Malam"))</f>
        <v>Malam</v>
      </c>
      <c r="L1260" s="2" t="n">
        <f aca="false">IF(A1260&lt;&gt;A1259,1,0)</f>
        <v>1</v>
      </c>
    </row>
    <row r="1261" customFormat="false" ht="15" hidden="false" customHeight="false" outlineLevel="0" collapsed="false">
      <c r="A1261" s="2" t="s">
        <v>1316</v>
      </c>
      <c r="B1261" s="13" t="n">
        <v>46282</v>
      </c>
      <c r="C1261" s="2" t="s">
        <v>79</v>
      </c>
      <c r="D1261" s="2" t="n">
        <v>1</v>
      </c>
      <c r="E1261" s="15" t="n">
        <v>0.347222222222222</v>
      </c>
      <c r="F1261" s="7" t="n">
        <v>16000</v>
      </c>
      <c r="G1261" s="7" t="n">
        <f aca="false">D1261*F1261</f>
        <v>16000</v>
      </c>
      <c r="H1261" s="2" t="str">
        <f aca="false">INDEX(Daftar_Menu!$B$2:$B$13,MATCH(C1261,Daftar_Menu!$A$2:$A$13,0))</f>
        <v>Makanan</v>
      </c>
      <c r="I1261" s="2" t="str">
        <f aca="false">CHOOSE(WEEKDAY(B1261,2),"Senin","Selasa","Rabu","Kamis","Jumat","Sabtu","Minggu")</f>
        <v>Kamis</v>
      </c>
      <c r="J1261" s="2" t="n">
        <f aca="false">HOUR(E1261)</f>
        <v>8</v>
      </c>
      <c r="K1261" s="2" t="str">
        <f aca="false">IF(J1261&lt;11,"Pagi",IF(J1261&lt;17,"Siang","Malam"))</f>
        <v>Pagi</v>
      </c>
      <c r="L1261" s="2" t="n">
        <f aca="false">IF(A1261&lt;&gt;A1260,1,0)</f>
        <v>1</v>
      </c>
    </row>
    <row r="1262" customFormat="false" ht="15" hidden="false" customHeight="false" outlineLevel="0" collapsed="false">
      <c r="A1262" s="2" t="s">
        <v>1316</v>
      </c>
      <c r="B1262" s="13" t="n">
        <v>46282</v>
      </c>
      <c r="C1262" s="2" t="s">
        <v>92</v>
      </c>
      <c r="D1262" s="2" t="n">
        <v>1</v>
      </c>
      <c r="E1262" s="15" t="n">
        <v>0.347222222222222</v>
      </c>
      <c r="F1262" s="7" t="n">
        <v>4000</v>
      </c>
      <c r="G1262" s="7" t="n">
        <f aca="false">D1262*F1262</f>
        <v>4000</v>
      </c>
      <c r="H1262" s="2" t="str">
        <f aca="false">INDEX(Daftar_Menu!$B$2:$B$13,MATCH(C1262,Daftar_Menu!$A$2:$A$13,0))</f>
        <v>Minuman</v>
      </c>
      <c r="I1262" s="2" t="str">
        <f aca="false">CHOOSE(WEEKDAY(B1262,2),"Senin","Selasa","Rabu","Kamis","Jumat","Sabtu","Minggu")</f>
        <v>Kamis</v>
      </c>
      <c r="J1262" s="2" t="n">
        <f aca="false">HOUR(E1262)</f>
        <v>8</v>
      </c>
      <c r="K1262" s="2" t="str">
        <f aca="false">IF(J1262&lt;11,"Pagi",IF(J1262&lt;17,"Siang","Malam"))</f>
        <v>Pagi</v>
      </c>
      <c r="L1262" s="2" t="n">
        <f aca="false">IF(A1262&lt;&gt;A1261,1,0)</f>
        <v>0</v>
      </c>
    </row>
    <row r="1263" customFormat="false" ht="15" hidden="false" customHeight="false" outlineLevel="0" collapsed="false">
      <c r="A1263" s="2" t="s">
        <v>1318</v>
      </c>
      <c r="B1263" s="13" t="n">
        <v>46282</v>
      </c>
      <c r="C1263" s="2" t="s">
        <v>108</v>
      </c>
      <c r="D1263" s="2" t="n">
        <v>1</v>
      </c>
      <c r="E1263" s="15" t="n">
        <v>0.388194444444445</v>
      </c>
      <c r="F1263" s="7" t="n">
        <v>20000</v>
      </c>
      <c r="G1263" s="7" t="n">
        <f aca="false">D1263*F1263</f>
        <v>20000</v>
      </c>
      <c r="H1263" s="2" t="str">
        <f aca="false">INDEX(Daftar_Menu!$B$2:$B$13,MATCH(C1263,Daftar_Menu!$A$2:$A$13,0))</f>
        <v>Makanan</v>
      </c>
      <c r="I1263" s="2" t="str">
        <f aca="false">CHOOSE(WEEKDAY(B1263,2),"Senin","Selasa","Rabu","Kamis","Jumat","Sabtu","Minggu")</f>
        <v>Kamis</v>
      </c>
      <c r="J1263" s="2" t="n">
        <f aca="false">HOUR(E1263)</f>
        <v>9</v>
      </c>
      <c r="K1263" s="2" t="str">
        <f aca="false">IF(J1263&lt;11,"Pagi",IF(J1263&lt;17,"Siang","Malam"))</f>
        <v>Pagi</v>
      </c>
      <c r="L1263" s="2" t="n">
        <f aca="false">IF(A1263&lt;&gt;A1262,1,0)</f>
        <v>1</v>
      </c>
    </row>
    <row r="1264" customFormat="false" ht="15" hidden="false" customHeight="false" outlineLevel="0" collapsed="false">
      <c r="A1264" s="2" t="s">
        <v>1318</v>
      </c>
      <c r="B1264" s="13" t="n">
        <v>46282</v>
      </c>
      <c r="C1264" s="2" t="s">
        <v>81</v>
      </c>
      <c r="D1264" s="2" t="n">
        <v>2</v>
      </c>
      <c r="E1264" s="15" t="n">
        <v>0.388194444444445</v>
      </c>
      <c r="F1264" s="7" t="n">
        <v>15000</v>
      </c>
      <c r="G1264" s="7" t="n">
        <f aca="false">D1264*F1264</f>
        <v>30000</v>
      </c>
      <c r="H1264" s="2" t="str">
        <f aca="false">INDEX(Daftar_Menu!$B$2:$B$13,MATCH(C1264,Daftar_Menu!$A$2:$A$13,0))</f>
        <v>Makanan</v>
      </c>
      <c r="I1264" s="2" t="str">
        <f aca="false">CHOOSE(WEEKDAY(B1264,2),"Senin","Selasa","Rabu","Kamis","Jumat","Sabtu","Minggu")</f>
        <v>Kamis</v>
      </c>
      <c r="J1264" s="2" t="n">
        <f aca="false">HOUR(E1264)</f>
        <v>9</v>
      </c>
      <c r="K1264" s="2" t="str">
        <f aca="false">IF(J1264&lt;11,"Pagi",IF(J1264&lt;17,"Siang","Malam"))</f>
        <v>Pagi</v>
      </c>
      <c r="L1264" s="2" t="n">
        <f aca="false">IF(A1264&lt;&gt;A1263,1,0)</f>
        <v>0</v>
      </c>
    </row>
    <row r="1265" customFormat="false" ht="15" hidden="false" customHeight="false" outlineLevel="0" collapsed="false">
      <c r="A1265" s="2" t="s">
        <v>1318</v>
      </c>
      <c r="B1265" s="13" t="n">
        <v>46282</v>
      </c>
      <c r="C1265" s="2" t="s">
        <v>112</v>
      </c>
      <c r="D1265" s="2" t="n">
        <v>2</v>
      </c>
      <c r="E1265" s="15" t="n">
        <v>0.388194444444445</v>
      </c>
      <c r="F1265" s="7" t="n">
        <v>10000</v>
      </c>
      <c r="G1265" s="7" t="n">
        <f aca="false">D1265*F1265</f>
        <v>20000</v>
      </c>
      <c r="H1265" s="2" t="str">
        <f aca="false">INDEX(Daftar_Menu!$B$2:$B$13,MATCH(C1265,Daftar_Menu!$A$2:$A$13,0))</f>
        <v>Minuman</v>
      </c>
      <c r="I1265" s="2" t="str">
        <f aca="false">CHOOSE(WEEKDAY(B1265,2),"Senin","Selasa","Rabu","Kamis","Jumat","Sabtu","Minggu")</f>
        <v>Kamis</v>
      </c>
      <c r="J1265" s="2" t="n">
        <f aca="false">HOUR(E1265)</f>
        <v>9</v>
      </c>
      <c r="K1265" s="2" t="str">
        <f aca="false">IF(J1265&lt;11,"Pagi",IF(J1265&lt;17,"Siang","Malam"))</f>
        <v>Pagi</v>
      </c>
      <c r="L1265" s="2" t="n">
        <f aca="false">IF(A1265&lt;&gt;A1264,1,0)</f>
        <v>0</v>
      </c>
    </row>
    <row r="1266" customFormat="false" ht="15" hidden="false" customHeight="false" outlineLevel="0" collapsed="false">
      <c r="A1266" s="2" t="s">
        <v>1320</v>
      </c>
      <c r="B1266" s="13" t="n">
        <v>46282</v>
      </c>
      <c r="C1266" s="2" t="s">
        <v>84</v>
      </c>
      <c r="D1266" s="2" t="n">
        <v>1</v>
      </c>
      <c r="E1266" s="15" t="n">
        <v>0.429861111111111</v>
      </c>
      <c r="F1266" s="7" t="n">
        <v>5000</v>
      </c>
      <c r="G1266" s="7" t="n">
        <f aca="false">D1266*F1266</f>
        <v>5000</v>
      </c>
      <c r="H1266" s="2" t="str">
        <f aca="false">INDEX(Daftar_Menu!$B$2:$B$13,MATCH(C1266,Daftar_Menu!$A$2:$A$13,0))</f>
        <v>Minuman</v>
      </c>
      <c r="I1266" s="2" t="str">
        <f aca="false">CHOOSE(WEEKDAY(B1266,2),"Senin","Selasa","Rabu","Kamis","Jumat","Sabtu","Minggu")</f>
        <v>Kamis</v>
      </c>
      <c r="J1266" s="2" t="n">
        <f aca="false">HOUR(E1266)</f>
        <v>10</v>
      </c>
      <c r="K1266" s="2" t="str">
        <f aca="false">IF(J1266&lt;11,"Pagi",IF(J1266&lt;17,"Siang","Malam"))</f>
        <v>Pagi</v>
      </c>
      <c r="L1266" s="2" t="n">
        <f aca="false">IF(A1266&lt;&gt;A1265,1,0)</f>
        <v>1</v>
      </c>
    </row>
    <row r="1267" customFormat="false" ht="15" hidden="false" customHeight="false" outlineLevel="0" collapsed="false">
      <c r="A1267" s="2" t="s">
        <v>1320</v>
      </c>
      <c r="B1267" s="13" t="n">
        <v>46282</v>
      </c>
      <c r="C1267" s="2" t="s">
        <v>89</v>
      </c>
      <c r="D1267" s="2" t="n">
        <v>1</v>
      </c>
      <c r="E1267" s="15" t="n">
        <v>0.429861111111111</v>
      </c>
      <c r="F1267" s="7" t="n">
        <v>14000</v>
      </c>
      <c r="G1267" s="7" t="n">
        <f aca="false">D1267*F1267</f>
        <v>14000</v>
      </c>
      <c r="H1267" s="2" t="str">
        <f aca="false">INDEX(Daftar_Menu!$B$2:$B$13,MATCH(C1267,Daftar_Menu!$A$2:$A$13,0))</f>
        <v>Makanan</v>
      </c>
      <c r="I1267" s="2" t="str">
        <f aca="false">CHOOSE(WEEKDAY(B1267,2),"Senin","Selasa","Rabu","Kamis","Jumat","Sabtu","Minggu")</f>
        <v>Kamis</v>
      </c>
      <c r="J1267" s="2" t="n">
        <f aca="false">HOUR(E1267)</f>
        <v>10</v>
      </c>
      <c r="K1267" s="2" t="str">
        <f aca="false">IF(J1267&lt;11,"Pagi",IF(J1267&lt;17,"Siang","Malam"))</f>
        <v>Pagi</v>
      </c>
      <c r="L1267" s="2" t="n">
        <f aca="false">IF(A1267&lt;&gt;A1266,1,0)</f>
        <v>0</v>
      </c>
    </row>
    <row r="1268" customFormat="false" ht="15" hidden="false" customHeight="false" outlineLevel="0" collapsed="false">
      <c r="A1268" s="2" t="s">
        <v>1320</v>
      </c>
      <c r="B1268" s="13" t="n">
        <v>46282</v>
      </c>
      <c r="C1268" s="2" t="s">
        <v>108</v>
      </c>
      <c r="D1268" s="2" t="n">
        <v>1</v>
      </c>
      <c r="E1268" s="15" t="n">
        <v>0.429861111111111</v>
      </c>
      <c r="F1268" s="7" t="n">
        <v>20000</v>
      </c>
      <c r="G1268" s="7" t="n">
        <f aca="false">D1268*F1268</f>
        <v>20000</v>
      </c>
      <c r="H1268" s="2" t="str">
        <f aca="false">INDEX(Daftar_Menu!$B$2:$B$13,MATCH(C1268,Daftar_Menu!$A$2:$A$13,0))</f>
        <v>Makanan</v>
      </c>
      <c r="I1268" s="2" t="str">
        <f aca="false">CHOOSE(WEEKDAY(B1268,2),"Senin","Selasa","Rabu","Kamis","Jumat","Sabtu","Minggu")</f>
        <v>Kamis</v>
      </c>
      <c r="J1268" s="2" t="n">
        <f aca="false">HOUR(E1268)</f>
        <v>10</v>
      </c>
      <c r="K1268" s="2" t="str">
        <f aca="false">IF(J1268&lt;11,"Pagi",IF(J1268&lt;17,"Siang","Malam"))</f>
        <v>Pagi</v>
      </c>
      <c r="L1268" s="2" t="n">
        <f aca="false">IF(A1268&lt;&gt;A1267,1,0)</f>
        <v>0</v>
      </c>
    </row>
    <row r="1269" customFormat="false" ht="15" hidden="false" customHeight="false" outlineLevel="0" collapsed="false">
      <c r="A1269" s="2" t="s">
        <v>1321</v>
      </c>
      <c r="B1269" s="13" t="n">
        <v>46282</v>
      </c>
      <c r="C1269" s="2" t="s">
        <v>132</v>
      </c>
      <c r="D1269" s="2" t="n">
        <v>1</v>
      </c>
      <c r="E1269" s="15" t="n">
        <v>0.474305555555556</v>
      </c>
      <c r="F1269" s="7" t="n">
        <v>15000</v>
      </c>
      <c r="G1269" s="7" t="n">
        <f aca="false">D1269*F1269</f>
        <v>15000</v>
      </c>
      <c r="H1269" s="2" t="str">
        <f aca="false">INDEX(Daftar_Menu!$B$2:$B$13,MATCH(C1269,Daftar_Menu!$A$2:$A$13,0))</f>
        <v>Makanan</v>
      </c>
      <c r="I1269" s="2" t="str">
        <f aca="false">CHOOSE(WEEKDAY(B1269,2),"Senin","Selasa","Rabu","Kamis","Jumat","Sabtu","Minggu")</f>
        <v>Kamis</v>
      </c>
      <c r="J1269" s="2" t="n">
        <f aca="false">HOUR(E1269)</f>
        <v>11</v>
      </c>
      <c r="K1269" s="2" t="str">
        <f aca="false">IF(J1269&lt;11,"Pagi",IF(J1269&lt;17,"Siang","Malam"))</f>
        <v>Siang</v>
      </c>
      <c r="L1269" s="2" t="n">
        <f aca="false">IF(A1269&lt;&gt;A1268,1,0)</f>
        <v>1</v>
      </c>
    </row>
    <row r="1270" customFormat="false" ht="15" hidden="false" customHeight="false" outlineLevel="0" collapsed="false">
      <c r="A1270" s="2" t="s">
        <v>1321</v>
      </c>
      <c r="B1270" s="13" t="n">
        <v>46282</v>
      </c>
      <c r="C1270" s="2" t="s">
        <v>112</v>
      </c>
      <c r="D1270" s="2" t="n">
        <v>2</v>
      </c>
      <c r="E1270" s="15" t="n">
        <v>0.474305555555556</v>
      </c>
      <c r="F1270" s="7" t="n">
        <v>10000</v>
      </c>
      <c r="G1270" s="7" t="n">
        <f aca="false">D1270*F1270</f>
        <v>20000</v>
      </c>
      <c r="H1270" s="2" t="str">
        <f aca="false">INDEX(Daftar_Menu!$B$2:$B$13,MATCH(C1270,Daftar_Menu!$A$2:$A$13,0))</f>
        <v>Minuman</v>
      </c>
      <c r="I1270" s="2" t="str">
        <f aca="false">CHOOSE(WEEKDAY(B1270,2),"Senin","Selasa","Rabu","Kamis","Jumat","Sabtu","Minggu")</f>
        <v>Kamis</v>
      </c>
      <c r="J1270" s="2" t="n">
        <f aca="false">HOUR(E1270)</f>
        <v>11</v>
      </c>
      <c r="K1270" s="2" t="str">
        <f aca="false">IF(J1270&lt;11,"Pagi",IF(J1270&lt;17,"Siang","Malam"))</f>
        <v>Siang</v>
      </c>
      <c r="L1270" s="2" t="n">
        <f aca="false">IF(A1270&lt;&gt;A1269,1,0)</f>
        <v>0</v>
      </c>
    </row>
    <row r="1271" customFormat="false" ht="15" hidden="false" customHeight="false" outlineLevel="0" collapsed="false">
      <c r="A1271" s="2" t="s">
        <v>1322</v>
      </c>
      <c r="B1271" s="13" t="n">
        <v>46282</v>
      </c>
      <c r="C1271" s="2" t="s">
        <v>84</v>
      </c>
      <c r="D1271" s="2" t="n">
        <v>2</v>
      </c>
      <c r="E1271" s="15" t="n">
        <v>0.478472222222222</v>
      </c>
      <c r="F1271" s="7" t="n">
        <v>5000</v>
      </c>
      <c r="G1271" s="7" t="n">
        <f aca="false">D1271*F1271</f>
        <v>10000</v>
      </c>
      <c r="H1271" s="2" t="str">
        <f aca="false">INDEX(Daftar_Menu!$B$2:$B$13,MATCH(C1271,Daftar_Menu!$A$2:$A$13,0))</f>
        <v>Minuman</v>
      </c>
      <c r="I1271" s="2" t="str">
        <f aca="false">CHOOSE(WEEKDAY(B1271,2),"Senin","Selasa","Rabu","Kamis","Jumat","Sabtu","Minggu")</f>
        <v>Kamis</v>
      </c>
      <c r="J1271" s="2" t="n">
        <f aca="false">HOUR(E1271)</f>
        <v>11</v>
      </c>
      <c r="K1271" s="2" t="str">
        <f aca="false">IF(J1271&lt;11,"Pagi",IF(J1271&lt;17,"Siang","Malam"))</f>
        <v>Siang</v>
      </c>
      <c r="L1271" s="2" t="n">
        <f aca="false">IF(A1271&lt;&gt;A1270,1,0)</f>
        <v>1</v>
      </c>
    </row>
    <row r="1272" customFormat="false" ht="15" hidden="false" customHeight="false" outlineLevel="0" collapsed="false">
      <c r="A1272" s="2" t="s">
        <v>1323</v>
      </c>
      <c r="B1272" s="13" t="n">
        <v>46282</v>
      </c>
      <c r="C1272" s="2" t="s">
        <v>186</v>
      </c>
      <c r="D1272" s="2" t="n">
        <v>3</v>
      </c>
      <c r="E1272" s="15" t="n">
        <v>0.481944444444445</v>
      </c>
      <c r="F1272" s="7" t="n">
        <v>7000</v>
      </c>
      <c r="G1272" s="7" t="n">
        <f aca="false">D1272*F1272</f>
        <v>21000</v>
      </c>
      <c r="H1272" s="2" t="str">
        <f aca="false">INDEX(Daftar_Menu!$B$2:$B$13,MATCH(C1272,Daftar_Menu!$A$2:$A$13,0))</f>
        <v>Minuman</v>
      </c>
      <c r="I1272" s="2" t="str">
        <f aca="false">CHOOSE(WEEKDAY(B1272,2),"Senin","Selasa","Rabu","Kamis","Jumat","Sabtu","Minggu")</f>
        <v>Kamis</v>
      </c>
      <c r="J1272" s="2" t="n">
        <f aca="false">HOUR(E1272)</f>
        <v>11</v>
      </c>
      <c r="K1272" s="2" t="str">
        <f aca="false">IF(J1272&lt;11,"Pagi",IF(J1272&lt;17,"Siang","Malam"))</f>
        <v>Siang</v>
      </c>
      <c r="L1272" s="2" t="n">
        <f aca="false">IF(A1272&lt;&gt;A1271,1,0)</f>
        <v>1</v>
      </c>
    </row>
    <row r="1273" customFormat="false" ht="15" hidden="false" customHeight="false" outlineLevel="0" collapsed="false">
      <c r="A1273" s="2" t="s">
        <v>1323</v>
      </c>
      <c r="B1273" s="13" t="n">
        <v>46282</v>
      </c>
      <c r="C1273" s="2" t="s">
        <v>84</v>
      </c>
      <c r="D1273" s="2" t="n">
        <v>2</v>
      </c>
      <c r="E1273" s="15" t="n">
        <v>0.481944444444445</v>
      </c>
      <c r="F1273" s="7" t="n">
        <v>5000</v>
      </c>
      <c r="G1273" s="7" t="n">
        <f aca="false">D1273*F1273</f>
        <v>10000</v>
      </c>
      <c r="H1273" s="2" t="str">
        <f aca="false">INDEX(Daftar_Menu!$B$2:$B$13,MATCH(C1273,Daftar_Menu!$A$2:$A$13,0))</f>
        <v>Minuman</v>
      </c>
      <c r="I1273" s="2" t="str">
        <f aca="false">CHOOSE(WEEKDAY(B1273,2),"Senin","Selasa","Rabu","Kamis","Jumat","Sabtu","Minggu")</f>
        <v>Kamis</v>
      </c>
      <c r="J1273" s="2" t="n">
        <f aca="false">HOUR(E1273)</f>
        <v>11</v>
      </c>
      <c r="K1273" s="2" t="str">
        <f aca="false">IF(J1273&lt;11,"Pagi",IF(J1273&lt;17,"Siang","Malam"))</f>
        <v>Siang</v>
      </c>
      <c r="L1273" s="2" t="n">
        <f aca="false">IF(A1273&lt;&gt;A1272,1,0)</f>
        <v>0</v>
      </c>
    </row>
    <row r="1274" customFormat="false" ht="15" hidden="false" customHeight="false" outlineLevel="0" collapsed="false">
      <c r="A1274" s="2" t="s">
        <v>1324</v>
      </c>
      <c r="B1274" s="13" t="n">
        <v>46282</v>
      </c>
      <c r="C1274" s="2" t="s">
        <v>79</v>
      </c>
      <c r="D1274" s="2" t="n">
        <v>1</v>
      </c>
      <c r="E1274" s="15" t="n">
        <v>0.486111111111111</v>
      </c>
      <c r="F1274" s="7" t="n">
        <v>16000</v>
      </c>
      <c r="G1274" s="7" t="n">
        <f aca="false">D1274*F1274</f>
        <v>16000</v>
      </c>
      <c r="H1274" s="2" t="str">
        <f aca="false">INDEX(Daftar_Menu!$B$2:$B$13,MATCH(C1274,Daftar_Menu!$A$2:$A$13,0))</f>
        <v>Makanan</v>
      </c>
      <c r="I1274" s="2" t="str">
        <f aca="false">CHOOSE(WEEKDAY(B1274,2),"Senin","Selasa","Rabu","Kamis","Jumat","Sabtu","Minggu")</f>
        <v>Kamis</v>
      </c>
      <c r="J1274" s="2" t="n">
        <f aca="false">HOUR(E1274)</f>
        <v>11</v>
      </c>
      <c r="K1274" s="2" t="str">
        <f aca="false">IF(J1274&lt;11,"Pagi",IF(J1274&lt;17,"Siang","Malam"))</f>
        <v>Siang</v>
      </c>
      <c r="L1274" s="2" t="n">
        <f aca="false">IF(A1274&lt;&gt;A1273,1,0)</f>
        <v>1</v>
      </c>
    </row>
    <row r="1275" customFormat="false" ht="15" hidden="false" customHeight="false" outlineLevel="0" collapsed="false">
      <c r="A1275" s="2" t="s">
        <v>1324</v>
      </c>
      <c r="B1275" s="13" t="n">
        <v>46282</v>
      </c>
      <c r="C1275" s="2" t="s">
        <v>84</v>
      </c>
      <c r="D1275" s="2" t="n">
        <v>1</v>
      </c>
      <c r="E1275" s="15" t="n">
        <v>0.486111111111111</v>
      </c>
      <c r="F1275" s="7" t="n">
        <v>5000</v>
      </c>
      <c r="G1275" s="7" t="n">
        <f aca="false">D1275*F1275</f>
        <v>5000</v>
      </c>
      <c r="H1275" s="2" t="str">
        <f aca="false">INDEX(Daftar_Menu!$B$2:$B$13,MATCH(C1275,Daftar_Menu!$A$2:$A$13,0))</f>
        <v>Minuman</v>
      </c>
      <c r="I1275" s="2" t="str">
        <f aca="false">CHOOSE(WEEKDAY(B1275,2),"Senin","Selasa","Rabu","Kamis","Jumat","Sabtu","Minggu")</f>
        <v>Kamis</v>
      </c>
      <c r="J1275" s="2" t="n">
        <f aca="false">HOUR(E1275)</f>
        <v>11</v>
      </c>
      <c r="K1275" s="2" t="str">
        <f aca="false">IF(J1275&lt;11,"Pagi",IF(J1275&lt;17,"Siang","Malam"))</f>
        <v>Siang</v>
      </c>
      <c r="L1275" s="2" t="n">
        <f aca="false">IF(A1275&lt;&gt;A1274,1,0)</f>
        <v>0</v>
      </c>
    </row>
    <row r="1276" customFormat="false" ht="15" hidden="false" customHeight="false" outlineLevel="0" collapsed="false">
      <c r="A1276" s="2" t="s">
        <v>1325</v>
      </c>
      <c r="B1276" s="13" t="n">
        <v>46282</v>
      </c>
      <c r="C1276" s="2" t="s">
        <v>84</v>
      </c>
      <c r="D1276" s="2" t="n">
        <v>1</v>
      </c>
      <c r="E1276" s="15" t="n">
        <v>0.488194444444444</v>
      </c>
      <c r="F1276" s="7" t="n">
        <v>5000</v>
      </c>
      <c r="G1276" s="7" t="n">
        <f aca="false">D1276*F1276</f>
        <v>5000</v>
      </c>
      <c r="H1276" s="2" t="str">
        <f aca="false">INDEX(Daftar_Menu!$B$2:$B$13,MATCH(C1276,Daftar_Menu!$A$2:$A$13,0))</f>
        <v>Minuman</v>
      </c>
      <c r="I1276" s="2" t="str">
        <f aca="false">CHOOSE(WEEKDAY(B1276,2),"Senin","Selasa","Rabu","Kamis","Jumat","Sabtu","Minggu")</f>
        <v>Kamis</v>
      </c>
      <c r="J1276" s="2" t="n">
        <f aca="false">HOUR(E1276)</f>
        <v>11</v>
      </c>
      <c r="K1276" s="2" t="str">
        <f aca="false">IF(J1276&lt;11,"Pagi",IF(J1276&lt;17,"Siang","Malam"))</f>
        <v>Siang</v>
      </c>
      <c r="L1276" s="2" t="n">
        <f aca="false">IF(A1276&lt;&gt;A1275,1,0)</f>
        <v>1</v>
      </c>
    </row>
    <row r="1277" customFormat="false" ht="15" hidden="false" customHeight="false" outlineLevel="0" collapsed="false">
      <c r="A1277" s="2" t="s">
        <v>1326</v>
      </c>
      <c r="B1277" s="13" t="n">
        <v>46282</v>
      </c>
      <c r="C1277" s="2" t="s">
        <v>84</v>
      </c>
      <c r="D1277" s="2" t="n">
        <v>2</v>
      </c>
      <c r="E1277" s="15" t="n">
        <v>0.491666666666667</v>
      </c>
      <c r="F1277" s="7" t="n">
        <v>5000</v>
      </c>
      <c r="G1277" s="7" t="n">
        <f aca="false">D1277*F1277</f>
        <v>10000</v>
      </c>
      <c r="H1277" s="2" t="str">
        <f aca="false">INDEX(Daftar_Menu!$B$2:$B$13,MATCH(C1277,Daftar_Menu!$A$2:$A$13,0))</f>
        <v>Minuman</v>
      </c>
      <c r="I1277" s="2" t="str">
        <f aca="false">CHOOSE(WEEKDAY(B1277,2),"Senin","Selasa","Rabu","Kamis","Jumat","Sabtu","Minggu")</f>
        <v>Kamis</v>
      </c>
      <c r="J1277" s="2" t="n">
        <f aca="false">HOUR(E1277)</f>
        <v>11</v>
      </c>
      <c r="K1277" s="2" t="str">
        <f aca="false">IF(J1277&lt;11,"Pagi",IF(J1277&lt;17,"Siang","Malam"))</f>
        <v>Siang</v>
      </c>
      <c r="L1277" s="2" t="n">
        <f aca="false">IF(A1277&lt;&gt;A1276,1,0)</f>
        <v>1</v>
      </c>
    </row>
    <row r="1278" customFormat="false" ht="15" hidden="false" customHeight="false" outlineLevel="0" collapsed="false">
      <c r="A1278" s="2" t="s">
        <v>1327</v>
      </c>
      <c r="B1278" s="13" t="n">
        <v>46282</v>
      </c>
      <c r="C1278" s="2" t="s">
        <v>82</v>
      </c>
      <c r="D1278" s="2" t="n">
        <v>1</v>
      </c>
      <c r="E1278" s="15" t="n">
        <v>0.511805555555556</v>
      </c>
      <c r="F1278" s="7" t="n">
        <v>13000</v>
      </c>
      <c r="G1278" s="7" t="n">
        <f aca="false">D1278*F1278</f>
        <v>13000</v>
      </c>
      <c r="H1278" s="2" t="str">
        <f aca="false">INDEX(Daftar_Menu!$B$2:$B$13,MATCH(C1278,Daftar_Menu!$A$2:$A$13,0))</f>
        <v>Makanan</v>
      </c>
      <c r="I1278" s="2" t="str">
        <f aca="false">CHOOSE(WEEKDAY(B1278,2),"Senin","Selasa","Rabu","Kamis","Jumat","Sabtu","Minggu")</f>
        <v>Kamis</v>
      </c>
      <c r="J1278" s="2" t="n">
        <f aca="false">HOUR(E1278)</f>
        <v>12</v>
      </c>
      <c r="K1278" s="2" t="str">
        <f aca="false">IF(J1278&lt;11,"Pagi",IF(J1278&lt;17,"Siang","Malam"))</f>
        <v>Siang</v>
      </c>
      <c r="L1278" s="2" t="n">
        <f aca="false">IF(A1278&lt;&gt;A1277,1,0)</f>
        <v>1</v>
      </c>
    </row>
    <row r="1279" customFormat="false" ht="15" hidden="false" customHeight="false" outlineLevel="0" collapsed="false">
      <c r="A1279" s="2" t="s">
        <v>1327</v>
      </c>
      <c r="B1279" s="13" t="n">
        <v>46282</v>
      </c>
      <c r="C1279" s="2" t="s">
        <v>108</v>
      </c>
      <c r="D1279" s="2" t="n">
        <v>2</v>
      </c>
      <c r="E1279" s="15" t="n">
        <v>0.511805555555556</v>
      </c>
      <c r="F1279" s="7" t="n">
        <v>20000</v>
      </c>
      <c r="G1279" s="7" t="n">
        <f aca="false">D1279*F1279</f>
        <v>40000</v>
      </c>
      <c r="H1279" s="2" t="str">
        <f aca="false">INDEX(Daftar_Menu!$B$2:$B$13,MATCH(C1279,Daftar_Menu!$A$2:$A$13,0))</f>
        <v>Makanan</v>
      </c>
      <c r="I1279" s="2" t="str">
        <f aca="false">CHOOSE(WEEKDAY(B1279,2),"Senin","Selasa","Rabu","Kamis","Jumat","Sabtu","Minggu")</f>
        <v>Kamis</v>
      </c>
      <c r="J1279" s="2" t="n">
        <f aca="false">HOUR(E1279)</f>
        <v>12</v>
      </c>
      <c r="K1279" s="2" t="str">
        <f aca="false">IF(J1279&lt;11,"Pagi",IF(J1279&lt;17,"Siang","Malam"))</f>
        <v>Siang</v>
      </c>
      <c r="L1279" s="2" t="n">
        <f aca="false">IF(A1279&lt;&gt;A1278,1,0)</f>
        <v>0</v>
      </c>
    </row>
    <row r="1280" customFormat="false" ht="15" hidden="false" customHeight="false" outlineLevel="0" collapsed="false">
      <c r="A1280" s="2" t="s">
        <v>1329</v>
      </c>
      <c r="B1280" s="13" t="n">
        <v>46282</v>
      </c>
      <c r="C1280" s="2" t="s">
        <v>132</v>
      </c>
      <c r="D1280" s="2" t="n">
        <v>2</v>
      </c>
      <c r="E1280" s="15" t="n">
        <v>0.522916666666667</v>
      </c>
      <c r="F1280" s="7" t="n">
        <v>15000</v>
      </c>
      <c r="G1280" s="7" t="n">
        <f aca="false">D1280*F1280</f>
        <v>30000</v>
      </c>
      <c r="H1280" s="2" t="str">
        <f aca="false">INDEX(Daftar_Menu!$B$2:$B$13,MATCH(C1280,Daftar_Menu!$A$2:$A$13,0))</f>
        <v>Makanan</v>
      </c>
      <c r="I1280" s="2" t="str">
        <f aca="false">CHOOSE(WEEKDAY(B1280,2),"Senin","Selasa","Rabu","Kamis","Jumat","Sabtu","Minggu")</f>
        <v>Kamis</v>
      </c>
      <c r="J1280" s="2" t="n">
        <f aca="false">HOUR(E1280)</f>
        <v>12</v>
      </c>
      <c r="K1280" s="2" t="str">
        <f aca="false">IF(J1280&lt;11,"Pagi",IF(J1280&lt;17,"Siang","Malam"))</f>
        <v>Siang</v>
      </c>
      <c r="L1280" s="2" t="n">
        <f aca="false">IF(A1280&lt;&gt;A1279,1,0)</f>
        <v>1</v>
      </c>
    </row>
    <row r="1281" customFormat="false" ht="15" hidden="false" customHeight="false" outlineLevel="0" collapsed="false">
      <c r="A1281" s="2" t="s">
        <v>1329</v>
      </c>
      <c r="B1281" s="13" t="n">
        <v>46282</v>
      </c>
      <c r="C1281" s="2" t="s">
        <v>186</v>
      </c>
      <c r="D1281" s="2" t="n">
        <v>1</v>
      </c>
      <c r="E1281" s="15" t="n">
        <v>0.522916666666667</v>
      </c>
      <c r="F1281" s="7" t="n">
        <v>7000</v>
      </c>
      <c r="G1281" s="7" t="n">
        <f aca="false">D1281*F1281</f>
        <v>7000</v>
      </c>
      <c r="H1281" s="2" t="str">
        <f aca="false">INDEX(Daftar_Menu!$B$2:$B$13,MATCH(C1281,Daftar_Menu!$A$2:$A$13,0))</f>
        <v>Minuman</v>
      </c>
      <c r="I1281" s="2" t="str">
        <f aca="false">CHOOSE(WEEKDAY(B1281,2),"Senin","Selasa","Rabu","Kamis","Jumat","Sabtu","Minggu")</f>
        <v>Kamis</v>
      </c>
      <c r="J1281" s="2" t="n">
        <f aca="false">HOUR(E1281)</f>
        <v>12</v>
      </c>
      <c r="K1281" s="2" t="str">
        <f aca="false">IF(J1281&lt;11,"Pagi",IF(J1281&lt;17,"Siang","Malam"))</f>
        <v>Siang</v>
      </c>
      <c r="L1281" s="2" t="n">
        <f aca="false">IF(A1281&lt;&gt;A1280,1,0)</f>
        <v>0</v>
      </c>
    </row>
    <row r="1282" customFormat="false" ht="15" hidden="false" customHeight="false" outlineLevel="0" collapsed="false">
      <c r="A1282" s="2" t="s">
        <v>1330</v>
      </c>
      <c r="B1282" s="13" t="n">
        <v>46282</v>
      </c>
      <c r="C1282" s="2" t="s">
        <v>101</v>
      </c>
      <c r="D1282" s="2" t="n">
        <v>1</v>
      </c>
      <c r="E1282" s="15" t="n">
        <v>0.530555555555556</v>
      </c>
      <c r="F1282" s="7" t="n">
        <v>18000</v>
      </c>
      <c r="G1282" s="7" t="n">
        <f aca="false">D1282*F1282</f>
        <v>18000</v>
      </c>
      <c r="H1282" s="2" t="str">
        <f aca="false">INDEX(Daftar_Menu!$B$2:$B$13,MATCH(C1282,Daftar_Menu!$A$2:$A$13,0))</f>
        <v>Makanan</v>
      </c>
      <c r="I1282" s="2" t="str">
        <f aca="false">CHOOSE(WEEKDAY(B1282,2),"Senin","Selasa","Rabu","Kamis","Jumat","Sabtu","Minggu")</f>
        <v>Kamis</v>
      </c>
      <c r="J1282" s="2" t="n">
        <f aca="false">HOUR(E1282)</f>
        <v>12</v>
      </c>
      <c r="K1282" s="2" t="str">
        <f aca="false">IF(J1282&lt;11,"Pagi",IF(J1282&lt;17,"Siang","Malam"))</f>
        <v>Siang</v>
      </c>
      <c r="L1282" s="2" t="n">
        <f aca="false">IF(A1282&lt;&gt;A1281,1,0)</f>
        <v>1</v>
      </c>
    </row>
    <row r="1283" customFormat="false" ht="15" hidden="false" customHeight="false" outlineLevel="0" collapsed="false">
      <c r="A1283" s="2" t="s">
        <v>1331</v>
      </c>
      <c r="B1283" s="13" t="n">
        <v>46282</v>
      </c>
      <c r="C1283" s="2" t="s">
        <v>92</v>
      </c>
      <c r="D1283" s="2" t="n">
        <v>1</v>
      </c>
      <c r="E1283" s="15" t="n">
        <v>0.532638888888889</v>
      </c>
      <c r="F1283" s="7" t="n">
        <v>4000</v>
      </c>
      <c r="G1283" s="7" t="n">
        <f aca="false">D1283*F1283</f>
        <v>4000</v>
      </c>
      <c r="H1283" s="2" t="str">
        <f aca="false">INDEX(Daftar_Menu!$B$2:$B$13,MATCH(C1283,Daftar_Menu!$A$2:$A$13,0))</f>
        <v>Minuman</v>
      </c>
      <c r="I1283" s="2" t="str">
        <f aca="false">CHOOSE(WEEKDAY(B1283,2),"Senin","Selasa","Rabu","Kamis","Jumat","Sabtu","Minggu")</f>
        <v>Kamis</v>
      </c>
      <c r="J1283" s="2" t="n">
        <f aca="false">HOUR(E1283)</f>
        <v>12</v>
      </c>
      <c r="K1283" s="2" t="str">
        <f aca="false">IF(J1283&lt;11,"Pagi",IF(J1283&lt;17,"Siang","Malam"))</f>
        <v>Siang</v>
      </c>
      <c r="L1283" s="2" t="n">
        <f aca="false">IF(A1283&lt;&gt;A1282,1,0)</f>
        <v>1</v>
      </c>
    </row>
    <row r="1284" customFormat="false" ht="15" hidden="false" customHeight="false" outlineLevel="0" collapsed="false">
      <c r="A1284" s="2" t="s">
        <v>1332</v>
      </c>
      <c r="B1284" s="13" t="n">
        <v>46282</v>
      </c>
      <c r="C1284" s="2" t="s">
        <v>81</v>
      </c>
      <c r="D1284" s="2" t="n">
        <v>1</v>
      </c>
      <c r="E1284" s="15" t="n">
        <v>0.567361111111111</v>
      </c>
      <c r="F1284" s="7" t="n">
        <v>15000</v>
      </c>
      <c r="G1284" s="7" t="n">
        <f aca="false">D1284*F1284</f>
        <v>15000</v>
      </c>
      <c r="H1284" s="2" t="str">
        <f aca="false">INDEX(Daftar_Menu!$B$2:$B$13,MATCH(C1284,Daftar_Menu!$A$2:$A$13,0))</f>
        <v>Makanan</v>
      </c>
      <c r="I1284" s="2" t="str">
        <f aca="false">CHOOSE(WEEKDAY(B1284,2),"Senin","Selasa","Rabu","Kamis","Jumat","Sabtu","Minggu")</f>
        <v>Kamis</v>
      </c>
      <c r="J1284" s="2" t="n">
        <f aca="false">HOUR(E1284)</f>
        <v>13</v>
      </c>
      <c r="K1284" s="2" t="str">
        <f aca="false">IF(J1284&lt;11,"Pagi",IF(J1284&lt;17,"Siang","Malam"))</f>
        <v>Siang</v>
      </c>
      <c r="L1284" s="2" t="n">
        <f aca="false">IF(A1284&lt;&gt;A1283,1,0)</f>
        <v>1</v>
      </c>
    </row>
    <row r="1285" customFormat="false" ht="15" hidden="false" customHeight="false" outlineLevel="0" collapsed="false">
      <c r="A1285" s="2" t="s">
        <v>1332</v>
      </c>
      <c r="B1285" s="13" t="n">
        <v>46282</v>
      </c>
      <c r="C1285" s="2" t="s">
        <v>84</v>
      </c>
      <c r="D1285" s="2" t="n">
        <v>3</v>
      </c>
      <c r="E1285" s="15" t="n">
        <v>0.567361111111111</v>
      </c>
      <c r="F1285" s="7" t="n">
        <v>5000</v>
      </c>
      <c r="G1285" s="7" t="n">
        <f aca="false">D1285*F1285</f>
        <v>15000</v>
      </c>
      <c r="H1285" s="2" t="str">
        <f aca="false">INDEX(Daftar_Menu!$B$2:$B$13,MATCH(C1285,Daftar_Menu!$A$2:$A$13,0))</f>
        <v>Minuman</v>
      </c>
      <c r="I1285" s="2" t="str">
        <f aca="false">CHOOSE(WEEKDAY(B1285,2),"Senin","Selasa","Rabu","Kamis","Jumat","Sabtu","Minggu")</f>
        <v>Kamis</v>
      </c>
      <c r="J1285" s="2" t="n">
        <f aca="false">HOUR(E1285)</f>
        <v>13</v>
      </c>
      <c r="K1285" s="2" t="str">
        <f aca="false">IF(J1285&lt;11,"Pagi",IF(J1285&lt;17,"Siang","Malam"))</f>
        <v>Siang</v>
      </c>
      <c r="L1285" s="2" t="n">
        <f aca="false">IF(A1285&lt;&gt;A1284,1,0)</f>
        <v>0</v>
      </c>
    </row>
    <row r="1286" customFormat="false" ht="15" hidden="false" customHeight="false" outlineLevel="0" collapsed="false">
      <c r="A1286" s="2" t="s">
        <v>1333</v>
      </c>
      <c r="B1286" s="13" t="n">
        <v>46282</v>
      </c>
      <c r="C1286" s="2" t="s">
        <v>112</v>
      </c>
      <c r="D1286" s="2" t="n">
        <v>1</v>
      </c>
      <c r="E1286" s="15" t="n">
        <v>0.571527777777778</v>
      </c>
      <c r="F1286" s="7" t="n">
        <v>10000</v>
      </c>
      <c r="G1286" s="7" t="n">
        <f aca="false">D1286*F1286</f>
        <v>10000</v>
      </c>
      <c r="H1286" s="2" t="str">
        <f aca="false">INDEX(Daftar_Menu!$B$2:$B$13,MATCH(C1286,Daftar_Menu!$A$2:$A$13,0))</f>
        <v>Minuman</v>
      </c>
      <c r="I1286" s="2" t="str">
        <f aca="false">CHOOSE(WEEKDAY(B1286,2),"Senin","Selasa","Rabu","Kamis","Jumat","Sabtu","Minggu")</f>
        <v>Kamis</v>
      </c>
      <c r="J1286" s="2" t="n">
        <f aca="false">HOUR(E1286)</f>
        <v>13</v>
      </c>
      <c r="K1286" s="2" t="str">
        <f aca="false">IF(J1286&lt;11,"Pagi",IF(J1286&lt;17,"Siang","Malam"))</f>
        <v>Siang</v>
      </c>
      <c r="L1286" s="2" t="n">
        <f aca="false">IF(A1286&lt;&gt;A1285,1,0)</f>
        <v>1</v>
      </c>
    </row>
    <row r="1287" customFormat="false" ht="15" hidden="false" customHeight="false" outlineLevel="0" collapsed="false">
      <c r="A1287" s="2" t="s">
        <v>1333</v>
      </c>
      <c r="B1287" s="13" t="n">
        <v>46282</v>
      </c>
      <c r="C1287" s="2" t="s">
        <v>84</v>
      </c>
      <c r="D1287" s="2" t="n">
        <v>2</v>
      </c>
      <c r="E1287" s="15" t="n">
        <v>0.571527777777778</v>
      </c>
      <c r="F1287" s="7" t="n">
        <v>5000</v>
      </c>
      <c r="G1287" s="7" t="n">
        <f aca="false">D1287*F1287</f>
        <v>10000</v>
      </c>
      <c r="H1287" s="2" t="str">
        <f aca="false">INDEX(Daftar_Menu!$B$2:$B$13,MATCH(C1287,Daftar_Menu!$A$2:$A$13,0))</f>
        <v>Minuman</v>
      </c>
      <c r="I1287" s="2" t="str">
        <f aca="false">CHOOSE(WEEKDAY(B1287,2),"Senin","Selasa","Rabu","Kamis","Jumat","Sabtu","Minggu")</f>
        <v>Kamis</v>
      </c>
      <c r="J1287" s="2" t="n">
        <f aca="false">HOUR(E1287)</f>
        <v>13</v>
      </c>
      <c r="K1287" s="2" t="str">
        <f aca="false">IF(J1287&lt;11,"Pagi",IF(J1287&lt;17,"Siang","Malam"))</f>
        <v>Siang</v>
      </c>
      <c r="L1287" s="2" t="n">
        <f aca="false">IF(A1287&lt;&gt;A1286,1,0)</f>
        <v>0</v>
      </c>
    </row>
    <row r="1288" customFormat="false" ht="15" hidden="false" customHeight="false" outlineLevel="0" collapsed="false">
      <c r="A1288" s="2" t="s">
        <v>1334</v>
      </c>
      <c r="B1288" s="13" t="n">
        <v>46282</v>
      </c>
      <c r="C1288" s="2" t="s">
        <v>126</v>
      </c>
      <c r="D1288" s="2" t="n">
        <v>1</v>
      </c>
      <c r="E1288" s="15" t="n">
        <v>0.576388888888889</v>
      </c>
      <c r="F1288" s="7" t="n">
        <v>3000</v>
      </c>
      <c r="G1288" s="7" t="n">
        <f aca="false">D1288*F1288</f>
        <v>3000</v>
      </c>
      <c r="H1288" s="2" t="str">
        <f aca="false">INDEX(Daftar_Menu!$B$2:$B$13,MATCH(C1288,Daftar_Menu!$A$2:$A$13,0))</f>
        <v>Minuman</v>
      </c>
      <c r="I1288" s="2" t="str">
        <f aca="false">CHOOSE(WEEKDAY(B1288,2),"Senin","Selasa","Rabu","Kamis","Jumat","Sabtu","Minggu")</f>
        <v>Kamis</v>
      </c>
      <c r="J1288" s="2" t="n">
        <f aca="false">HOUR(E1288)</f>
        <v>13</v>
      </c>
      <c r="K1288" s="2" t="str">
        <f aca="false">IF(J1288&lt;11,"Pagi",IF(J1288&lt;17,"Siang","Malam"))</f>
        <v>Siang</v>
      </c>
      <c r="L1288" s="2" t="n">
        <f aca="false">IF(A1288&lt;&gt;A1287,1,0)</f>
        <v>1</v>
      </c>
    </row>
    <row r="1289" customFormat="false" ht="15" hidden="false" customHeight="false" outlineLevel="0" collapsed="false">
      <c r="A1289" s="2" t="s">
        <v>1335</v>
      </c>
      <c r="B1289" s="13" t="n">
        <v>46282</v>
      </c>
      <c r="C1289" s="2" t="s">
        <v>89</v>
      </c>
      <c r="D1289" s="2" t="n">
        <v>1</v>
      </c>
      <c r="E1289" s="15" t="n">
        <v>0.582638888888889</v>
      </c>
      <c r="F1289" s="7" t="n">
        <v>14000</v>
      </c>
      <c r="G1289" s="7" t="n">
        <f aca="false">D1289*F1289</f>
        <v>14000</v>
      </c>
      <c r="H1289" s="2" t="str">
        <f aca="false">INDEX(Daftar_Menu!$B$2:$B$13,MATCH(C1289,Daftar_Menu!$A$2:$A$13,0))</f>
        <v>Makanan</v>
      </c>
      <c r="I1289" s="2" t="str">
        <f aca="false">CHOOSE(WEEKDAY(B1289,2),"Senin","Selasa","Rabu","Kamis","Jumat","Sabtu","Minggu")</f>
        <v>Kamis</v>
      </c>
      <c r="J1289" s="2" t="n">
        <f aca="false">HOUR(E1289)</f>
        <v>13</v>
      </c>
      <c r="K1289" s="2" t="str">
        <f aca="false">IF(J1289&lt;11,"Pagi",IF(J1289&lt;17,"Siang","Malam"))</f>
        <v>Siang</v>
      </c>
      <c r="L1289" s="2" t="n">
        <f aca="false">IF(A1289&lt;&gt;A1288,1,0)</f>
        <v>1</v>
      </c>
    </row>
    <row r="1290" customFormat="false" ht="15" hidden="false" customHeight="false" outlineLevel="0" collapsed="false">
      <c r="A1290" s="2" t="s">
        <v>1336</v>
      </c>
      <c r="B1290" s="13" t="n">
        <v>46282</v>
      </c>
      <c r="C1290" s="2" t="s">
        <v>132</v>
      </c>
      <c r="D1290" s="2" t="n">
        <v>2</v>
      </c>
      <c r="E1290" s="15" t="n">
        <v>0.595833333333333</v>
      </c>
      <c r="F1290" s="7" t="n">
        <v>15000</v>
      </c>
      <c r="G1290" s="7" t="n">
        <f aca="false">D1290*F1290</f>
        <v>30000</v>
      </c>
      <c r="H1290" s="2" t="str">
        <f aca="false">INDEX(Daftar_Menu!$B$2:$B$13,MATCH(C1290,Daftar_Menu!$A$2:$A$13,0))</f>
        <v>Makanan</v>
      </c>
      <c r="I1290" s="2" t="str">
        <f aca="false">CHOOSE(WEEKDAY(B1290,2),"Senin","Selasa","Rabu","Kamis","Jumat","Sabtu","Minggu")</f>
        <v>Kamis</v>
      </c>
      <c r="J1290" s="2" t="n">
        <f aca="false">HOUR(E1290)</f>
        <v>14</v>
      </c>
      <c r="K1290" s="2" t="str">
        <f aca="false">IF(J1290&lt;11,"Pagi",IF(J1290&lt;17,"Siang","Malam"))</f>
        <v>Siang</v>
      </c>
      <c r="L1290" s="2" t="n">
        <f aca="false">IF(A1290&lt;&gt;A1289,1,0)</f>
        <v>1</v>
      </c>
    </row>
    <row r="1291" customFormat="false" ht="15" hidden="false" customHeight="false" outlineLevel="0" collapsed="false">
      <c r="A1291" s="2" t="s">
        <v>1338</v>
      </c>
      <c r="B1291" s="13" t="n">
        <v>46282</v>
      </c>
      <c r="C1291" s="2" t="s">
        <v>108</v>
      </c>
      <c r="D1291" s="2" t="n">
        <v>1</v>
      </c>
      <c r="E1291" s="15" t="n">
        <v>0.623611111111111</v>
      </c>
      <c r="F1291" s="7" t="n">
        <v>20000</v>
      </c>
      <c r="G1291" s="7" t="n">
        <f aca="false">D1291*F1291</f>
        <v>20000</v>
      </c>
      <c r="H1291" s="2" t="str">
        <f aca="false">INDEX(Daftar_Menu!$B$2:$B$13,MATCH(C1291,Daftar_Menu!$A$2:$A$13,0))</f>
        <v>Makanan</v>
      </c>
      <c r="I1291" s="2" t="str">
        <f aca="false">CHOOSE(WEEKDAY(B1291,2),"Senin","Selasa","Rabu","Kamis","Jumat","Sabtu","Minggu")</f>
        <v>Kamis</v>
      </c>
      <c r="J1291" s="2" t="n">
        <f aca="false">HOUR(E1291)</f>
        <v>14</v>
      </c>
      <c r="K1291" s="2" t="str">
        <f aca="false">IF(J1291&lt;11,"Pagi",IF(J1291&lt;17,"Siang","Malam"))</f>
        <v>Siang</v>
      </c>
      <c r="L1291" s="2" t="n">
        <f aca="false">IF(A1291&lt;&gt;A1290,1,0)</f>
        <v>1</v>
      </c>
    </row>
    <row r="1292" customFormat="false" ht="15" hidden="false" customHeight="false" outlineLevel="0" collapsed="false">
      <c r="A1292" s="2" t="s">
        <v>1338</v>
      </c>
      <c r="B1292" s="13" t="n">
        <v>46282</v>
      </c>
      <c r="C1292" s="2" t="s">
        <v>81</v>
      </c>
      <c r="D1292" s="2" t="n">
        <v>1</v>
      </c>
      <c r="E1292" s="15" t="n">
        <v>0.623611111111111</v>
      </c>
      <c r="F1292" s="7" t="n">
        <v>15000</v>
      </c>
      <c r="G1292" s="7" t="n">
        <f aca="false">D1292*F1292</f>
        <v>15000</v>
      </c>
      <c r="H1292" s="2" t="str">
        <f aca="false">INDEX(Daftar_Menu!$B$2:$B$13,MATCH(C1292,Daftar_Menu!$A$2:$A$13,0))</f>
        <v>Makanan</v>
      </c>
      <c r="I1292" s="2" t="str">
        <f aca="false">CHOOSE(WEEKDAY(B1292,2),"Senin","Selasa","Rabu","Kamis","Jumat","Sabtu","Minggu")</f>
        <v>Kamis</v>
      </c>
      <c r="J1292" s="2" t="n">
        <f aca="false">HOUR(E1292)</f>
        <v>14</v>
      </c>
      <c r="K1292" s="2" t="str">
        <f aca="false">IF(J1292&lt;11,"Pagi",IF(J1292&lt;17,"Siang","Malam"))</f>
        <v>Siang</v>
      </c>
      <c r="L1292" s="2" t="n">
        <f aca="false">IF(A1292&lt;&gt;A1291,1,0)</f>
        <v>0</v>
      </c>
    </row>
    <row r="1293" customFormat="false" ht="15" hidden="false" customHeight="false" outlineLevel="0" collapsed="false">
      <c r="A1293" s="2" t="s">
        <v>1339</v>
      </c>
      <c r="B1293" s="13" t="n">
        <v>46282</v>
      </c>
      <c r="C1293" s="2" t="s">
        <v>81</v>
      </c>
      <c r="D1293" s="2" t="n">
        <v>2</v>
      </c>
      <c r="E1293" s="15" t="n">
        <v>0.623611111111111</v>
      </c>
      <c r="F1293" s="7" t="n">
        <v>15000</v>
      </c>
      <c r="G1293" s="7" t="n">
        <f aca="false">D1293*F1293</f>
        <v>30000</v>
      </c>
      <c r="H1293" s="2" t="str">
        <f aca="false">INDEX(Daftar_Menu!$B$2:$B$13,MATCH(C1293,Daftar_Menu!$A$2:$A$13,0))</f>
        <v>Makanan</v>
      </c>
      <c r="I1293" s="2" t="str">
        <f aca="false">CHOOSE(WEEKDAY(B1293,2),"Senin","Selasa","Rabu","Kamis","Jumat","Sabtu","Minggu")</f>
        <v>Kamis</v>
      </c>
      <c r="J1293" s="2" t="n">
        <f aca="false">HOUR(E1293)</f>
        <v>14</v>
      </c>
      <c r="K1293" s="2" t="str">
        <f aca="false">IF(J1293&lt;11,"Pagi",IF(J1293&lt;17,"Siang","Malam"))</f>
        <v>Siang</v>
      </c>
      <c r="L1293" s="2" t="n">
        <f aca="false">IF(A1293&lt;&gt;A1292,1,0)</f>
        <v>1</v>
      </c>
    </row>
    <row r="1294" customFormat="false" ht="15" hidden="false" customHeight="false" outlineLevel="0" collapsed="false">
      <c r="A1294" s="2" t="s">
        <v>1339</v>
      </c>
      <c r="B1294" s="13" t="n">
        <v>46282</v>
      </c>
      <c r="C1294" s="2" t="s">
        <v>108</v>
      </c>
      <c r="D1294" s="2" t="n">
        <v>1</v>
      </c>
      <c r="E1294" s="15" t="n">
        <v>0.623611111111111</v>
      </c>
      <c r="F1294" s="7" t="n">
        <v>20000</v>
      </c>
      <c r="G1294" s="7" t="n">
        <f aca="false">D1294*F1294</f>
        <v>20000</v>
      </c>
      <c r="H1294" s="2" t="str">
        <f aca="false">INDEX(Daftar_Menu!$B$2:$B$13,MATCH(C1294,Daftar_Menu!$A$2:$A$13,0))</f>
        <v>Makanan</v>
      </c>
      <c r="I1294" s="2" t="str">
        <f aca="false">CHOOSE(WEEKDAY(B1294,2),"Senin","Selasa","Rabu","Kamis","Jumat","Sabtu","Minggu")</f>
        <v>Kamis</v>
      </c>
      <c r="J1294" s="2" t="n">
        <f aca="false">HOUR(E1294)</f>
        <v>14</v>
      </c>
      <c r="K1294" s="2" t="str">
        <f aca="false">IF(J1294&lt;11,"Pagi",IF(J1294&lt;17,"Siang","Malam"))</f>
        <v>Siang</v>
      </c>
      <c r="L1294" s="2" t="n">
        <f aca="false">IF(A1294&lt;&gt;A1293,1,0)</f>
        <v>0</v>
      </c>
    </row>
    <row r="1295" customFormat="false" ht="15" hidden="false" customHeight="false" outlineLevel="0" collapsed="false">
      <c r="A1295" s="2" t="s">
        <v>1339</v>
      </c>
      <c r="B1295" s="13" t="n">
        <v>46282</v>
      </c>
      <c r="C1295" s="2" t="s">
        <v>112</v>
      </c>
      <c r="D1295" s="2" t="n">
        <v>1</v>
      </c>
      <c r="E1295" s="15" t="n">
        <v>0.623611111111111</v>
      </c>
      <c r="F1295" s="7" t="n">
        <v>10000</v>
      </c>
      <c r="G1295" s="7" t="n">
        <f aca="false">D1295*F1295</f>
        <v>10000</v>
      </c>
      <c r="H1295" s="2" t="str">
        <f aca="false">INDEX(Daftar_Menu!$B$2:$B$13,MATCH(C1295,Daftar_Menu!$A$2:$A$13,0))</f>
        <v>Minuman</v>
      </c>
      <c r="I1295" s="2" t="str">
        <f aca="false">CHOOSE(WEEKDAY(B1295,2),"Senin","Selasa","Rabu","Kamis","Jumat","Sabtu","Minggu")</f>
        <v>Kamis</v>
      </c>
      <c r="J1295" s="2" t="n">
        <f aca="false">HOUR(E1295)</f>
        <v>14</v>
      </c>
      <c r="K1295" s="2" t="str">
        <f aca="false">IF(J1295&lt;11,"Pagi",IF(J1295&lt;17,"Siang","Malam"))</f>
        <v>Siang</v>
      </c>
      <c r="L1295" s="2" t="n">
        <f aca="false">IF(A1295&lt;&gt;A1294,1,0)</f>
        <v>0</v>
      </c>
    </row>
    <row r="1296" customFormat="false" ht="15" hidden="false" customHeight="false" outlineLevel="0" collapsed="false">
      <c r="A1296" s="2" t="s">
        <v>1340</v>
      </c>
      <c r="B1296" s="13" t="n">
        <v>46282</v>
      </c>
      <c r="C1296" s="2" t="s">
        <v>101</v>
      </c>
      <c r="D1296" s="2" t="n">
        <v>1</v>
      </c>
      <c r="E1296" s="15" t="n">
        <v>0.636111111111111</v>
      </c>
      <c r="F1296" s="7" t="n">
        <v>18000</v>
      </c>
      <c r="G1296" s="7" t="n">
        <f aca="false">D1296*F1296</f>
        <v>18000</v>
      </c>
      <c r="H1296" s="2" t="str">
        <f aca="false">INDEX(Daftar_Menu!$B$2:$B$13,MATCH(C1296,Daftar_Menu!$A$2:$A$13,0))</f>
        <v>Makanan</v>
      </c>
      <c r="I1296" s="2" t="str">
        <f aca="false">CHOOSE(WEEKDAY(B1296,2),"Senin","Selasa","Rabu","Kamis","Jumat","Sabtu","Minggu")</f>
        <v>Kamis</v>
      </c>
      <c r="J1296" s="2" t="n">
        <f aca="false">HOUR(E1296)</f>
        <v>15</v>
      </c>
      <c r="K1296" s="2" t="str">
        <f aca="false">IF(J1296&lt;11,"Pagi",IF(J1296&lt;17,"Siang","Malam"))</f>
        <v>Siang</v>
      </c>
      <c r="L1296" s="2" t="n">
        <f aca="false">IF(A1296&lt;&gt;A1295,1,0)</f>
        <v>1</v>
      </c>
    </row>
    <row r="1297" customFormat="false" ht="15" hidden="false" customHeight="false" outlineLevel="0" collapsed="false">
      <c r="A1297" s="2" t="s">
        <v>1341</v>
      </c>
      <c r="B1297" s="13" t="n">
        <v>46282</v>
      </c>
      <c r="C1297" s="2" t="s">
        <v>79</v>
      </c>
      <c r="D1297" s="2" t="n">
        <v>1</v>
      </c>
      <c r="E1297" s="15" t="n">
        <v>0.649305555555556</v>
      </c>
      <c r="F1297" s="7" t="n">
        <v>16000</v>
      </c>
      <c r="G1297" s="7" t="n">
        <f aca="false">D1297*F1297</f>
        <v>16000</v>
      </c>
      <c r="H1297" s="2" t="str">
        <f aca="false">INDEX(Daftar_Menu!$B$2:$B$13,MATCH(C1297,Daftar_Menu!$A$2:$A$13,0))</f>
        <v>Makanan</v>
      </c>
      <c r="I1297" s="2" t="str">
        <f aca="false">CHOOSE(WEEKDAY(B1297,2),"Senin","Selasa","Rabu","Kamis","Jumat","Sabtu","Minggu")</f>
        <v>Kamis</v>
      </c>
      <c r="J1297" s="2" t="n">
        <f aca="false">HOUR(E1297)</f>
        <v>15</v>
      </c>
      <c r="K1297" s="2" t="str">
        <f aca="false">IF(J1297&lt;11,"Pagi",IF(J1297&lt;17,"Siang","Malam"))</f>
        <v>Siang</v>
      </c>
      <c r="L1297" s="2" t="n">
        <f aca="false">IF(A1297&lt;&gt;A1296,1,0)</f>
        <v>1</v>
      </c>
    </row>
    <row r="1298" customFormat="false" ht="15" hidden="false" customHeight="false" outlineLevel="0" collapsed="false">
      <c r="A1298" s="2" t="s">
        <v>1343</v>
      </c>
      <c r="B1298" s="13" t="n">
        <v>46282</v>
      </c>
      <c r="C1298" s="2" t="s">
        <v>81</v>
      </c>
      <c r="D1298" s="2" t="n">
        <v>2</v>
      </c>
      <c r="E1298" s="15" t="n">
        <v>0.688194444444444</v>
      </c>
      <c r="F1298" s="7" t="n">
        <v>15000</v>
      </c>
      <c r="G1298" s="7" t="n">
        <f aca="false">D1298*F1298</f>
        <v>30000</v>
      </c>
      <c r="H1298" s="2" t="str">
        <f aca="false">INDEX(Daftar_Menu!$B$2:$B$13,MATCH(C1298,Daftar_Menu!$A$2:$A$13,0))</f>
        <v>Makanan</v>
      </c>
      <c r="I1298" s="2" t="str">
        <f aca="false">CHOOSE(WEEKDAY(B1298,2),"Senin","Selasa","Rabu","Kamis","Jumat","Sabtu","Minggu")</f>
        <v>Kamis</v>
      </c>
      <c r="J1298" s="2" t="n">
        <f aca="false">HOUR(E1298)</f>
        <v>16</v>
      </c>
      <c r="K1298" s="2" t="str">
        <f aca="false">IF(J1298&lt;11,"Pagi",IF(J1298&lt;17,"Siang","Malam"))</f>
        <v>Siang</v>
      </c>
      <c r="L1298" s="2" t="n">
        <f aca="false">IF(A1298&lt;&gt;A1297,1,0)</f>
        <v>1</v>
      </c>
    </row>
    <row r="1299" customFormat="false" ht="15" hidden="false" customHeight="false" outlineLevel="0" collapsed="false">
      <c r="A1299" s="2" t="s">
        <v>1343</v>
      </c>
      <c r="B1299" s="13" t="n">
        <v>46282</v>
      </c>
      <c r="C1299" s="2" t="s">
        <v>186</v>
      </c>
      <c r="D1299" s="2" t="n">
        <v>1</v>
      </c>
      <c r="E1299" s="15" t="n">
        <v>0.688194444444444</v>
      </c>
      <c r="F1299" s="7" t="n">
        <v>7000</v>
      </c>
      <c r="G1299" s="7" t="n">
        <f aca="false">D1299*F1299</f>
        <v>7000</v>
      </c>
      <c r="H1299" s="2" t="str">
        <f aca="false">INDEX(Daftar_Menu!$B$2:$B$13,MATCH(C1299,Daftar_Menu!$A$2:$A$13,0))</f>
        <v>Minuman</v>
      </c>
      <c r="I1299" s="2" t="str">
        <f aca="false">CHOOSE(WEEKDAY(B1299,2),"Senin","Selasa","Rabu","Kamis","Jumat","Sabtu","Minggu")</f>
        <v>Kamis</v>
      </c>
      <c r="J1299" s="2" t="n">
        <f aca="false">HOUR(E1299)</f>
        <v>16</v>
      </c>
      <c r="K1299" s="2" t="str">
        <f aca="false">IF(J1299&lt;11,"Pagi",IF(J1299&lt;17,"Siang","Malam"))</f>
        <v>Siang</v>
      </c>
      <c r="L1299" s="2" t="n">
        <f aca="false">IF(A1299&lt;&gt;A1298,1,0)</f>
        <v>0</v>
      </c>
    </row>
    <row r="1300" customFormat="false" ht="15" hidden="false" customHeight="false" outlineLevel="0" collapsed="false">
      <c r="A1300" s="2" t="s">
        <v>1344</v>
      </c>
      <c r="B1300" s="13" t="n">
        <v>46282</v>
      </c>
      <c r="C1300" s="2" t="s">
        <v>82</v>
      </c>
      <c r="D1300" s="2" t="n">
        <v>1</v>
      </c>
      <c r="E1300" s="15" t="n">
        <v>0.689583333333333</v>
      </c>
      <c r="F1300" s="7" t="n">
        <v>13000</v>
      </c>
      <c r="G1300" s="7" t="n">
        <f aca="false">D1300*F1300</f>
        <v>13000</v>
      </c>
      <c r="H1300" s="2" t="str">
        <f aca="false">INDEX(Daftar_Menu!$B$2:$B$13,MATCH(C1300,Daftar_Menu!$A$2:$A$13,0))</f>
        <v>Makanan</v>
      </c>
      <c r="I1300" s="2" t="str">
        <f aca="false">CHOOSE(WEEKDAY(B1300,2),"Senin","Selasa","Rabu","Kamis","Jumat","Sabtu","Minggu")</f>
        <v>Kamis</v>
      </c>
      <c r="J1300" s="2" t="n">
        <f aca="false">HOUR(E1300)</f>
        <v>16</v>
      </c>
      <c r="K1300" s="2" t="str">
        <f aca="false">IF(J1300&lt;11,"Pagi",IF(J1300&lt;17,"Siang","Malam"))</f>
        <v>Siang</v>
      </c>
      <c r="L1300" s="2" t="n">
        <f aca="false">IF(A1300&lt;&gt;A1299,1,0)</f>
        <v>1</v>
      </c>
    </row>
    <row r="1301" customFormat="false" ht="15" hidden="false" customHeight="false" outlineLevel="0" collapsed="false">
      <c r="A1301" s="2" t="s">
        <v>1346</v>
      </c>
      <c r="B1301" s="13" t="n">
        <v>46282</v>
      </c>
      <c r="C1301" s="2" t="s">
        <v>79</v>
      </c>
      <c r="D1301" s="2" t="n">
        <v>1</v>
      </c>
      <c r="E1301" s="15" t="n">
        <v>0.709722222222222</v>
      </c>
      <c r="F1301" s="7" t="n">
        <v>16000</v>
      </c>
      <c r="G1301" s="7" t="n">
        <f aca="false">D1301*F1301</f>
        <v>16000</v>
      </c>
      <c r="H1301" s="2" t="str">
        <f aca="false">INDEX(Daftar_Menu!$B$2:$B$13,MATCH(C1301,Daftar_Menu!$A$2:$A$13,0))</f>
        <v>Makanan</v>
      </c>
      <c r="I1301" s="2" t="str">
        <f aca="false">CHOOSE(WEEKDAY(B1301,2),"Senin","Selasa","Rabu","Kamis","Jumat","Sabtu","Minggu")</f>
        <v>Kamis</v>
      </c>
      <c r="J1301" s="2" t="n">
        <f aca="false">HOUR(E1301)</f>
        <v>17</v>
      </c>
      <c r="K1301" s="2" t="str">
        <f aca="false">IF(J1301&lt;11,"Pagi",IF(J1301&lt;17,"Siang","Malam"))</f>
        <v>Malam</v>
      </c>
      <c r="L1301" s="2" t="n">
        <f aca="false">IF(A1301&lt;&gt;A1300,1,0)</f>
        <v>1</v>
      </c>
    </row>
    <row r="1302" customFormat="false" ht="15" hidden="false" customHeight="false" outlineLevel="0" collapsed="false">
      <c r="A1302" s="2" t="s">
        <v>1346</v>
      </c>
      <c r="B1302" s="13" t="n">
        <v>46282</v>
      </c>
      <c r="C1302" s="2" t="s">
        <v>186</v>
      </c>
      <c r="D1302" s="2" t="n">
        <v>1</v>
      </c>
      <c r="E1302" s="15" t="n">
        <v>0.709722222222222</v>
      </c>
      <c r="F1302" s="7" t="n">
        <v>7000</v>
      </c>
      <c r="G1302" s="7" t="n">
        <f aca="false">D1302*F1302</f>
        <v>7000</v>
      </c>
      <c r="H1302" s="2" t="str">
        <f aca="false">INDEX(Daftar_Menu!$B$2:$B$13,MATCH(C1302,Daftar_Menu!$A$2:$A$13,0))</f>
        <v>Minuman</v>
      </c>
      <c r="I1302" s="2" t="str">
        <f aca="false">CHOOSE(WEEKDAY(B1302,2),"Senin","Selasa","Rabu","Kamis","Jumat","Sabtu","Minggu")</f>
        <v>Kamis</v>
      </c>
      <c r="J1302" s="2" t="n">
        <f aca="false">HOUR(E1302)</f>
        <v>17</v>
      </c>
      <c r="K1302" s="2" t="str">
        <f aca="false">IF(J1302&lt;11,"Pagi",IF(J1302&lt;17,"Siang","Malam"))</f>
        <v>Malam</v>
      </c>
      <c r="L1302" s="2" t="n">
        <f aca="false">IF(A1302&lt;&gt;A1301,1,0)</f>
        <v>0</v>
      </c>
    </row>
    <row r="1303" customFormat="false" ht="15" hidden="false" customHeight="false" outlineLevel="0" collapsed="false">
      <c r="A1303" s="2" t="s">
        <v>1347</v>
      </c>
      <c r="B1303" s="13" t="n">
        <v>46282</v>
      </c>
      <c r="C1303" s="2" t="s">
        <v>108</v>
      </c>
      <c r="D1303" s="2" t="n">
        <v>2</v>
      </c>
      <c r="E1303" s="15" t="n">
        <v>0.713888888888889</v>
      </c>
      <c r="F1303" s="7" t="n">
        <v>20000</v>
      </c>
      <c r="G1303" s="7" t="n">
        <f aca="false">D1303*F1303</f>
        <v>40000</v>
      </c>
      <c r="H1303" s="2" t="str">
        <f aca="false">INDEX(Daftar_Menu!$B$2:$B$13,MATCH(C1303,Daftar_Menu!$A$2:$A$13,0))</f>
        <v>Makanan</v>
      </c>
      <c r="I1303" s="2" t="str">
        <f aca="false">CHOOSE(WEEKDAY(B1303,2),"Senin","Selasa","Rabu","Kamis","Jumat","Sabtu","Minggu")</f>
        <v>Kamis</v>
      </c>
      <c r="J1303" s="2" t="n">
        <f aca="false">HOUR(E1303)</f>
        <v>17</v>
      </c>
      <c r="K1303" s="2" t="str">
        <f aca="false">IF(J1303&lt;11,"Pagi",IF(J1303&lt;17,"Siang","Malam"))</f>
        <v>Malam</v>
      </c>
      <c r="L1303" s="2" t="n">
        <f aca="false">IF(A1303&lt;&gt;A1302,1,0)</f>
        <v>1</v>
      </c>
    </row>
    <row r="1304" customFormat="false" ht="15" hidden="false" customHeight="false" outlineLevel="0" collapsed="false">
      <c r="A1304" s="2" t="s">
        <v>1347</v>
      </c>
      <c r="B1304" s="13" t="n">
        <v>46282</v>
      </c>
      <c r="C1304" s="2" t="s">
        <v>132</v>
      </c>
      <c r="D1304" s="2" t="n">
        <v>1</v>
      </c>
      <c r="E1304" s="15" t="n">
        <v>0.713888888888889</v>
      </c>
      <c r="F1304" s="7" t="n">
        <v>15000</v>
      </c>
      <c r="G1304" s="7" t="n">
        <f aca="false">D1304*F1304</f>
        <v>15000</v>
      </c>
      <c r="H1304" s="2" t="str">
        <f aca="false">INDEX(Daftar_Menu!$B$2:$B$13,MATCH(C1304,Daftar_Menu!$A$2:$A$13,0))</f>
        <v>Makanan</v>
      </c>
      <c r="I1304" s="2" t="str">
        <f aca="false">CHOOSE(WEEKDAY(B1304,2),"Senin","Selasa","Rabu","Kamis","Jumat","Sabtu","Minggu")</f>
        <v>Kamis</v>
      </c>
      <c r="J1304" s="2" t="n">
        <f aca="false">HOUR(E1304)</f>
        <v>17</v>
      </c>
      <c r="K1304" s="2" t="str">
        <f aca="false">IF(J1304&lt;11,"Pagi",IF(J1304&lt;17,"Siang","Malam"))</f>
        <v>Malam</v>
      </c>
      <c r="L1304" s="2" t="n">
        <f aca="false">IF(A1304&lt;&gt;A1303,1,0)</f>
        <v>0</v>
      </c>
    </row>
    <row r="1305" customFormat="false" ht="15" hidden="false" customHeight="false" outlineLevel="0" collapsed="false">
      <c r="A1305" s="2" t="s">
        <v>1348</v>
      </c>
      <c r="B1305" s="13" t="n">
        <v>46282</v>
      </c>
      <c r="C1305" s="2" t="s">
        <v>101</v>
      </c>
      <c r="D1305" s="2" t="n">
        <v>3</v>
      </c>
      <c r="E1305" s="15" t="n">
        <v>0.720833333333333</v>
      </c>
      <c r="F1305" s="7" t="n">
        <v>18000</v>
      </c>
      <c r="G1305" s="7" t="n">
        <f aca="false">D1305*F1305</f>
        <v>54000</v>
      </c>
      <c r="H1305" s="2" t="str">
        <f aca="false">INDEX(Daftar_Menu!$B$2:$B$13,MATCH(C1305,Daftar_Menu!$A$2:$A$13,0))</f>
        <v>Makanan</v>
      </c>
      <c r="I1305" s="2" t="str">
        <f aca="false">CHOOSE(WEEKDAY(B1305,2),"Senin","Selasa","Rabu","Kamis","Jumat","Sabtu","Minggu")</f>
        <v>Kamis</v>
      </c>
      <c r="J1305" s="2" t="n">
        <f aca="false">HOUR(E1305)</f>
        <v>17</v>
      </c>
      <c r="K1305" s="2" t="str">
        <f aca="false">IF(J1305&lt;11,"Pagi",IF(J1305&lt;17,"Siang","Malam"))</f>
        <v>Malam</v>
      </c>
      <c r="L1305" s="2" t="n">
        <f aca="false">IF(A1305&lt;&gt;A1304,1,0)</f>
        <v>1</v>
      </c>
    </row>
    <row r="1306" customFormat="false" ht="15" hidden="false" customHeight="false" outlineLevel="0" collapsed="false">
      <c r="A1306" s="2" t="s">
        <v>1350</v>
      </c>
      <c r="B1306" s="13" t="n">
        <v>46282</v>
      </c>
      <c r="C1306" s="2" t="s">
        <v>79</v>
      </c>
      <c r="D1306" s="2" t="n">
        <v>1</v>
      </c>
      <c r="E1306" s="15" t="n">
        <v>0.722916666666667</v>
      </c>
      <c r="F1306" s="7" t="n">
        <v>16000</v>
      </c>
      <c r="G1306" s="7" t="n">
        <f aca="false">D1306*F1306</f>
        <v>16000</v>
      </c>
      <c r="H1306" s="2" t="str">
        <f aca="false">INDEX(Daftar_Menu!$B$2:$B$13,MATCH(C1306,Daftar_Menu!$A$2:$A$13,0))</f>
        <v>Makanan</v>
      </c>
      <c r="I1306" s="2" t="str">
        <f aca="false">CHOOSE(WEEKDAY(B1306,2),"Senin","Selasa","Rabu","Kamis","Jumat","Sabtu","Minggu")</f>
        <v>Kamis</v>
      </c>
      <c r="J1306" s="2" t="n">
        <f aca="false">HOUR(E1306)</f>
        <v>17</v>
      </c>
      <c r="K1306" s="2" t="str">
        <f aca="false">IF(J1306&lt;11,"Pagi",IF(J1306&lt;17,"Siang","Malam"))</f>
        <v>Malam</v>
      </c>
      <c r="L1306" s="2" t="n">
        <f aca="false">IF(A1306&lt;&gt;A1305,1,0)</f>
        <v>1</v>
      </c>
    </row>
    <row r="1307" customFormat="false" ht="15" hidden="false" customHeight="false" outlineLevel="0" collapsed="false">
      <c r="A1307" s="2" t="s">
        <v>1351</v>
      </c>
      <c r="B1307" s="13" t="n">
        <v>46282</v>
      </c>
      <c r="C1307" s="2" t="s">
        <v>112</v>
      </c>
      <c r="D1307" s="2" t="n">
        <v>3</v>
      </c>
      <c r="E1307" s="15" t="n">
        <v>0.724305555555556</v>
      </c>
      <c r="F1307" s="7" t="n">
        <v>10000</v>
      </c>
      <c r="G1307" s="7" t="n">
        <f aca="false">D1307*F1307</f>
        <v>30000</v>
      </c>
      <c r="H1307" s="2" t="str">
        <f aca="false">INDEX(Daftar_Menu!$B$2:$B$13,MATCH(C1307,Daftar_Menu!$A$2:$A$13,0))</f>
        <v>Minuman</v>
      </c>
      <c r="I1307" s="2" t="str">
        <f aca="false">CHOOSE(WEEKDAY(B1307,2),"Senin","Selasa","Rabu","Kamis","Jumat","Sabtu","Minggu")</f>
        <v>Kamis</v>
      </c>
      <c r="J1307" s="2" t="n">
        <f aca="false">HOUR(E1307)</f>
        <v>17</v>
      </c>
      <c r="K1307" s="2" t="str">
        <f aca="false">IF(J1307&lt;11,"Pagi",IF(J1307&lt;17,"Siang","Malam"))</f>
        <v>Malam</v>
      </c>
      <c r="L1307" s="2" t="n">
        <f aca="false">IF(A1307&lt;&gt;A1306,1,0)</f>
        <v>1</v>
      </c>
    </row>
    <row r="1308" customFormat="false" ht="15" hidden="false" customHeight="false" outlineLevel="0" collapsed="false">
      <c r="A1308" s="2" t="s">
        <v>1351</v>
      </c>
      <c r="B1308" s="13" t="n">
        <v>46282</v>
      </c>
      <c r="C1308" s="2" t="s">
        <v>84</v>
      </c>
      <c r="D1308" s="2" t="n">
        <v>2</v>
      </c>
      <c r="E1308" s="15" t="n">
        <v>0.724305555555556</v>
      </c>
      <c r="F1308" s="7" t="n">
        <v>5000</v>
      </c>
      <c r="G1308" s="7" t="n">
        <f aca="false">D1308*F1308</f>
        <v>10000</v>
      </c>
      <c r="H1308" s="2" t="str">
        <f aca="false">INDEX(Daftar_Menu!$B$2:$B$13,MATCH(C1308,Daftar_Menu!$A$2:$A$13,0))</f>
        <v>Minuman</v>
      </c>
      <c r="I1308" s="2" t="str">
        <f aca="false">CHOOSE(WEEKDAY(B1308,2),"Senin","Selasa","Rabu","Kamis","Jumat","Sabtu","Minggu")</f>
        <v>Kamis</v>
      </c>
      <c r="J1308" s="2" t="n">
        <f aca="false">HOUR(E1308)</f>
        <v>17</v>
      </c>
      <c r="K1308" s="2" t="str">
        <f aca="false">IF(J1308&lt;11,"Pagi",IF(J1308&lt;17,"Siang","Malam"))</f>
        <v>Malam</v>
      </c>
      <c r="L1308" s="2" t="n">
        <f aca="false">IF(A1308&lt;&gt;A1307,1,0)</f>
        <v>0</v>
      </c>
    </row>
    <row r="1309" customFormat="false" ht="15" hidden="false" customHeight="false" outlineLevel="0" collapsed="false">
      <c r="A1309" s="2" t="s">
        <v>1351</v>
      </c>
      <c r="B1309" s="13" t="n">
        <v>46282</v>
      </c>
      <c r="C1309" s="2" t="s">
        <v>126</v>
      </c>
      <c r="D1309" s="2" t="n">
        <v>2</v>
      </c>
      <c r="E1309" s="15" t="n">
        <v>0.724305555555556</v>
      </c>
      <c r="F1309" s="7" t="n">
        <v>3000</v>
      </c>
      <c r="G1309" s="7" t="n">
        <f aca="false">D1309*F1309</f>
        <v>6000</v>
      </c>
      <c r="H1309" s="2" t="str">
        <f aca="false">INDEX(Daftar_Menu!$B$2:$B$13,MATCH(C1309,Daftar_Menu!$A$2:$A$13,0))</f>
        <v>Minuman</v>
      </c>
      <c r="I1309" s="2" t="str">
        <f aca="false">CHOOSE(WEEKDAY(B1309,2),"Senin","Selasa","Rabu","Kamis","Jumat","Sabtu","Minggu")</f>
        <v>Kamis</v>
      </c>
      <c r="J1309" s="2" t="n">
        <f aca="false">HOUR(E1309)</f>
        <v>17</v>
      </c>
      <c r="K1309" s="2" t="str">
        <f aca="false">IF(J1309&lt;11,"Pagi",IF(J1309&lt;17,"Siang","Malam"))</f>
        <v>Malam</v>
      </c>
      <c r="L1309" s="2" t="n">
        <f aca="false">IF(A1309&lt;&gt;A1308,1,0)</f>
        <v>0</v>
      </c>
    </row>
    <row r="1310" customFormat="false" ht="15" hidden="false" customHeight="false" outlineLevel="0" collapsed="false">
      <c r="A1310" s="2" t="s">
        <v>1353</v>
      </c>
      <c r="B1310" s="13" t="n">
        <v>46282</v>
      </c>
      <c r="C1310" s="2" t="s">
        <v>92</v>
      </c>
      <c r="D1310" s="2" t="n">
        <v>1</v>
      </c>
      <c r="E1310" s="15" t="n">
        <v>0.752083333333333</v>
      </c>
      <c r="F1310" s="7" t="n">
        <v>4000</v>
      </c>
      <c r="G1310" s="7" t="n">
        <f aca="false">D1310*F1310</f>
        <v>4000</v>
      </c>
      <c r="H1310" s="2" t="str">
        <f aca="false">INDEX(Daftar_Menu!$B$2:$B$13,MATCH(C1310,Daftar_Menu!$A$2:$A$13,0))</f>
        <v>Minuman</v>
      </c>
      <c r="I1310" s="2" t="str">
        <f aca="false">CHOOSE(WEEKDAY(B1310,2),"Senin","Selasa","Rabu","Kamis","Jumat","Sabtu","Minggu")</f>
        <v>Kamis</v>
      </c>
      <c r="J1310" s="2" t="n">
        <f aca="false">HOUR(E1310)</f>
        <v>18</v>
      </c>
      <c r="K1310" s="2" t="str">
        <f aca="false">IF(J1310&lt;11,"Pagi",IF(J1310&lt;17,"Siang","Malam"))</f>
        <v>Malam</v>
      </c>
      <c r="L1310" s="2" t="n">
        <f aca="false">IF(A1310&lt;&gt;A1309,1,0)</f>
        <v>1</v>
      </c>
    </row>
    <row r="1311" customFormat="false" ht="15" hidden="false" customHeight="false" outlineLevel="0" collapsed="false">
      <c r="A1311" s="2" t="s">
        <v>1354</v>
      </c>
      <c r="B1311" s="13" t="n">
        <v>46282</v>
      </c>
      <c r="C1311" s="2" t="s">
        <v>79</v>
      </c>
      <c r="D1311" s="2" t="n">
        <v>1</v>
      </c>
      <c r="E1311" s="15" t="n">
        <v>0.753472222222222</v>
      </c>
      <c r="F1311" s="7" t="n">
        <v>16000</v>
      </c>
      <c r="G1311" s="7" t="n">
        <f aca="false">D1311*F1311</f>
        <v>16000</v>
      </c>
      <c r="H1311" s="2" t="str">
        <f aca="false">INDEX(Daftar_Menu!$B$2:$B$13,MATCH(C1311,Daftar_Menu!$A$2:$A$13,0))</f>
        <v>Makanan</v>
      </c>
      <c r="I1311" s="2" t="str">
        <f aca="false">CHOOSE(WEEKDAY(B1311,2),"Senin","Selasa","Rabu","Kamis","Jumat","Sabtu","Minggu")</f>
        <v>Kamis</v>
      </c>
      <c r="J1311" s="2" t="n">
        <f aca="false">HOUR(E1311)</f>
        <v>18</v>
      </c>
      <c r="K1311" s="2" t="str">
        <f aca="false">IF(J1311&lt;11,"Pagi",IF(J1311&lt;17,"Siang","Malam"))</f>
        <v>Malam</v>
      </c>
      <c r="L1311" s="2" t="n">
        <f aca="false">IF(A1311&lt;&gt;A1310,1,0)</f>
        <v>1</v>
      </c>
    </row>
    <row r="1312" customFormat="false" ht="15" hidden="false" customHeight="false" outlineLevel="0" collapsed="false">
      <c r="A1312" s="2" t="s">
        <v>1354</v>
      </c>
      <c r="B1312" s="13" t="n">
        <v>46282</v>
      </c>
      <c r="C1312" s="2" t="s">
        <v>112</v>
      </c>
      <c r="D1312" s="2" t="n">
        <v>1</v>
      </c>
      <c r="E1312" s="15" t="n">
        <v>0.753472222222222</v>
      </c>
      <c r="F1312" s="7" t="n">
        <v>10000</v>
      </c>
      <c r="G1312" s="7" t="n">
        <f aca="false">D1312*F1312</f>
        <v>10000</v>
      </c>
      <c r="H1312" s="2" t="str">
        <f aca="false">INDEX(Daftar_Menu!$B$2:$B$13,MATCH(C1312,Daftar_Menu!$A$2:$A$13,0))</f>
        <v>Minuman</v>
      </c>
      <c r="I1312" s="2" t="str">
        <f aca="false">CHOOSE(WEEKDAY(B1312,2),"Senin","Selasa","Rabu","Kamis","Jumat","Sabtu","Minggu")</f>
        <v>Kamis</v>
      </c>
      <c r="J1312" s="2" t="n">
        <f aca="false">HOUR(E1312)</f>
        <v>18</v>
      </c>
      <c r="K1312" s="2" t="str">
        <f aca="false">IF(J1312&lt;11,"Pagi",IF(J1312&lt;17,"Siang","Malam"))</f>
        <v>Malam</v>
      </c>
      <c r="L1312" s="2" t="n">
        <f aca="false">IF(A1312&lt;&gt;A1311,1,0)</f>
        <v>0</v>
      </c>
    </row>
    <row r="1313" customFormat="false" ht="15" hidden="false" customHeight="false" outlineLevel="0" collapsed="false">
      <c r="A1313" s="2" t="s">
        <v>1355</v>
      </c>
      <c r="B1313" s="13" t="n">
        <v>46282</v>
      </c>
      <c r="C1313" s="2" t="s">
        <v>89</v>
      </c>
      <c r="D1313" s="2" t="n">
        <v>1</v>
      </c>
      <c r="E1313" s="15" t="n">
        <v>0.785416666666667</v>
      </c>
      <c r="F1313" s="7" t="n">
        <v>14000</v>
      </c>
      <c r="G1313" s="7" t="n">
        <f aca="false">D1313*F1313</f>
        <v>14000</v>
      </c>
      <c r="H1313" s="2" t="str">
        <f aca="false">INDEX(Daftar_Menu!$B$2:$B$13,MATCH(C1313,Daftar_Menu!$A$2:$A$13,0))</f>
        <v>Makanan</v>
      </c>
      <c r="I1313" s="2" t="str">
        <f aca="false">CHOOSE(WEEKDAY(B1313,2),"Senin","Selasa","Rabu","Kamis","Jumat","Sabtu","Minggu")</f>
        <v>Kamis</v>
      </c>
      <c r="J1313" s="2" t="n">
        <f aca="false">HOUR(E1313)</f>
        <v>18</v>
      </c>
      <c r="K1313" s="2" t="str">
        <f aca="false">IF(J1313&lt;11,"Pagi",IF(J1313&lt;17,"Siang","Malam"))</f>
        <v>Malam</v>
      </c>
      <c r="L1313" s="2" t="n">
        <f aca="false">IF(A1313&lt;&gt;A1312,1,0)</f>
        <v>1</v>
      </c>
    </row>
    <row r="1314" customFormat="false" ht="15" hidden="false" customHeight="false" outlineLevel="0" collapsed="false">
      <c r="A1314" s="2" t="s">
        <v>1356</v>
      </c>
      <c r="B1314" s="13" t="n">
        <v>46282</v>
      </c>
      <c r="C1314" s="2" t="s">
        <v>84</v>
      </c>
      <c r="D1314" s="2" t="n">
        <v>1</v>
      </c>
      <c r="E1314" s="15" t="n">
        <v>0.79375</v>
      </c>
      <c r="F1314" s="7" t="n">
        <v>5000</v>
      </c>
      <c r="G1314" s="7" t="n">
        <f aca="false">D1314*F1314</f>
        <v>5000</v>
      </c>
      <c r="H1314" s="2" t="str">
        <f aca="false">INDEX(Daftar_Menu!$B$2:$B$13,MATCH(C1314,Daftar_Menu!$A$2:$A$13,0))</f>
        <v>Minuman</v>
      </c>
      <c r="I1314" s="2" t="str">
        <f aca="false">CHOOSE(WEEKDAY(B1314,2),"Senin","Selasa","Rabu","Kamis","Jumat","Sabtu","Minggu")</f>
        <v>Kamis</v>
      </c>
      <c r="J1314" s="2" t="n">
        <f aca="false">HOUR(E1314)</f>
        <v>19</v>
      </c>
      <c r="K1314" s="2" t="str">
        <f aca="false">IF(J1314&lt;11,"Pagi",IF(J1314&lt;17,"Siang","Malam"))</f>
        <v>Malam</v>
      </c>
      <c r="L1314" s="2" t="n">
        <f aca="false">IF(A1314&lt;&gt;A1313,1,0)</f>
        <v>1</v>
      </c>
    </row>
    <row r="1315" customFormat="false" ht="15" hidden="false" customHeight="false" outlineLevel="0" collapsed="false">
      <c r="A1315" s="2" t="s">
        <v>1357</v>
      </c>
      <c r="B1315" s="13" t="n">
        <v>46282</v>
      </c>
      <c r="C1315" s="2" t="s">
        <v>108</v>
      </c>
      <c r="D1315" s="2" t="n">
        <v>1</v>
      </c>
      <c r="E1315" s="15" t="n">
        <v>0.794444444444444</v>
      </c>
      <c r="F1315" s="7" t="n">
        <v>20000</v>
      </c>
      <c r="G1315" s="7" t="n">
        <f aca="false">D1315*F1315</f>
        <v>20000</v>
      </c>
      <c r="H1315" s="2" t="str">
        <f aca="false">INDEX(Daftar_Menu!$B$2:$B$13,MATCH(C1315,Daftar_Menu!$A$2:$A$13,0))</f>
        <v>Makanan</v>
      </c>
      <c r="I1315" s="2" t="str">
        <f aca="false">CHOOSE(WEEKDAY(B1315,2),"Senin","Selasa","Rabu","Kamis","Jumat","Sabtu","Minggu")</f>
        <v>Kamis</v>
      </c>
      <c r="J1315" s="2" t="n">
        <f aca="false">HOUR(E1315)</f>
        <v>19</v>
      </c>
      <c r="K1315" s="2" t="str">
        <f aca="false">IF(J1315&lt;11,"Pagi",IF(J1315&lt;17,"Siang","Malam"))</f>
        <v>Malam</v>
      </c>
      <c r="L1315" s="2" t="n">
        <f aca="false">IF(A1315&lt;&gt;A1314,1,0)</f>
        <v>1</v>
      </c>
    </row>
    <row r="1316" customFormat="false" ht="15" hidden="false" customHeight="false" outlineLevel="0" collapsed="false">
      <c r="A1316" s="2" t="s">
        <v>1358</v>
      </c>
      <c r="B1316" s="13" t="n">
        <v>46282</v>
      </c>
      <c r="C1316" s="2" t="s">
        <v>108</v>
      </c>
      <c r="D1316" s="2" t="n">
        <v>2</v>
      </c>
      <c r="E1316" s="15" t="n">
        <v>0.795833333333333</v>
      </c>
      <c r="F1316" s="7" t="n">
        <v>20000</v>
      </c>
      <c r="G1316" s="7" t="n">
        <f aca="false">D1316*F1316</f>
        <v>40000</v>
      </c>
      <c r="H1316" s="2" t="str">
        <f aca="false">INDEX(Daftar_Menu!$B$2:$B$13,MATCH(C1316,Daftar_Menu!$A$2:$A$13,0))</f>
        <v>Makanan</v>
      </c>
      <c r="I1316" s="2" t="str">
        <f aca="false">CHOOSE(WEEKDAY(B1316,2),"Senin","Selasa","Rabu","Kamis","Jumat","Sabtu","Minggu")</f>
        <v>Kamis</v>
      </c>
      <c r="J1316" s="2" t="n">
        <f aca="false">HOUR(E1316)</f>
        <v>19</v>
      </c>
      <c r="K1316" s="2" t="str">
        <f aca="false">IF(J1316&lt;11,"Pagi",IF(J1316&lt;17,"Siang","Malam"))</f>
        <v>Malam</v>
      </c>
      <c r="L1316" s="2" t="n">
        <f aca="false">IF(A1316&lt;&gt;A1315,1,0)</f>
        <v>1</v>
      </c>
    </row>
    <row r="1317" customFormat="false" ht="15" hidden="false" customHeight="false" outlineLevel="0" collapsed="false">
      <c r="A1317" s="2" t="s">
        <v>1359</v>
      </c>
      <c r="B1317" s="13" t="n">
        <v>46282</v>
      </c>
      <c r="C1317" s="2" t="s">
        <v>81</v>
      </c>
      <c r="D1317" s="2" t="n">
        <v>1</v>
      </c>
      <c r="E1317" s="15" t="n">
        <v>0.8</v>
      </c>
      <c r="F1317" s="7" t="n">
        <v>15000</v>
      </c>
      <c r="G1317" s="7" t="n">
        <f aca="false">D1317*F1317</f>
        <v>15000</v>
      </c>
      <c r="H1317" s="2" t="str">
        <f aca="false">INDEX(Daftar_Menu!$B$2:$B$13,MATCH(C1317,Daftar_Menu!$A$2:$A$13,0))</f>
        <v>Makanan</v>
      </c>
      <c r="I1317" s="2" t="str">
        <f aca="false">CHOOSE(WEEKDAY(B1317,2),"Senin","Selasa","Rabu","Kamis","Jumat","Sabtu","Minggu")</f>
        <v>Kamis</v>
      </c>
      <c r="J1317" s="2" t="n">
        <f aca="false">HOUR(E1317)</f>
        <v>19</v>
      </c>
      <c r="K1317" s="2" t="str">
        <f aca="false">IF(J1317&lt;11,"Pagi",IF(J1317&lt;17,"Siang","Malam"))</f>
        <v>Malam</v>
      </c>
      <c r="L1317" s="2" t="n">
        <f aca="false">IF(A1317&lt;&gt;A1316,1,0)</f>
        <v>1</v>
      </c>
    </row>
    <row r="1318" customFormat="false" ht="15" hidden="false" customHeight="false" outlineLevel="0" collapsed="false">
      <c r="A1318" s="2" t="s">
        <v>1359</v>
      </c>
      <c r="B1318" s="13" t="n">
        <v>46282</v>
      </c>
      <c r="C1318" s="2" t="s">
        <v>132</v>
      </c>
      <c r="D1318" s="2" t="n">
        <v>1</v>
      </c>
      <c r="E1318" s="15" t="n">
        <v>0.8</v>
      </c>
      <c r="F1318" s="7" t="n">
        <v>15000</v>
      </c>
      <c r="G1318" s="7" t="n">
        <f aca="false">D1318*F1318</f>
        <v>15000</v>
      </c>
      <c r="H1318" s="2" t="str">
        <f aca="false">INDEX(Daftar_Menu!$B$2:$B$13,MATCH(C1318,Daftar_Menu!$A$2:$A$13,0))</f>
        <v>Makanan</v>
      </c>
      <c r="I1318" s="2" t="str">
        <f aca="false">CHOOSE(WEEKDAY(B1318,2),"Senin","Selasa","Rabu","Kamis","Jumat","Sabtu","Minggu")</f>
        <v>Kamis</v>
      </c>
      <c r="J1318" s="2" t="n">
        <f aca="false">HOUR(E1318)</f>
        <v>19</v>
      </c>
      <c r="K1318" s="2" t="str">
        <f aca="false">IF(J1318&lt;11,"Pagi",IF(J1318&lt;17,"Siang","Malam"))</f>
        <v>Malam</v>
      </c>
      <c r="L1318" s="2" t="n">
        <f aca="false">IF(A1318&lt;&gt;A1317,1,0)</f>
        <v>0</v>
      </c>
    </row>
    <row r="1319" customFormat="false" ht="15" hidden="false" customHeight="false" outlineLevel="0" collapsed="false">
      <c r="A1319" s="2" t="s">
        <v>1360</v>
      </c>
      <c r="B1319" s="13" t="n">
        <v>46282</v>
      </c>
      <c r="C1319" s="2" t="s">
        <v>89</v>
      </c>
      <c r="D1319" s="2" t="n">
        <v>1</v>
      </c>
      <c r="E1319" s="15" t="n">
        <v>0.804166666666667</v>
      </c>
      <c r="F1319" s="7" t="n">
        <v>14000</v>
      </c>
      <c r="G1319" s="7" t="n">
        <f aca="false">D1319*F1319</f>
        <v>14000</v>
      </c>
      <c r="H1319" s="2" t="str">
        <f aca="false">INDEX(Daftar_Menu!$B$2:$B$13,MATCH(C1319,Daftar_Menu!$A$2:$A$13,0))</f>
        <v>Makanan</v>
      </c>
      <c r="I1319" s="2" t="str">
        <f aca="false">CHOOSE(WEEKDAY(B1319,2),"Senin","Selasa","Rabu","Kamis","Jumat","Sabtu","Minggu")</f>
        <v>Kamis</v>
      </c>
      <c r="J1319" s="2" t="n">
        <f aca="false">HOUR(E1319)</f>
        <v>19</v>
      </c>
      <c r="K1319" s="2" t="str">
        <f aca="false">IF(J1319&lt;11,"Pagi",IF(J1319&lt;17,"Siang","Malam"))</f>
        <v>Malam</v>
      </c>
      <c r="L1319" s="2" t="n">
        <f aca="false">IF(A1319&lt;&gt;A1318,1,0)</f>
        <v>1</v>
      </c>
    </row>
    <row r="1320" customFormat="false" ht="15" hidden="false" customHeight="false" outlineLevel="0" collapsed="false">
      <c r="A1320" s="2" t="s">
        <v>1360</v>
      </c>
      <c r="B1320" s="13" t="n">
        <v>46282</v>
      </c>
      <c r="C1320" s="2" t="s">
        <v>101</v>
      </c>
      <c r="D1320" s="2" t="n">
        <v>2</v>
      </c>
      <c r="E1320" s="15" t="n">
        <v>0.804166666666667</v>
      </c>
      <c r="F1320" s="7" t="n">
        <v>18000</v>
      </c>
      <c r="G1320" s="7" t="n">
        <f aca="false">D1320*F1320</f>
        <v>36000</v>
      </c>
      <c r="H1320" s="2" t="str">
        <f aca="false">INDEX(Daftar_Menu!$B$2:$B$13,MATCH(C1320,Daftar_Menu!$A$2:$A$13,0))</f>
        <v>Makanan</v>
      </c>
      <c r="I1320" s="2" t="str">
        <f aca="false">CHOOSE(WEEKDAY(B1320,2),"Senin","Selasa","Rabu","Kamis","Jumat","Sabtu","Minggu")</f>
        <v>Kamis</v>
      </c>
      <c r="J1320" s="2" t="n">
        <f aca="false">HOUR(E1320)</f>
        <v>19</v>
      </c>
      <c r="K1320" s="2" t="str">
        <f aca="false">IF(J1320&lt;11,"Pagi",IF(J1320&lt;17,"Siang","Malam"))</f>
        <v>Malam</v>
      </c>
      <c r="L1320" s="2" t="n">
        <f aca="false">IF(A1320&lt;&gt;A1319,1,0)</f>
        <v>0</v>
      </c>
    </row>
    <row r="1321" customFormat="false" ht="15" hidden="false" customHeight="false" outlineLevel="0" collapsed="false">
      <c r="A1321" s="2" t="s">
        <v>1360</v>
      </c>
      <c r="B1321" s="13" t="n">
        <v>46282</v>
      </c>
      <c r="C1321" s="2" t="s">
        <v>132</v>
      </c>
      <c r="D1321" s="2" t="n">
        <v>1</v>
      </c>
      <c r="E1321" s="15" t="n">
        <v>0.804166666666667</v>
      </c>
      <c r="F1321" s="7" t="n">
        <v>15000</v>
      </c>
      <c r="G1321" s="7" t="n">
        <f aca="false">D1321*F1321</f>
        <v>15000</v>
      </c>
      <c r="H1321" s="2" t="str">
        <f aca="false">INDEX(Daftar_Menu!$B$2:$B$13,MATCH(C1321,Daftar_Menu!$A$2:$A$13,0))</f>
        <v>Makanan</v>
      </c>
      <c r="I1321" s="2" t="str">
        <f aca="false">CHOOSE(WEEKDAY(B1321,2),"Senin","Selasa","Rabu","Kamis","Jumat","Sabtu","Minggu")</f>
        <v>Kamis</v>
      </c>
      <c r="J1321" s="2" t="n">
        <f aca="false">HOUR(E1321)</f>
        <v>19</v>
      </c>
      <c r="K1321" s="2" t="str">
        <f aca="false">IF(J1321&lt;11,"Pagi",IF(J1321&lt;17,"Siang","Malam"))</f>
        <v>Malam</v>
      </c>
      <c r="L1321" s="2" t="n">
        <f aca="false">IF(A1321&lt;&gt;A1320,1,0)</f>
        <v>0</v>
      </c>
    </row>
    <row r="1322" customFormat="false" ht="15" hidden="false" customHeight="false" outlineLevel="0" collapsed="false">
      <c r="A1322" s="2" t="s">
        <v>1362</v>
      </c>
      <c r="B1322" s="13" t="n">
        <v>46282</v>
      </c>
      <c r="C1322" s="2" t="s">
        <v>84</v>
      </c>
      <c r="D1322" s="2" t="n">
        <v>1</v>
      </c>
      <c r="E1322" s="15" t="n">
        <v>0.813194444444444</v>
      </c>
      <c r="F1322" s="7" t="n">
        <v>5000</v>
      </c>
      <c r="G1322" s="7" t="n">
        <f aca="false">D1322*F1322</f>
        <v>5000</v>
      </c>
      <c r="H1322" s="2" t="str">
        <f aca="false">INDEX(Daftar_Menu!$B$2:$B$13,MATCH(C1322,Daftar_Menu!$A$2:$A$13,0))</f>
        <v>Minuman</v>
      </c>
      <c r="I1322" s="2" t="str">
        <f aca="false">CHOOSE(WEEKDAY(B1322,2),"Senin","Selasa","Rabu","Kamis","Jumat","Sabtu","Minggu")</f>
        <v>Kamis</v>
      </c>
      <c r="J1322" s="2" t="n">
        <f aca="false">HOUR(E1322)</f>
        <v>19</v>
      </c>
      <c r="K1322" s="2" t="str">
        <f aca="false">IF(J1322&lt;11,"Pagi",IF(J1322&lt;17,"Siang","Malam"))</f>
        <v>Malam</v>
      </c>
      <c r="L1322" s="2" t="n">
        <f aca="false">IF(A1322&lt;&gt;A1321,1,0)</f>
        <v>1</v>
      </c>
    </row>
    <row r="1323" customFormat="false" ht="15" hidden="false" customHeight="false" outlineLevel="0" collapsed="false">
      <c r="A1323" s="2" t="s">
        <v>1362</v>
      </c>
      <c r="B1323" s="13" t="n">
        <v>46282</v>
      </c>
      <c r="C1323" s="2" t="s">
        <v>92</v>
      </c>
      <c r="D1323" s="2" t="n">
        <v>1</v>
      </c>
      <c r="E1323" s="15" t="n">
        <v>0.813194444444444</v>
      </c>
      <c r="F1323" s="7" t="n">
        <v>4000</v>
      </c>
      <c r="G1323" s="7" t="n">
        <f aca="false">D1323*F1323</f>
        <v>4000</v>
      </c>
      <c r="H1323" s="2" t="str">
        <f aca="false">INDEX(Daftar_Menu!$B$2:$B$13,MATCH(C1323,Daftar_Menu!$A$2:$A$13,0))</f>
        <v>Minuman</v>
      </c>
      <c r="I1323" s="2" t="str">
        <f aca="false">CHOOSE(WEEKDAY(B1323,2),"Senin","Selasa","Rabu","Kamis","Jumat","Sabtu","Minggu")</f>
        <v>Kamis</v>
      </c>
      <c r="J1323" s="2" t="n">
        <f aca="false">HOUR(E1323)</f>
        <v>19</v>
      </c>
      <c r="K1323" s="2" t="str">
        <f aca="false">IF(J1323&lt;11,"Pagi",IF(J1323&lt;17,"Siang","Malam"))</f>
        <v>Malam</v>
      </c>
      <c r="L1323" s="2" t="n">
        <f aca="false">IF(A1323&lt;&gt;A1322,1,0)</f>
        <v>0</v>
      </c>
    </row>
    <row r="1324" customFormat="false" ht="15" hidden="false" customHeight="false" outlineLevel="0" collapsed="false">
      <c r="A1324" s="2" t="s">
        <v>1362</v>
      </c>
      <c r="B1324" s="13" t="n">
        <v>46282</v>
      </c>
      <c r="C1324" s="2" t="s">
        <v>82</v>
      </c>
      <c r="D1324" s="2" t="n">
        <v>3</v>
      </c>
      <c r="E1324" s="15" t="n">
        <v>0.813194444444444</v>
      </c>
      <c r="F1324" s="7" t="n">
        <v>13000</v>
      </c>
      <c r="G1324" s="7" t="n">
        <f aca="false">D1324*F1324</f>
        <v>39000</v>
      </c>
      <c r="H1324" s="2" t="str">
        <f aca="false">INDEX(Daftar_Menu!$B$2:$B$13,MATCH(C1324,Daftar_Menu!$A$2:$A$13,0))</f>
        <v>Makanan</v>
      </c>
      <c r="I1324" s="2" t="str">
        <f aca="false">CHOOSE(WEEKDAY(B1324,2),"Senin","Selasa","Rabu","Kamis","Jumat","Sabtu","Minggu")</f>
        <v>Kamis</v>
      </c>
      <c r="J1324" s="2" t="n">
        <f aca="false">HOUR(E1324)</f>
        <v>19</v>
      </c>
      <c r="K1324" s="2" t="str">
        <f aca="false">IF(J1324&lt;11,"Pagi",IF(J1324&lt;17,"Siang","Malam"))</f>
        <v>Malam</v>
      </c>
      <c r="L1324" s="2" t="n">
        <f aca="false">IF(A1324&lt;&gt;A1323,1,0)</f>
        <v>0</v>
      </c>
    </row>
    <row r="1325" customFormat="false" ht="15" hidden="false" customHeight="false" outlineLevel="0" collapsed="false">
      <c r="A1325" s="2" t="s">
        <v>1363</v>
      </c>
      <c r="B1325" s="13" t="n">
        <v>46282</v>
      </c>
      <c r="C1325" s="2" t="s">
        <v>84</v>
      </c>
      <c r="D1325" s="2" t="n">
        <v>2</v>
      </c>
      <c r="E1325" s="15" t="n">
        <v>0.820138888888889</v>
      </c>
      <c r="F1325" s="7" t="n">
        <v>5000</v>
      </c>
      <c r="G1325" s="7" t="n">
        <f aca="false">D1325*F1325</f>
        <v>10000</v>
      </c>
      <c r="H1325" s="2" t="str">
        <f aca="false">INDEX(Daftar_Menu!$B$2:$B$13,MATCH(C1325,Daftar_Menu!$A$2:$A$13,0))</f>
        <v>Minuman</v>
      </c>
      <c r="I1325" s="2" t="str">
        <f aca="false">CHOOSE(WEEKDAY(B1325,2),"Senin","Selasa","Rabu","Kamis","Jumat","Sabtu","Minggu")</f>
        <v>Kamis</v>
      </c>
      <c r="J1325" s="2" t="n">
        <f aca="false">HOUR(E1325)</f>
        <v>19</v>
      </c>
      <c r="K1325" s="2" t="str">
        <f aca="false">IF(J1325&lt;11,"Pagi",IF(J1325&lt;17,"Siang","Malam"))</f>
        <v>Malam</v>
      </c>
      <c r="L1325" s="2" t="n">
        <f aca="false">IF(A1325&lt;&gt;A1324,1,0)</f>
        <v>1</v>
      </c>
    </row>
    <row r="1326" customFormat="false" ht="15" hidden="false" customHeight="false" outlineLevel="0" collapsed="false">
      <c r="A1326" s="2" t="s">
        <v>1363</v>
      </c>
      <c r="B1326" s="13" t="n">
        <v>46282</v>
      </c>
      <c r="C1326" s="2" t="s">
        <v>92</v>
      </c>
      <c r="D1326" s="2" t="n">
        <v>2</v>
      </c>
      <c r="E1326" s="15" t="n">
        <v>0.820138888888889</v>
      </c>
      <c r="F1326" s="7" t="n">
        <v>4000</v>
      </c>
      <c r="G1326" s="7" t="n">
        <f aca="false">D1326*F1326</f>
        <v>8000</v>
      </c>
      <c r="H1326" s="2" t="str">
        <f aca="false">INDEX(Daftar_Menu!$B$2:$B$13,MATCH(C1326,Daftar_Menu!$A$2:$A$13,0))</f>
        <v>Minuman</v>
      </c>
      <c r="I1326" s="2" t="str">
        <f aca="false">CHOOSE(WEEKDAY(B1326,2),"Senin","Selasa","Rabu","Kamis","Jumat","Sabtu","Minggu")</f>
        <v>Kamis</v>
      </c>
      <c r="J1326" s="2" t="n">
        <f aca="false">HOUR(E1326)</f>
        <v>19</v>
      </c>
      <c r="K1326" s="2" t="str">
        <f aca="false">IF(J1326&lt;11,"Pagi",IF(J1326&lt;17,"Siang","Malam"))</f>
        <v>Malam</v>
      </c>
      <c r="L1326" s="2" t="n">
        <f aca="false">IF(A1326&lt;&gt;A1325,1,0)</f>
        <v>0</v>
      </c>
    </row>
    <row r="1327" customFormat="false" ht="15" hidden="false" customHeight="false" outlineLevel="0" collapsed="false">
      <c r="A1327" s="2" t="s">
        <v>1363</v>
      </c>
      <c r="B1327" s="13" t="n">
        <v>46282</v>
      </c>
      <c r="C1327" s="2" t="s">
        <v>81</v>
      </c>
      <c r="D1327" s="2" t="n">
        <v>1</v>
      </c>
      <c r="E1327" s="15" t="n">
        <v>0.820138888888889</v>
      </c>
      <c r="F1327" s="7" t="n">
        <v>15000</v>
      </c>
      <c r="G1327" s="7" t="n">
        <f aca="false">D1327*F1327</f>
        <v>15000</v>
      </c>
      <c r="H1327" s="2" t="str">
        <f aca="false">INDEX(Daftar_Menu!$B$2:$B$13,MATCH(C1327,Daftar_Menu!$A$2:$A$13,0))</f>
        <v>Makanan</v>
      </c>
      <c r="I1327" s="2" t="str">
        <f aca="false">CHOOSE(WEEKDAY(B1327,2),"Senin","Selasa","Rabu","Kamis","Jumat","Sabtu","Minggu")</f>
        <v>Kamis</v>
      </c>
      <c r="J1327" s="2" t="n">
        <f aca="false">HOUR(E1327)</f>
        <v>19</v>
      </c>
      <c r="K1327" s="2" t="str">
        <f aca="false">IF(J1327&lt;11,"Pagi",IF(J1327&lt;17,"Siang","Malam"))</f>
        <v>Malam</v>
      </c>
      <c r="L1327" s="2" t="n">
        <f aca="false">IF(A1327&lt;&gt;A1326,1,0)</f>
        <v>0</v>
      </c>
    </row>
    <row r="1328" customFormat="false" ht="15" hidden="false" customHeight="false" outlineLevel="0" collapsed="false">
      <c r="A1328" s="2" t="s">
        <v>1364</v>
      </c>
      <c r="B1328" s="13" t="n">
        <v>46282</v>
      </c>
      <c r="C1328" s="2" t="s">
        <v>132</v>
      </c>
      <c r="D1328" s="2" t="n">
        <v>1</v>
      </c>
      <c r="E1328" s="15" t="n">
        <v>0.821527777777778</v>
      </c>
      <c r="F1328" s="7" t="n">
        <v>15000</v>
      </c>
      <c r="G1328" s="7" t="n">
        <f aca="false">D1328*F1328</f>
        <v>15000</v>
      </c>
      <c r="H1328" s="2" t="str">
        <f aca="false">INDEX(Daftar_Menu!$B$2:$B$13,MATCH(C1328,Daftar_Menu!$A$2:$A$13,0))</f>
        <v>Makanan</v>
      </c>
      <c r="I1328" s="2" t="str">
        <f aca="false">CHOOSE(WEEKDAY(B1328,2),"Senin","Selasa","Rabu","Kamis","Jumat","Sabtu","Minggu")</f>
        <v>Kamis</v>
      </c>
      <c r="J1328" s="2" t="n">
        <f aca="false">HOUR(E1328)</f>
        <v>19</v>
      </c>
      <c r="K1328" s="2" t="str">
        <f aca="false">IF(J1328&lt;11,"Pagi",IF(J1328&lt;17,"Siang","Malam"))</f>
        <v>Malam</v>
      </c>
      <c r="L1328" s="2" t="n">
        <f aca="false">IF(A1328&lt;&gt;A1327,1,0)</f>
        <v>1</v>
      </c>
    </row>
    <row r="1329" customFormat="false" ht="15" hidden="false" customHeight="false" outlineLevel="0" collapsed="false">
      <c r="A1329" s="2" t="s">
        <v>1364</v>
      </c>
      <c r="B1329" s="13" t="n">
        <v>46282</v>
      </c>
      <c r="C1329" s="2" t="s">
        <v>81</v>
      </c>
      <c r="D1329" s="2" t="n">
        <v>1</v>
      </c>
      <c r="E1329" s="15" t="n">
        <v>0.821527777777778</v>
      </c>
      <c r="F1329" s="7" t="n">
        <v>15000</v>
      </c>
      <c r="G1329" s="7" t="n">
        <f aca="false">D1329*F1329</f>
        <v>15000</v>
      </c>
      <c r="H1329" s="2" t="str">
        <f aca="false">INDEX(Daftar_Menu!$B$2:$B$13,MATCH(C1329,Daftar_Menu!$A$2:$A$13,0))</f>
        <v>Makanan</v>
      </c>
      <c r="I1329" s="2" t="str">
        <f aca="false">CHOOSE(WEEKDAY(B1329,2),"Senin","Selasa","Rabu","Kamis","Jumat","Sabtu","Minggu")</f>
        <v>Kamis</v>
      </c>
      <c r="J1329" s="2" t="n">
        <f aca="false">HOUR(E1329)</f>
        <v>19</v>
      </c>
      <c r="K1329" s="2" t="str">
        <f aca="false">IF(J1329&lt;11,"Pagi",IF(J1329&lt;17,"Siang","Malam"))</f>
        <v>Malam</v>
      </c>
      <c r="L1329" s="2" t="n">
        <f aca="false">IF(A1329&lt;&gt;A1328,1,0)</f>
        <v>0</v>
      </c>
    </row>
    <row r="1330" customFormat="false" ht="15" hidden="false" customHeight="false" outlineLevel="0" collapsed="false">
      <c r="A1330" s="2" t="s">
        <v>1365</v>
      </c>
      <c r="B1330" s="13" t="n">
        <v>46282</v>
      </c>
      <c r="C1330" s="2" t="s">
        <v>84</v>
      </c>
      <c r="D1330" s="2" t="n">
        <v>1</v>
      </c>
      <c r="E1330" s="15" t="n">
        <v>0.864583333333333</v>
      </c>
      <c r="F1330" s="7" t="n">
        <v>5000</v>
      </c>
      <c r="G1330" s="7" t="n">
        <f aca="false">D1330*F1330</f>
        <v>5000</v>
      </c>
      <c r="H1330" s="2" t="str">
        <f aca="false">INDEX(Daftar_Menu!$B$2:$B$13,MATCH(C1330,Daftar_Menu!$A$2:$A$13,0))</f>
        <v>Minuman</v>
      </c>
      <c r="I1330" s="2" t="str">
        <f aca="false">CHOOSE(WEEKDAY(B1330,2),"Senin","Selasa","Rabu","Kamis","Jumat","Sabtu","Minggu")</f>
        <v>Kamis</v>
      </c>
      <c r="J1330" s="2" t="n">
        <f aca="false">HOUR(E1330)</f>
        <v>20</v>
      </c>
      <c r="K1330" s="2" t="str">
        <f aca="false">IF(J1330&lt;11,"Pagi",IF(J1330&lt;17,"Siang","Malam"))</f>
        <v>Malam</v>
      </c>
      <c r="L1330" s="2" t="n">
        <f aca="false">IF(A1330&lt;&gt;A1329,1,0)</f>
        <v>1</v>
      </c>
    </row>
    <row r="1331" customFormat="false" ht="15" hidden="false" customHeight="false" outlineLevel="0" collapsed="false">
      <c r="A1331" s="2" t="s">
        <v>1367</v>
      </c>
      <c r="B1331" s="13" t="n">
        <v>46283</v>
      </c>
      <c r="C1331" s="2" t="s">
        <v>101</v>
      </c>
      <c r="D1331" s="2" t="n">
        <v>1</v>
      </c>
      <c r="E1331" s="15" t="n">
        <v>0.334722222222222</v>
      </c>
      <c r="F1331" s="7" t="n">
        <v>18000</v>
      </c>
      <c r="G1331" s="7" t="n">
        <f aca="false">D1331*F1331</f>
        <v>18000</v>
      </c>
      <c r="H1331" s="2" t="str">
        <f aca="false">INDEX(Daftar_Menu!$B$2:$B$13,MATCH(C1331,Daftar_Menu!$A$2:$A$13,0))</f>
        <v>Makanan</v>
      </c>
      <c r="I1331" s="2" t="str">
        <f aca="false">CHOOSE(WEEKDAY(B1331,2),"Senin","Selasa","Rabu","Kamis","Jumat","Sabtu","Minggu")</f>
        <v>Jumat</v>
      </c>
      <c r="J1331" s="2" t="n">
        <f aca="false">HOUR(E1331)</f>
        <v>8</v>
      </c>
      <c r="K1331" s="2" t="str">
        <f aca="false">IF(J1331&lt;11,"Pagi",IF(J1331&lt;17,"Siang","Malam"))</f>
        <v>Pagi</v>
      </c>
      <c r="L1331" s="2" t="n">
        <f aca="false">IF(A1331&lt;&gt;A1330,1,0)</f>
        <v>1</v>
      </c>
    </row>
    <row r="1332" customFormat="false" ht="15" hidden="false" customHeight="false" outlineLevel="0" collapsed="false">
      <c r="A1332" s="2" t="s">
        <v>1368</v>
      </c>
      <c r="B1332" s="13" t="n">
        <v>46283</v>
      </c>
      <c r="C1332" s="2" t="s">
        <v>84</v>
      </c>
      <c r="D1332" s="2" t="n">
        <v>2</v>
      </c>
      <c r="E1332" s="15" t="n">
        <v>0.424305555555556</v>
      </c>
      <c r="F1332" s="7" t="n">
        <v>5000</v>
      </c>
      <c r="G1332" s="7" t="n">
        <f aca="false">D1332*F1332</f>
        <v>10000</v>
      </c>
      <c r="H1332" s="2" t="str">
        <f aca="false">INDEX(Daftar_Menu!$B$2:$B$13,MATCH(C1332,Daftar_Menu!$A$2:$A$13,0))</f>
        <v>Minuman</v>
      </c>
      <c r="I1332" s="2" t="str">
        <f aca="false">CHOOSE(WEEKDAY(B1332,2),"Senin","Selasa","Rabu","Kamis","Jumat","Sabtu","Minggu")</f>
        <v>Jumat</v>
      </c>
      <c r="J1332" s="2" t="n">
        <f aca="false">HOUR(E1332)</f>
        <v>10</v>
      </c>
      <c r="K1332" s="2" t="str">
        <f aca="false">IF(J1332&lt;11,"Pagi",IF(J1332&lt;17,"Siang","Malam"))</f>
        <v>Pagi</v>
      </c>
      <c r="L1332" s="2" t="n">
        <f aca="false">IF(A1332&lt;&gt;A1331,1,0)</f>
        <v>1</v>
      </c>
    </row>
    <row r="1333" customFormat="false" ht="15" hidden="false" customHeight="false" outlineLevel="0" collapsed="false">
      <c r="A1333" s="2" t="s">
        <v>1368</v>
      </c>
      <c r="B1333" s="13" t="n">
        <v>46283</v>
      </c>
      <c r="C1333" s="2" t="s">
        <v>81</v>
      </c>
      <c r="D1333" s="2" t="n">
        <v>1</v>
      </c>
      <c r="E1333" s="15" t="n">
        <v>0.424305555555556</v>
      </c>
      <c r="F1333" s="7" t="n">
        <v>15000</v>
      </c>
      <c r="G1333" s="7" t="n">
        <f aca="false">D1333*F1333</f>
        <v>15000</v>
      </c>
      <c r="H1333" s="2" t="str">
        <f aca="false">INDEX(Daftar_Menu!$B$2:$B$13,MATCH(C1333,Daftar_Menu!$A$2:$A$13,0))</f>
        <v>Makanan</v>
      </c>
      <c r="I1333" s="2" t="str">
        <f aca="false">CHOOSE(WEEKDAY(B1333,2),"Senin","Selasa","Rabu","Kamis","Jumat","Sabtu","Minggu")</f>
        <v>Jumat</v>
      </c>
      <c r="J1333" s="2" t="n">
        <f aca="false">HOUR(E1333)</f>
        <v>10</v>
      </c>
      <c r="K1333" s="2" t="str">
        <f aca="false">IF(J1333&lt;11,"Pagi",IF(J1333&lt;17,"Siang","Malam"))</f>
        <v>Pagi</v>
      </c>
      <c r="L1333" s="2" t="n">
        <f aca="false">IF(A1333&lt;&gt;A1332,1,0)</f>
        <v>0</v>
      </c>
    </row>
    <row r="1334" customFormat="false" ht="15" hidden="false" customHeight="false" outlineLevel="0" collapsed="false">
      <c r="A1334" s="2" t="s">
        <v>1372</v>
      </c>
      <c r="B1334" s="13" t="n">
        <v>46283</v>
      </c>
      <c r="C1334" s="2" t="s">
        <v>84</v>
      </c>
      <c r="D1334" s="2" t="n">
        <v>1</v>
      </c>
      <c r="E1334" s="15" t="n">
        <v>0.475694444444444</v>
      </c>
      <c r="F1334" s="7" t="n">
        <v>5000</v>
      </c>
      <c r="G1334" s="7" t="n">
        <f aca="false">D1334*F1334</f>
        <v>5000</v>
      </c>
      <c r="H1334" s="2" t="str">
        <f aca="false">INDEX(Daftar_Menu!$B$2:$B$13,MATCH(C1334,Daftar_Menu!$A$2:$A$13,0))</f>
        <v>Minuman</v>
      </c>
      <c r="I1334" s="2" t="str">
        <f aca="false">CHOOSE(WEEKDAY(B1334,2),"Senin","Selasa","Rabu","Kamis","Jumat","Sabtu","Minggu")</f>
        <v>Jumat</v>
      </c>
      <c r="J1334" s="2" t="n">
        <f aca="false">HOUR(E1334)</f>
        <v>11</v>
      </c>
      <c r="K1334" s="2" t="str">
        <f aca="false">IF(J1334&lt;11,"Pagi",IF(J1334&lt;17,"Siang","Malam"))</f>
        <v>Siang</v>
      </c>
      <c r="L1334" s="2" t="n">
        <f aca="false">IF(A1334&lt;&gt;A1333,1,0)</f>
        <v>1</v>
      </c>
    </row>
    <row r="1335" customFormat="false" ht="15" hidden="false" customHeight="false" outlineLevel="0" collapsed="false">
      <c r="A1335" s="2" t="s">
        <v>1373</v>
      </c>
      <c r="B1335" s="13" t="n">
        <v>46283</v>
      </c>
      <c r="C1335" s="2" t="s">
        <v>132</v>
      </c>
      <c r="D1335" s="2" t="n">
        <v>1</v>
      </c>
      <c r="E1335" s="15" t="n">
        <v>0.4875</v>
      </c>
      <c r="F1335" s="7" t="n">
        <v>15000</v>
      </c>
      <c r="G1335" s="7" t="n">
        <f aca="false">D1335*F1335</f>
        <v>15000</v>
      </c>
      <c r="H1335" s="2" t="str">
        <f aca="false">INDEX(Daftar_Menu!$B$2:$B$13,MATCH(C1335,Daftar_Menu!$A$2:$A$13,0))</f>
        <v>Makanan</v>
      </c>
      <c r="I1335" s="2" t="str">
        <f aca="false">CHOOSE(WEEKDAY(B1335,2),"Senin","Selasa","Rabu","Kamis","Jumat","Sabtu","Minggu")</f>
        <v>Jumat</v>
      </c>
      <c r="J1335" s="2" t="n">
        <f aca="false">HOUR(E1335)</f>
        <v>11</v>
      </c>
      <c r="K1335" s="2" t="str">
        <f aca="false">IF(J1335&lt;11,"Pagi",IF(J1335&lt;17,"Siang","Malam"))</f>
        <v>Siang</v>
      </c>
      <c r="L1335" s="2" t="n">
        <f aca="false">IF(A1335&lt;&gt;A1334,1,0)</f>
        <v>1</v>
      </c>
    </row>
    <row r="1336" customFormat="false" ht="15" hidden="false" customHeight="false" outlineLevel="0" collapsed="false">
      <c r="A1336" s="2" t="s">
        <v>1375</v>
      </c>
      <c r="B1336" s="13" t="n">
        <v>46283</v>
      </c>
      <c r="C1336" s="2" t="s">
        <v>81</v>
      </c>
      <c r="D1336" s="2" t="n">
        <v>1</v>
      </c>
      <c r="E1336" s="15" t="n">
        <v>0.509027777777778</v>
      </c>
      <c r="F1336" s="7" t="n">
        <v>15000</v>
      </c>
      <c r="G1336" s="7" t="n">
        <f aca="false">D1336*F1336</f>
        <v>15000</v>
      </c>
      <c r="H1336" s="2" t="str">
        <f aca="false">INDEX(Daftar_Menu!$B$2:$B$13,MATCH(C1336,Daftar_Menu!$A$2:$A$13,0))</f>
        <v>Makanan</v>
      </c>
      <c r="I1336" s="2" t="str">
        <f aca="false">CHOOSE(WEEKDAY(B1336,2),"Senin","Selasa","Rabu","Kamis","Jumat","Sabtu","Minggu")</f>
        <v>Jumat</v>
      </c>
      <c r="J1336" s="2" t="n">
        <f aca="false">HOUR(E1336)</f>
        <v>12</v>
      </c>
      <c r="K1336" s="2" t="str">
        <f aca="false">IF(J1336&lt;11,"Pagi",IF(J1336&lt;17,"Siang","Malam"))</f>
        <v>Siang</v>
      </c>
      <c r="L1336" s="2" t="n">
        <f aca="false">IF(A1336&lt;&gt;A1335,1,0)</f>
        <v>1</v>
      </c>
    </row>
    <row r="1337" customFormat="false" ht="15" hidden="false" customHeight="false" outlineLevel="0" collapsed="false">
      <c r="A1337" s="2" t="s">
        <v>1376</v>
      </c>
      <c r="B1337" s="13" t="n">
        <v>46283</v>
      </c>
      <c r="C1337" s="2" t="s">
        <v>186</v>
      </c>
      <c r="D1337" s="2" t="n">
        <v>2</v>
      </c>
      <c r="E1337" s="15" t="n">
        <v>0.510416666666667</v>
      </c>
      <c r="F1337" s="7" t="n">
        <v>7000</v>
      </c>
      <c r="G1337" s="7" t="n">
        <f aca="false">D1337*F1337</f>
        <v>14000</v>
      </c>
      <c r="H1337" s="2" t="str">
        <f aca="false">INDEX(Daftar_Menu!$B$2:$B$13,MATCH(C1337,Daftar_Menu!$A$2:$A$13,0))</f>
        <v>Minuman</v>
      </c>
      <c r="I1337" s="2" t="str">
        <f aca="false">CHOOSE(WEEKDAY(B1337,2),"Senin","Selasa","Rabu","Kamis","Jumat","Sabtu","Minggu")</f>
        <v>Jumat</v>
      </c>
      <c r="J1337" s="2" t="n">
        <f aca="false">HOUR(E1337)</f>
        <v>12</v>
      </c>
      <c r="K1337" s="2" t="str">
        <f aca="false">IF(J1337&lt;11,"Pagi",IF(J1337&lt;17,"Siang","Malam"))</f>
        <v>Siang</v>
      </c>
      <c r="L1337" s="2" t="n">
        <f aca="false">IF(A1337&lt;&gt;A1336,1,0)</f>
        <v>1</v>
      </c>
    </row>
    <row r="1338" customFormat="false" ht="15" hidden="false" customHeight="false" outlineLevel="0" collapsed="false">
      <c r="A1338" s="2" t="s">
        <v>1376</v>
      </c>
      <c r="B1338" s="13" t="n">
        <v>46283</v>
      </c>
      <c r="C1338" s="2" t="s">
        <v>84</v>
      </c>
      <c r="D1338" s="2" t="n">
        <v>2</v>
      </c>
      <c r="E1338" s="15" t="n">
        <v>0.510416666666667</v>
      </c>
      <c r="F1338" s="7" t="n">
        <v>5000</v>
      </c>
      <c r="G1338" s="7" t="n">
        <f aca="false">D1338*F1338</f>
        <v>10000</v>
      </c>
      <c r="H1338" s="2" t="str">
        <f aca="false">INDEX(Daftar_Menu!$B$2:$B$13,MATCH(C1338,Daftar_Menu!$A$2:$A$13,0))</f>
        <v>Minuman</v>
      </c>
      <c r="I1338" s="2" t="str">
        <f aca="false">CHOOSE(WEEKDAY(B1338,2),"Senin","Selasa","Rabu","Kamis","Jumat","Sabtu","Minggu")</f>
        <v>Jumat</v>
      </c>
      <c r="J1338" s="2" t="n">
        <f aca="false">HOUR(E1338)</f>
        <v>12</v>
      </c>
      <c r="K1338" s="2" t="str">
        <f aca="false">IF(J1338&lt;11,"Pagi",IF(J1338&lt;17,"Siang","Malam"))</f>
        <v>Siang</v>
      </c>
      <c r="L1338" s="2" t="n">
        <f aca="false">IF(A1338&lt;&gt;A1337,1,0)</f>
        <v>0</v>
      </c>
    </row>
    <row r="1339" customFormat="false" ht="15" hidden="false" customHeight="false" outlineLevel="0" collapsed="false">
      <c r="A1339" s="2" t="s">
        <v>1377</v>
      </c>
      <c r="B1339" s="13" t="n">
        <v>46283</v>
      </c>
      <c r="C1339" s="2" t="s">
        <v>84</v>
      </c>
      <c r="D1339" s="2" t="n">
        <v>1</v>
      </c>
      <c r="E1339" s="15" t="n">
        <v>0.513194444444444</v>
      </c>
      <c r="F1339" s="7" t="n">
        <v>5000</v>
      </c>
      <c r="G1339" s="7" t="n">
        <f aca="false">D1339*F1339</f>
        <v>5000</v>
      </c>
      <c r="H1339" s="2" t="str">
        <f aca="false">INDEX(Daftar_Menu!$B$2:$B$13,MATCH(C1339,Daftar_Menu!$A$2:$A$13,0))</f>
        <v>Minuman</v>
      </c>
      <c r="I1339" s="2" t="str">
        <f aca="false">CHOOSE(WEEKDAY(B1339,2),"Senin","Selasa","Rabu","Kamis","Jumat","Sabtu","Minggu")</f>
        <v>Jumat</v>
      </c>
      <c r="J1339" s="2" t="n">
        <f aca="false">HOUR(E1339)</f>
        <v>12</v>
      </c>
      <c r="K1339" s="2" t="str">
        <f aca="false">IF(J1339&lt;11,"Pagi",IF(J1339&lt;17,"Siang","Malam"))</f>
        <v>Siang</v>
      </c>
      <c r="L1339" s="2" t="n">
        <f aca="false">IF(A1339&lt;&gt;A1338,1,0)</f>
        <v>1</v>
      </c>
    </row>
    <row r="1340" customFormat="false" ht="15" hidden="false" customHeight="false" outlineLevel="0" collapsed="false">
      <c r="A1340" s="2" t="s">
        <v>1377</v>
      </c>
      <c r="B1340" s="13" t="n">
        <v>46283</v>
      </c>
      <c r="C1340" s="2" t="s">
        <v>101</v>
      </c>
      <c r="D1340" s="2" t="n">
        <v>2</v>
      </c>
      <c r="E1340" s="15" t="n">
        <v>0.513194444444444</v>
      </c>
      <c r="F1340" s="7" t="n">
        <v>18000</v>
      </c>
      <c r="G1340" s="7" t="n">
        <f aca="false">D1340*F1340</f>
        <v>36000</v>
      </c>
      <c r="H1340" s="2" t="str">
        <f aca="false">INDEX(Daftar_Menu!$B$2:$B$13,MATCH(C1340,Daftar_Menu!$A$2:$A$13,0))</f>
        <v>Makanan</v>
      </c>
      <c r="I1340" s="2" t="str">
        <f aca="false">CHOOSE(WEEKDAY(B1340,2),"Senin","Selasa","Rabu","Kamis","Jumat","Sabtu","Minggu")</f>
        <v>Jumat</v>
      </c>
      <c r="J1340" s="2" t="n">
        <f aca="false">HOUR(E1340)</f>
        <v>12</v>
      </c>
      <c r="K1340" s="2" t="str">
        <f aca="false">IF(J1340&lt;11,"Pagi",IF(J1340&lt;17,"Siang","Malam"))</f>
        <v>Siang</v>
      </c>
      <c r="L1340" s="2" t="n">
        <f aca="false">IF(A1340&lt;&gt;A1339,1,0)</f>
        <v>0</v>
      </c>
    </row>
    <row r="1341" customFormat="false" ht="15" hidden="false" customHeight="false" outlineLevel="0" collapsed="false">
      <c r="A1341" s="2" t="s">
        <v>1377</v>
      </c>
      <c r="B1341" s="13" t="n">
        <v>46283</v>
      </c>
      <c r="C1341" s="2" t="s">
        <v>82</v>
      </c>
      <c r="D1341" s="2" t="n">
        <v>1</v>
      </c>
      <c r="E1341" s="15" t="n">
        <v>0.513194444444444</v>
      </c>
      <c r="F1341" s="7" t="n">
        <v>13000</v>
      </c>
      <c r="G1341" s="7" t="n">
        <f aca="false">D1341*F1341</f>
        <v>13000</v>
      </c>
      <c r="H1341" s="2" t="str">
        <f aca="false">INDEX(Daftar_Menu!$B$2:$B$13,MATCH(C1341,Daftar_Menu!$A$2:$A$13,0))</f>
        <v>Makanan</v>
      </c>
      <c r="I1341" s="2" t="str">
        <f aca="false">CHOOSE(WEEKDAY(B1341,2),"Senin","Selasa","Rabu","Kamis","Jumat","Sabtu","Minggu")</f>
        <v>Jumat</v>
      </c>
      <c r="J1341" s="2" t="n">
        <f aca="false">HOUR(E1341)</f>
        <v>12</v>
      </c>
      <c r="K1341" s="2" t="str">
        <f aca="false">IF(J1341&lt;11,"Pagi",IF(J1341&lt;17,"Siang","Malam"))</f>
        <v>Siang</v>
      </c>
      <c r="L1341" s="2" t="n">
        <f aca="false">IF(A1341&lt;&gt;A1340,1,0)</f>
        <v>0</v>
      </c>
    </row>
    <row r="1342" customFormat="false" ht="15" hidden="false" customHeight="false" outlineLevel="0" collapsed="false">
      <c r="A1342" s="2" t="s">
        <v>1378</v>
      </c>
      <c r="B1342" s="13" t="n">
        <v>46283</v>
      </c>
      <c r="C1342" s="2" t="s">
        <v>79</v>
      </c>
      <c r="D1342" s="2" t="n">
        <v>1</v>
      </c>
      <c r="E1342" s="15" t="n">
        <v>0.51875</v>
      </c>
      <c r="F1342" s="7" t="n">
        <v>16000</v>
      </c>
      <c r="G1342" s="7" t="n">
        <f aca="false">D1342*F1342</f>
        <v>16000</v>
      </c>
      <c r="H1342" s="2" t="str">
        <f aca="false">INDEX(Daftar_Menu!$B$2:$B$13,MATCH(C1342,Daftar_Menu!$A$2:$A$13,0))</f>
        <v>Makanan</v>
      </c>
      <c r="I1342" s="2" t="str">
        <f aca="false">CHOOSE(WEEKDAY(B1342,2),"Senin","Selasa","Rabu","Kamis","Jumat","Sabtu","Minggu")</f>
        <v>Jumat</v>
      </c>
      <c r="J1342" s="2" t="n">
        <f aca="false">HOUR(E1342)</f>
        <v>12</v>
      </c>
      <c r="K1342" s="2" t="str">
        <f aca="false">IF(J1342&lt;11,"Pagi",IF(J1342&lt;17,"Siang","Malam"))</f>
        <v>Siang</v>
      </c>
      <c r="L1342" s="2" t="n">
        <f aca="false">IF(A1342&lt;&gt;A1341,1,0)</f>
        <v>1</v>
      </c>
    </row>
    <row r="1343" customFormat="false" ht="15" hidden="false" customHeight="false" outlineLevel="0" collapsed="false">
      <c r="A1343" s="2" t="s">
        <v>1379</v>
      </c>
      <c r="B1343" s="13" t="n">
        <v>46283</v>
      </c>
      <c r="C1343" s="2" t="s">
        <v>108</v>
      </c>
      <c r="D1343" s="2" t="n">
        <v>2</v>
      </c>
      <c r="E1343" s="15" t="n">
        <v>0.534027777777778</v>
      </c>
      <c r="F1343" s="7" t="n">
        <v>20000</v>
      </c>
      <c r="G1343" s="7" t="n">
        <f aca="false">D1343*F1343</f>
        <v>40000</v>
      </c>
      <c r="H1343" s="2" t="str">
        <f aca="false">INDEX(Daftar_Menu!$B$2:$B$13,MATCH(C1343,Daftar_Menu!$A$2:$A$13,0))</f>
        <v>Makanan</v>
      </c>
      <c r="I1343" s="2" t="str">
        <f aca="false">CHOOSE(WEEKDAY(B1343,2),"Senin","Selasa","Rabu","Kamis","Jumat","Sabtu","Minggu")</f>
        <v>Jumat</v>
      </c>
      <c r="J1343" s="2" t="n">
        <f aca="false">HOUR(E1343)</f>
        <v>12</v>
      </c>
      <c r="K1343" s="2" t="str">
        <f aca="false">IF(J1343&lt;11,"Pagi",IF(J1343&lt;17,"Siang","Malam"))</f>
        <v>Siang</v>
      </c>
      <c r="L1343" s="2" t="n">
        <f aca="false">IF(A1343&lt;&gt;A1342,1,0)</f>
        <v>1</v>
      </c>
    </row>
    <row r="1344" customFormat="false" ht="15" hidden="false" customHeight="false" outlineLevel="0" collapsed="false">
      <c r="A1344" s="2" t="s">
        <v>1379</v>
      </c>
      <c r="B1344" s="13" t="n">
        <v>46283</v>
      </c>
      <c r="C1344" s="2" t="s">
        <v>101</v>
      </c>
      <c r="D1344" s="2" t="n">
        <v>2</v>
      </c>
      <c r="E1344" s="15" t="n">
        <v>0.534027777777778</v>
      </c>
      <c r="F1344" s="7" t="n">
        <v>18000</v>
      </c>
      <c r="G1344" s="7" t="n">
        <f aca="false">D1344*F1344</f>
        <v>36000</v>
      </c>
      <c r="H1344" s="2" t="str">
        <f aca="false">INDEX(Daftar_Menu!$B$2:$B$13,MATCH(C1344,Daftar_Menu!$A$2:$A$13,0))</f>
        <v>Makanan</v>
      </c>
      <c r="I1344" s="2" t="str">
        <f aca="false">CHOOSE(WEEKDAY(B1344,2),"Senin","Selasa","Rabu","Kamis","Jumat","Sabtu","Minggu")</f>
        <v>Jumat</v>
      </c>
      <c r="J1344" s="2" t="n">
        <f aca="false">HOUR(E1344)</f>
        <v>12</v>
      </c>
      <c r="K1344" s="2" t="str">
        <f aca="false">IF(J1344&lt;11,"Pagi",IF(J1344&lt;17,"Siang","Malam"))</f>
        <v>Siang</v>
      </c>
      <c r="L1344" s="2" t="n">
        <f aca="false">IF(A1344&lt;&gt;A1343,1,0)</f>
        <v>0</v>
      </c>
    </row>
    <row r="1345" customFormat="false" ht="15" hidden="false" customHeight="false" outlineLevel="0" collapsed="false">
      <c r="A1345" s="2" t="s">
        <v>1380</v>
      </c>
      <c r="B1345" s="13" t="n">
        <v>46283</v>
      </c>
      <c r="C1345" s="2" t="s">
        <v>81</v>
      </c>
      <c r="D1345" s="2" t="n">
        <v>1</v>
      </c>
      <c r="E1345" s="15" t="n">
        <v>0.536111111111111</v>
      </c>
      <c r="F1345" s="7" t="n">
        <v>15000</v>
      </c>
      <c r="G1345" s="7" t="n">
        <f aca="false">D1345*F1345</f>
        <v>15000</v>
      </c>
      <c r="H1345" s="2" t="str">
        <f aca="false">INDEX(Daftar_Menu!$B$2:$B$13,MATCH(C1345,Daftar_Menu!$A$2:$A$13,0))</f>
        <v>Makanan</v>
      </c>
      <c r="I1345" s="2" t="str">
        <f aca="false">CHOOSE(WEEKDAY(B1345,2),"Senin","Selasa","Rabu","Kamis","Jumat","Sabtu","Minggu")</f>
        <v>Jumat</v>
      </c>
      <c r="J1345" s="2" t="n">
        <f aca="false">HOUR(E1345)</f>
        <v>12</v>
      </c>
      <c r="K1345" s="2" t="str">
        <f aca="false">IF(J1345&lt;11,"Pagi",IF(J1345&lt;17,"Siang","Malam"))</f>
        <v>Siang</v>
      </c>
      <c r="L1345" s="2" t="n">
        <f aca="false">IF(A1345&lt;&gt;A1344,1,0)</f>
        <v>1</v>
      </c>
    </row>
    <row r="1346" customFormat="false" ht="15" hidden="false" customHeight="false" outlineLevel="0" collapsed="false">
      <c r="A1346" s="2" t="s">
        <v>1380</v>
      </c>
      <c r="B1346" s="13" t="n">
        <v>46283</v>
      </c>
      <c r="C1346" s="2" t="s">
        <v>108</v>
      </c>
      <c r="D1346" s="2" t="n">
        <v>1</v>
      </c>
      <c r="E1346" s="15" t="n">
        <v>0.536111111111111</v>
      </c>
      <c r="F1346" s="7" t="n">
        <v>20000</v>
      </c>
      <c r="G1346" s="7" t="n">
        <f aca="false">D1346*F1346</f>
        <v>20000</v>
      </c>
      <c r="H1346" s="2" t="str">
        <f aca="false">INDEX(Daftar_Menu!$B$2:$B$13,MATCH(C1346,Daftar_Menu!$A$2:$A$13,0))</f>
        <v>Makanan</v>
      </c>
      <c r="I1346" s="2" t="str">
        <f aca="false">CHOOSE(WEEKDAY(B1346,2),"Senin","Selasa","Rabu","Kamis","Jumat","Sabtu","Minggu")</f>
        <v>Jumat</v>
      </c>
      <c r="J1346" s="2" t="n">
        <f aca="false">HOUR(E1346)</f>
        <v>12</v>
      </c>
      <c r="K1346" s="2" t="str">
        <f aca="false">IF(J1346&lt;11,"Pagi",IF(J1346&lt;17,"Siang","Malam"))</f>
        <v>Siang</v>
      </c>
      <c r="L1346" s="2" t="n">
        <f aca="false">IF(A1346&lt;&gt;A1345,1,0)</f>
        <v>0</v>
      </c>
    </row>
    <row r="1347" customFormat="false" ht="15" hidden="false" customHeight="false" outlineLevel="0" collapsed="false">
      <c r="A1347" s="2" t="s">
        <v>1380</v>
      </c>
      <c r="B1347" s="13" t="n">
        <v>46283</v>
      </c>
      <c r="C1347" s="2" t="s">
        <v>126</v>
      </c>
      <c r="D1347" s="2" t="n">
        <v>1</v>
      </c>
      <c r="E1347" s="15" t="n">
        <v>0.536111111111111</v>
      </c>
      <c r="F1347" s="7" t="n">
        <v>3000</v>
      </c>
      <c r="G1347" s="7" t="n">
        <f aca="false">D1347*F1347</f>
        <v>3000</v>
      </c>
      <c r="H1347" s="2" t="str">
        <f aca="false">INDEX(Daftar_Menu!$B$2:$B$13,MATCH(C1347,Daftar_Menu!$A$2:$A$13,0))</f>
        <v>Minuman</v>
      </c>
      <c r="I1347" s="2" t="str">
        <f aca="false">CHOOSE(WEEKDAY(B1347,2),"Senin","Selasa","Rabu","Kamis","Jumat","Sabtu","Minggu")</f>
        <v>Jumat</v>
      </c>
      <c r="J1347" s="2" t="n">
        <f aca="false">HOUR(E1347)</f>
        <v>12</v>
      </c>
      <c r="K1347" s="2" t="str">
        <f aca="false">IF(J1347&lt;11,"Pagi",IF(J1347&lt;17,"Siang","Malam"))</f>
        <v>Siang</v>
      </c>
      <c r="L1347" s="2" t="n">
        <f aca="false">IF(A1347&lt;&gt;A1346,1,0)</f>
        <v>0</v>
      </c>
    </row>
    <row r="1348" customFormat="false" ht="15" hidden="false" customHeight="false" outlineLevel="0" collapsed="false">
      <c r="A1348" s="2" t="s">
        <v>1381</v>
      </c>
      <c r="B1348" s="13" t="n">
        <v>46283</v>
      </c>
      <c r="C1348" s="2" t="s">
        <v>108</v>
      </c>
      <c r="D1348" s="2" t="n">
        <v>1</v>
      </c>
      <c r="E1348" s="15" t="n">
        <v>0.538888888888889</v>
      </c>
      <c r="F1348" s="7" t="n">
        <v>20000</v>
      </c>
      <c r="G1348" s="7" t="n">
        <f aca="false">D1348*F1348</f>
        <v>20000</v>
      </c>
      <c r="H1348" s="2" t="str">
        <f aca="false">INDEX(Daftar_Menu!$B$2:$B$13,MATCH(C1348,Daftar_Menu!$A$2:$A$13,0))</f>
        <v>Makanan</v>
      </c>
      <c r="I1348" s="2" t="str">
        <f aca="false">CHOOSE(WEEKDAY(B1348,2),"Senin","Selasa","Rabu","Kamis","Jumat","Sabtu","Minggu")</f>
        <v>Jumat</v>
      </c>
      <c r="J1348" s="2" t="n">
        <f aca="false">HOUR(E1348)</f>
        <v>12</v>
      </c>
      <c r="K1348" s="2" t="str">
        <f aca="false">IF(J1348&lt;11,"Pagi",IF(J1348&lt;17,"Siang","Malam"))</f>
        <v>Siang</v>
      </c>
      <c r="L1348" s="2" t="n">
        <f aca="false">IF(A1348&lt;&gt;A1347,1,0)</f>
        <v>1</v>
      </c>
    </row>
    <row r="1349" customFormat="false" ht="15" hidden="false" customHeight="false" outlineLevel="0" collapsed="false">
      <c r="A1349" s="2" t="s">
        <v>1381</v>
      </c>
      <c r="B1349" s="13" t="n">
        <v>46283</v>
      </c>
      <c r="C1349" s="2" t="s">
        <v>186</v>
      </c>
      <c r="D1349" s="2" t="n">
        <v>1</v>
      </c>
      <c r="E1349" s="15" t="n">
        <v>0.538888888888889</v>
      </c>
      <c r="F1349" s="7" t="n">
        <v>7000</v>
      </c>
      <c r="G1349" s="7" t="n">
        <f aca="false">D1349*F1349</f>
        <v>7000</v>
      </c>
      <c r="H1349" s="2" t="str">
        <f aca="false">INDEX(Daftar_Menu!$B$2:$B$13,MATCH(C1349,Daftar_Menu!$A$2:$A$13,0))</f>
        <v>Minuman</v>
      </c>
      <c r="I1349" s="2" t="str">
        <f aca="false">CHOOSE(WEEKDAY(B1349,2),"Senin","Selasa","Rabu","Kamis","Jumat","Sabtu","Minggu")</f>
        <v>Jumat</v>
      </c>
      <c r="J1349" s="2" t="n">
        <f aca="false">HOUR(E1349)</f>
        <v>12</v>
      </c>
      <c r="K1349" s="2" t="str">
        <f aca="false">IF(J1349&lt;11,"Pagi",IF(J1349&lt;17,"Siang","Malam"))</f>
        <v>Siang</v>
      </c>
      <c r="L1349" s="2" t="n">
        <f aca="false">IF(A1349&lt;&gt;A1348,1,0)</f>
        <v>0</v>
      </c>
    </row>
    <row r="1350" customFormat="false" ht="15" hidden="false" customHeight="false" outlineLevel="0" collapsed="false">
      <c r="A1350" s="2" t="s">
        <v>1381</v>
      </c>
      <c r="B1350" s="13" t="n">
        <v>46283</v>
      </c>
      <c r="C1350" s="2" t="s">
        <v>112</v>
      </c>
      <c r="D1350" s="2" t="n">
        <v>1</v>
      </c>
      <c r="E1350" s="15" t="n">
        <v>0.538888888888889</v>
      </c>
      <c r="F1350" s="7" t="n">
        <v>10000</v>
      </c>
      <c r="G1350" s="7" t="n">
        <f aca="false">D1350*F1350</f>
        <v>10000</v>
      </c>
      <c r="H1350" s="2" t="str">
        <f aca="false">INDEX(Daftar_Menu!$B$2:$B$13,MATCH(C1350,Daftar_Menu!$A$2:$A$13,0))</f>
        <v>Minuman</v>
      </c>
      <c r="I1350" s="2" t="str">
        <f aca="false">CHOOSE(WEEKDAY(B1350,2),"Senin","Selasa","Rabu","Kamis","Jumat","Sabtu","Minggu")</f>
        <v>Jumat</v>
      </c>
      <c r="J1350" s="2" t="n">
        <f aca="false">HOUR(E1350)</f>
        <v>12</v>
      </c>
      <c r="K1350" s="2" t="str">
        <f aca="false">IF(J1350&lt;11,"Pagi",IF(J1350&lt;17,"Siang","Malam"))</f>
        <v>Siang</v>
      </c>
      <c r="L1350" s="2" t="n">
        <f aca="false">IF(A1350&lt;&gt;A1349,1,0)</f>
        <v>0</v>
      </c>
    </row>
    <row r="1351" customFormat="false" ht="15" hidden="false" customHeight="false" outlineLevel="0" collapsed="false">
      <c r="A1351" s="2" t="s">
        <v>1382</v>
      </c>
      <c r="B1351" s="13" t="n">
        <v>46283</v>
      </c>
      <c r="C1351" s="2" t="s">
        <v>82</v>
      </c>
      <c r="D1351" s="2" t="n">
        <v>1</v>
      </c>
      <c r="E1351" s="15" t="n">
        <v>0.557638888888889</v>
      </c>
      <c r="F1351" s="7" t="n">
        <v>13000</v>
      </c>
      <c r="G1351" s="7" t="n">
        <f aca="false">D1351*F1351</f>
        <v>13000</v>
      </c>
      <c r="H1351" s="2" t="str">
        <f aca="false">INDEX(Daftar_Menu!$B$2:$B$13,MATCH(C1351,Daftar_Menu!$A$2:$A$13,0))</f>
        <v>Makanan</v>
      </c>
      <c r="I1351" s="2" t="str">
        <f aca="false">CHOOSE(WEEKDAY(B1351,2),"Senin","Selasa","Rabu","Kamis","Jumat","Sabtu","Minggu")</f>
        <v>Jumat</v>
      </c>
      <c r="J1351" s="2" t="n">
        <f aca="false">HOUR(E1351)</f>
        <v>13</v>
      </c>
      <c r="K1351" s="2" t="str">
        <f aca="false">IF(J1351&lt;11,"Pagi",IF(J1351&lt;17,"Siang","Malam"))</f>
        <v>Siang</v>
      </c>
      <c r="L1351" s="2" t="n">
        <f aca="false">IF(A1351&lt;&gt;A1350,1,0)</f>
        <v>1</v>
      </c>
    </row>
    <row r="1352" customFormat="false" ht="15" hidden="false" customHeight="false" outlineLevel="0" collapsed="false">
      <c r="A1352" s="2" t="s">
        <v>1382</v>
      </c>
      <c r="B1352" s="13" t="n">
        <v>46283</v>
      </c>
      <c r="C1352" s="2" t="s">
        <v>186</v>
      </c>
      <c r="D1352" s="2" t="n">
        <v>2</v>
      </c>
      <c r="E1352" s="15" t="n">
        <v>0.557638888888889</v>
      </c>
      <c r="F1352" s="7" t="n">
        <v>7000</v>
      </c>
      <c r="G1352" s="7" t="n">
        <f aca="false">D1352*F1352</f>
        <v>14000</v>
      </c>
      <c r="H1352" s="2" t="str">
        <f aca="false">INDEX(Daftar_Menu!$B$2:$B$13,MATCH(C1352,Daftar_Menu!$A$2:$A$13,0))</f>
        <v>Minuman</v>
      </c>
      <c r="I1352" s="2" t="str">
        <f aca="false">CHOOSE(WEEKDAY(B1352,2),"Senin","Selasa","Rabu","Kamis","Jumat","Sabtu","Minggu")</f>
        <v>Jumat</v>
      </c>
      <c r="J1352" s="2" t="n">
        <f aca="false">HOUR(E1352)</f>
        <v>13</v>
      </c>
      <c r="K1352" s="2" t="str">
        <f aca="false">IF(J1352&lt;11,"Pagi",IF(J1352&lt;17,"Siang","Malam"))</f>
        <v>Siang</v>
      </c>
      <c r="L1352" s="2" t="n">
        <f aca="false">IF(A1352&lt;&gt;A1351,1,0)</f>
        <v>0</v>
      </c>
    </row>
    <row r="1353" customFormat="false" ht="15" hidden="false" customHeight="false" outlineLevel="0" collapsed="false">
      <c r="A1353" s="2" t="s">
        <v>1384</v>
      </c>
      <c r="B1353" s="13" t="n">
        <v>46283</v>
      </c>
      <c r="C1353" s="2" t="s">
        <v>81</v>
      </c>
      <c r="D1353" s="2" t="n">
        <v>1</v>
      </c>
      <c r="E1353" s="15" t="n">
        <v>0.560416666666667</v>
      </c>
      <c r="F1353" s="7" t="n">
        <v>15000</v>
      </c>
      <c r="G1353" s="7" t="n">
        <f aca="false">D1353*F1353</f>
        <v>15000</v>
      </c>
      <c r="H1353" s="2" t="str">
        <f aca="false">INDEX(Daftar_Menu!$B$2:$B$13,MATCH(C1353,Daftar_Menu!$A$2:$A$13,0))</f>
        <v>Makanan</v>
      </c>
      <c r="I1353" s="2" t="str">
        <f aca="false">CHOOSE(WEEKDAY(B1353,2),"Senin","Selasa","Rabu","Kamis","Jumat","Sabtu","Minggu")</f>
        <v>Jumat</v>
      </c>
      <c r="J1353" s="2" t="n">
        <f aca="false">HOUR(E1353)</f>
        <v>13</v>
      </c>
      <c r="K1353" s="2" t="str">
        <f aca="false">IF(J1353&lt;11,"Pagi",IF(J1353&lt;17,"Siang","Malam"))</f>
        <v>Siang</v>
      </c>
      <c r="L1353" s="2" t="n">
        <f aca="false">IF(A1353&lt;&gt;A1352,1,0)</f>
        <v>1</v>
      </c>
    </row>
    <row r="1354" customFormat="false" ht="15" hidden="false" customHeight="false" outlineLevel="0" collapsed="false">
      <c r="A1354" s="2" t="s">
        <v>1384</v>
      </c>
      <c r="B1354" s="13" t="n">
        <v>46283</v>
      </c>
      <c r="C1354" s="2" t="s">
        <v>92</v>
      </c>
      <c r="D1354" s="2" t="n">
        <v>1</v>
      </c>
      <c r="E1354" s="15" t="n">
        <v>0.560416666666667</v>
      </c>
      <c r="F1354" s="7" t="n">
        <v>4000</v>
      </c>
      <c r="G1354" s="7" t="n">
        <f aca="false">D1354*F1354</f>
        <v>4000</v>
      </c>
      <c r="H1354" s="2" t="str">
        <f aca="false">INDEX(Daftar_Menu!$B$2:$B$13,MATCH(C1354,Daftar_Menu!$A$2:$A$13,0))</f>
        <v>Minuman</v>
      </c>
      <c r="I1354" s="2" t="str">
        <f aca="false">CHOOSE(WEEKDAY(B1354,2),"Senin","Selasa","Rabu","Kamis","Jumat","Sabtu","Minggu")</f>
        <v>Jumat</v>
      </c>
      <c r="J1354" s="2" t="n">
        <f aca="false">HOUR(E1354)</f>
        <v>13</v>
      </c>
      <c r="K1354" s="2" t="str">
        <f aca="false">IF(J1354&lt;11,"Pagi",IF(J1354&lt;17,"Siang","Malam"))</f>
        <v>Siang</v>
      </c>
      <c r="L1354" s="2" t="n">
        <f aca="false">IF(A1354&lt;&gt;A1353,1,0)</f>
        <v>0</v>
      </c>
    </row>
    <row r="1355" customFormat="false" ht="15" hidden="false" customHeight="false" outlineLevel="0" collapsed="false">
      <c r="A1355" s="2" t="s">
        <v>1384</v>
      </c>
      <c r="B1355" s="13" t="n">
        <v>46283</v>
      </c>
      <c r="C1355" s="2" t="s">
        <v>84</v>
      </c>
      <c r="D1355" s="2" t="n">
        <v>1</v>
      </c>
      <c r="E1355" s="15" t="n">
        <v>0.560416666666667</v>
      </c>
      <c r="F1355" s="7" t="n">
        <v>5000</v>
      </c>
      <c r="G1355" s="7" t="n">
        <f aca="false">D1355*F1355</f>
        <v>5000</v>
      </c>
      <c r="H1355" s="2" t="str">
        <f aca="false">INDEX(Daftar_Menu!$B$2:$B$13,MATCH(C1355,Daftar_Menu!$A$2:$A$13,0))</f>
        <v>Minuman</v>
      </c>
      <c r="I1355" s="2" t="str">
        <f aca="false">CHOOSE(WEEKDAY(B1355,2),"Senin","Selasa","Rabu","Kamis","Jumat","Sabtu","Minggu")</f>
        <v>Jumat</v>
      </c>
      <c r="J1355" s="2" t="n">
        <f aca="false">HOUR(E1355)</f>
        <v>13</v>
      </c>
      <c r="K1355" s="2" t="str">
        <f aca="false">IF(J1355&lt;11,"Pagi",IF(J1355&lt;17,"Siang","Malam"))</f>
        <v>Siang</v>
      </c>
      <c r="L1355" s="2" t="n">
        <f aca="false">IF(A1355&lt;&gt;A1354,1,0)</f>
        <v>0</v>
      </c>
    </row>
    <row r="1356" customFormat="false" ht="15" hidden="false" customHeight="false" outlineLevel="0" collapsed="false">
      <c r="A1356" s="2" t="s">
        <v>1385</v>
      </c>
      <c r="B1356" s="13" t="n">
        <v>46283</v>
      </c>
      <c r="C1356" s="2" t="s">
        <v>108</v>
      </c>
      <c r="D1356" s="2" t="n">
        <v>1</v>
      </c>
      <c r="E1356" s="15" t="n">
        <v>0.570138888888889</v>
      </c>
      <c r="F1356" s="7" t="n">
        <v>20000</v>
      </c>
      <c r="G1356" s="7" t="n">
        <f aca="false">D1356*F1356</f>
        <v>20000</v>
      </c>
      <c r="H1356" s="2" t="str">
        <f aca="false">INDEX(Daftar_Menu!$B$2:$B$13,MATCH(C1356,Daftar_Menu!$A$2:$A$13,0))</f>
        <v>Makanan</v>
      </c>
      <c r="I1356" s="2" t="str">
        <f aca="false">CHOOSE(WEEKDAY(B1356,2),"Senin","Selasa","Rabu","Kamis","Jumat","Sabtu","Minggu")</f>
        <v>Jumat</v>
      </c>
      <c r="J1356" s="2" t="n">
        <f aca="false">HOUR(E1356)</f>
        <v>13</v>
      </c>
      <c r="K1356" s="2" t="str">
        <f aca="false">IF(J1356&lt;11,"Pagi",IF(J1356&lt;17,"Siang","Malam"))</f>
        <v>Siang</v>
      </c>
      <c r="L1356" s="2" t="n">
        <f aca="false">IF(A1356&lt;&gt;A1355,1,0)</f>
        <v>1</v>
      </c>
    </row>
    <row r="1357" customFormat="false" ht="15" hidden="false" customHeight="false" outlineLevel="0" collapsed="false">
      <c r="A1357" s="2" t="s">
        <v>1386</v>
      </c>
      <c r="B1357" s="13" t="n">
        <v>46283</v>
      </c>
      <c r="C1357" s="2" t="s">
        <v>112</v>
      </c>
      <c r="D1357" s="2" t="n">
        <v>1</v>
      </c>
      <c r="E1357" s="15" t="n">
        <v>0.577083333333333</v>
      </c>
      <c r="F1357" s="7" t="n">
        <v>10000</v>
      </c>
      <c r="G1357" s="7" t="n">
        <f aca="false">D1357*F1357</f>
        <v>10000</v>
      </c>
      <c r="H1357" s="2" t="str">
        <f aca="false">INDEX(Daftar_Menu!$B$2:$B$13,MATCH(C1357,Daftar_Menu!$A$2:$A$13,0))</f>
        <v>Minuman</v>
      </c>
      <c r="I1357" s="2" t="str">
        <f aca="false">CHOOSE(WEEKDAY(B1357,2),"Senin","Selasa","Rabu","Kamis","Jumat","Sabtu","Minggu")</f>
        <v>Jumat</v>
      </c>
      <c r="J1357" s="2" t="n">
        <f aca="false">HOUR(E1357)</f>
        <v>13</v>
      </c>
      <c r="K1357" s="2" t="str">
        <f aca="false">IF(J1357&lt;11,"Pagi",IF(J1357&lt;17,"Siang","Malam"))</f>
        <v>Siang</v>
      </c>
      <c r="L1357" s="2" t="n">
        <f aca="false">IF(A1357&lt;&gt;A1356,1,0)</f>
        <v>1</v>
      </c>
    </row>
    <row r="1358" customFormat="false" ht="15" hidden="false" customHeight="false" outlineLevel="0" collapsed="false">
      <c r="A1358" s="2" t="s">
        <v>1387</v>
      </c>
      <c r="B1358" s="13" t="n">
        <v>46283</v>
      </c>
      <c r="C1358" s="2" t="s">
        <v>186</v>
      </c>
      <c r="D1358" s="2" t="n">
        <v>1</v>
      </c>
      <c r="E1358" s="15" t="n">
        <v>0.582638888888889</v>
      </c>
      <c r="F1358" s="7" t="n">
        <v>7000</v>
      </c>
      <c r="G1358" s="7" t="n">
        <f aca="false">D1358*F1358</f>
        <v>7000</v>
      </c>
      <c r="H1358" s="2" t="str">
        <f aca="false">INDEX(Daftar_Menu!$B$2:$B$13,MATCH(C1358,Daftar_Menu!$A$2:$A$13,0))</f>
        <v>Minuman</v>
      </c>
      <c r="I1358" s="2" t="str">
        <f aca="false">CHOOSE(WEEKDAY(B1358,2),"Senin","Selasa","Rabu","Kamis","Jumat","Sabtu","Minggu")</f>
        <v>Jumat</v>
      </c>
      <c r="J1358" s="2" t="n">
        <f aca="false">HOUR(E1358)</f>
        <v>13</v>
      </c>
      <c r="K1358" s="2" t="str">
        <f aca="false">IF(J1358&lt;11,"Pagi",IF(J1358&lt;17,"Siang","Malam"))</f>
        <v>Siang</v>
      </c>
      <c r="L1358" s="2" t="n">
        <f aca="false">IF(A1358&lt;&gt;A1357,1,0)</f>
        <v>1</v>
      </c>
    </row>
    <row r="1359" customFormat="false" ht="15" hidden="false" customHeight="false" outlineLevel="0" collapsed="false">
      <c r="A1359" s="2" t="s">
        <v>1387</v>
      </c>
      <c r="B1359" s="13" t="n">
        <v>46283</v>
      </c>
      <c r="C1359" s="2" t="s">
        <v>79</v>
      </c>
      <c r="D1359" s="2" t="n">
        <v>1</v>
      </c>
      <c r="E1359" s="15" t="n">
        <v>0.582638888888889</v>
      </c>
      <c r="F1359" s="7" t="n">
        <v>16000</v>
      </c>
      <c r="G1359" s="7" t="n">
        <f aca="false">D1359*F1359</f>
        <v>16000</v>
      </c>
      <c r="H1359" s="2" t="str">
        <f aca="false">INDEX(Daftar_Menu!$B$2:$B$13,MATCH(C1359,Daftar_Menu!$A$2:$A$13,0))</f>
        <v>Makanan</v>
      </c>
      <c r="I1359" s="2" t="str">
        <f aca="false">CHOOSE(WEEKDAY(B1359,2),"Senin","Selasa","Rabu","Kamis","Jumat","Sabtu","Minggu")</f>
        <v>Jumat</v>
      </c>
      <c r="J1359" s="2" t="n">
        <f aca="false">HOUR(E1359)</f>
        <v>13</v>
      </c>
      <c r="K1359" s="2" t="str">
        <f aca="false">IF(J1359&lt;11,"Pagi",IF(J1359&lt;17,"Siang","Malam"))</f>
        <v>Siang</v>
      </c>
      <c r="L1359" s="2" t="n">
        <f aca="false">IF(A1359&lt;&gt;A1358,1,0)</f>
        <v>0</v>
      </c>
    </row>
    <row r="1360" customFormat="false" ht="15" hidden="false" customHeight="false" outlineLevel="0" collapsed="false">
      <c r="A1360" s="2" t="s">
        <v>1388</v>
      </c>
      <c r="B1360" s="13" t="n">
        <v>46283</v>
      </c>
      <c r="C1360" s="2" t="s">
        <v>81</v>
      </c>
      <c r="D1360" s="2" t="n">
        <v>1</v>
      </c>
      <c r="E1360" s="15" t="n">
        <v>0.588194444444445</v>
      </c>
      <c r="F1360" s="7" t="n">
        <v>15000</v>
      </c>
      <c r="G1360" s="7" t="n">
        <f aca="false">D1360*F1360</f>
        <v>15000</v>
      </c>
      <c r="H1360" s="2" t="str">
        <f aca="false">INDEX(Daftar_Menu!$B$2:$B$13,MATCH(C1360,Daftar_Menu!$A$2:$A$13,0))</f>
        <v>Makanan</v>
      </c>
      <c r="I1360" s="2" t="str">
        <f aca="false">CHOOSE(WEEKDAY(B1360,2),"Senin","Selasa","Rabu","Kamis","Jumat","Sabtu","Minggu")</f>
        <v>Jumat</v>
      </c>
      <c r="J1360" s="2" t="n">
        <f aca="false">HOUR(E1360)</f>
        <v>14</v>
      </c>
      <c r="K1360" s="2" t="str">
        <f aca="false">IF(J1360&lt;11,"Pagi",IF(J1360&lt;17,"Siang","Malam"))</f>
        <v>Siang</v>
      </c>
      <c r="L1360" s="2" t="n">
        <f aca="false">IF(A1360&lt;&gt;A1359,1,0)</f>
        <v>1</v>
      </c>
    </row>
    <row r="1361" customFormat="false" ht="15" hidden="false" customHeight="false" outlineLevel="0" collapsed="false">
      <c r="A1361" s="2" t="s">
        <v>1388</v>
      </c>
      <c r="B1361" s="13" t="n">
        <v>46283</v>
      </c>
      <c r="C1361" s="2" t="s">
        <v>101</v>
      </c>
      <c r="D1361" s="2" t="n">
        <v>1</v>
      </c>
      <c r="E1361" s="15" t="n">
        <v>0.588194444444445</v>
      </c>
      <c r="F1361" s="7" t="n">
        <v>18000</v>
      </c>
      <c r="G1361" s="7" t="n">
        <f aca="false">D1361*F1361</f>
        <v>18000</v>
      </c>
      <c r="H1361" s="2" t="str">
        <f aca="false">INDEX(Daftar_Menu!$B$2:$B$13,MATCH(C1361,Daftar_Menu!$A$2:$A$13,0))</f>
        <v>Makanan</v>
      </c>
      <c r="I1361" s="2" t="str">
        <f aca="false">CHOOSE(WEEKDAY(B1361,2),"Senin","Selasa","Rabu","Kamis","Jumat","Sabtu","Minggu")</f>
        <v>Jumat</v>
      </c>
      <c r="J1361" s="2" t="n">
        <f aca="false">HOUR(E1361)</f>
        <v>14</v>
      </c>
      <c r="K1361" s="2" t="str">
        <f aca="false">IF(J1361&lt;11,"Pagi",IF(J1361&lt;17,"Siang","Malam"))</f>
        <v>Siang</v>
      </c>
      <c r="L1361" s="2" t="n">
        <f aca="false">IF(A1361&lt;&gt;A1360,1,0)</f>
        <v>0</v>
      </c>
    </row>
    <row r="1362" customFormat="false" ht="15" hidden="false" customHeight="false" outlineLevel="0" collapsed="false">
      <c r="A1362" s="2" t="s">
        <v>1388</v>
      </c>
      <c r="B1362" s="13" t="n">
        <v>46283</v>
      </c>
      <c r="C1362" s="2" t="s">
        <v>108</v>
      </c>
      <c r="D1362" s="2" t="n">
        <v>1</v>
      </c>
      <c r="E1362" s="15" t="n">
        <v>0.588194444444445</v>
      </c>
      <c r="F1362" s="7" t="n">
        <v>20000</v>
      </c>
      <c r="G1362" s="7" t="n">
        <f aca="false">D1362*F1362</f>
        <v>20000</v>
      </c>
      <c r="H1362" s="2" t="str">
        <f aca="false">INDEX(Daftar_Menu!$B$2:$B$13,MATCH(C1362,Daftar_Menu!$A$2:$A$13,0))</f>
        <v>Makanan</v>
      </c>
      <c r="I1362" s="2" t="str">
        <f aca="false">CHOOSE(WEEKDAY(B1362,2),"Senin","Selasa","Rabu","Kamis","Jumat","Sabtu","Minggu")</f>
        <v>Jumat</v>
      </c>
      <c r="J1362" s="2" t="n">
        <f aca="false">HOUR(E1362)</f>
        <v>14</v>
      </c>
      <c r="K1362" s="2" t="str">
        <f aca="false">IF(J1362&lt;11,"Pagi",IF(J1362&lt;17,"Siang","Malam"))</f>
        <v>Siang</v>
      </c>
      <c r="L1362" s="2" t="n">
        <f aca="false">IF(A1362&lt;&gt;A1361,1,0)</f>
        <v>0</v>
      </c>
    </row>
    <row r="1363" customFormat="false" ht="15" hidden="false" customHeight="false" outlineLevel="0" collapsed="false">
      <c r="A1363" s="2" t="s">
        <v>1390</v>
      </c>
      <c r="B1363" s="13" t="n">
        <v>46283</v>
      </c>
      <c r="C1363" s="2" t="s">
        <v>79</v>
      </c>
      <c r="D1363" s="2" t="n">
        <v>1</v>
      </c>
      <c r="E1363" s="15" t="n">
        <v>0.590972222222222</v>
      </c>
      <c r="F1363" s="7" t="n">
        <v>16000</v>
      </c>
      <c r="G1363" s="7" t="n">
        <f aca="false">D1363*F1363</f>
        <v>16000</v>
      </c>
      <c r="H1363" s="2" t="str">
        <f aca="false">INDEX(Daftar_Menu!$B$2:$B$13,MATCH(C1363,Daftar_Menu!$A$2:$A$13,0))</f>
        <v>Makanan</v>
      </c>
      <c r="I1363" s="2" t="str">
        <f aca="false">CHOOSE(WEEKDAY(B1363,2),"Senin","Selasa","Rabu","Kamis","Jumat","Sabtu","Minggu")</f>
        <v>Jumat</v>
      </c>
      <c r="J1363" s="2" t="n">
        <f aca="false">HOUR(E1363)</f>
        <v>14</v>
      </c>
      <c r="K1363" s="2" t="str">
        <f aca="false">IF(J1363&lt;11,"Pagi",IF(J1363&lt;17,"Siang","Malam"))</f>
        <v>Siang</v>
      </c>
      <c r="L1363" s="2" t="n">
        <f aca="false">IF(A1363&lt;&gt;A1362,1,0)</f>
        <v>1</v>
      </c>
    </row>
    <row r="1364" customFormat="false" ht="15" hidden="false" customHeight="false" outlineLevel="0" collapsed="false">
      <c r="A1364" s="2" t="s">
        <v>1390</v>
      </c>
      <c r="B1364" s="13" t="n">
        <v>46283</v>
      </c>
      <c r="C1364" s="2" t="s">
        <v>101</v>
      </c>
      <c r="D1364" s="2" t="n">
        <v>2</v>
      </c>
      <c r="E1364" s="15" t="n">
        <v>0.590972222222222</v>
      </c>
      <c r="F1364" s="7" t="n">
        <v>18000</v>
      </c>
      <c r="G1364" s="7" t="n">
        <f aca="false">D1364*F1364</f>
        <v>36000</v>
      </c>
      <c r="H1364" s="2" t="str">
        <f aca="false">INDEX(Daftar_Menu!$B$2:$B$13,MATCH(C1364,Daftar_Menu!$A$2:$A$13,0))</f>
        <v>Makanan</v>
      </c>
      <c r="I1364" s="2" t="str">
        <f aca="false">CHOOSE(WEEKDAY(B1364,2),"Senin","Selasa","Rabu","Kamis","Jumat","Sabtu","Minggu")</f>
        <v>Jumat</v>
      </c>
      <c r="J1364" s="2" t="n">
        <f aca="false">HOUR(E1364)</f>
        <v>14</v>
      </c>
      <c r="K1364" s="2" t="str">
        <f aca="false">IF(J1364&lt;11,"Pagi",IF(J1364&lt;17,"Siang","Malam"))</f>
        <v>Siang</v>
      </c>
      <c r="L1364" s="2" t="n">
        <f aca="false">IF(A1364&lt;&gt;A1363,1,0)</f>
        <v>0</v>
      </c>
    </row>
    <row r="1365" customFormat="false" ht="15" hidden="false" customHeight="false" outlineLevel="0" collapsed="false">
      <c r="A1365" s="2" t="s">
        <v>1392</v>
      </c>
      <c r="B1365" s="13" t="n">
        <v>46283</v>
      </c>
      <c r="C1365" s="2" t="s">
        <v>81</v>
      </c>
      <c r="D1365" s="2" t="n">
        <v>3</v>
      </c>
      <c r="E1365" s="15" t="n">
        <v>0.613194444444445</v>
      </c>
      <c r="F1365" s="7" t="n">
        <v>15000</v>
      </c>
      <c r="G1365" s="7" t="n">
        <f aca="false">D1365*F1365</f>
        <v>45000</v>
      </c>
      <c r="H1365" s="2" t="str">
        <f aca="false">INDEX(Daftar_Menu!$B$2:$B$13,MATCH(C1365,Daftar_Menu!$A$2:$A$13,0))</f>
        <v>Makanan</v>
      </c>
      <c r="I1365" s="2" t="str">
        <f aca="false">CHOOSE(WEEKDAY(B1365,2),"Senin","Selasa","Rabu","Kamis","Jumat","Sabtu","Minggu")</f>
        <v>Jumat</v>
      </c>
      <c r="J1365" s="2" t="n">
        <f aca="false">HOUR(E1365)</f>
        <v>14</v>
      </c>
      <c r="K1365" s="2" t="str">
        <f aca="false">IF(J1365&lt;11,"Pagi",IF(J1365&lt;17,"Siang","Malam"))</f>
        <v>Siang</v>
      </c>
      <c r="L1365" s="2" t="n">
        <f aca="false">IF(A1365&lt;&gt;A1364,1,0)</f>
        <v>1</v>
      </c>
    </row>
    <row r="1366" customFormat="false" ht="15" hidden="false" customHeight="false" outlineLevel="0" collapsed="false">
      <c r="A1366" s="2" t="s">
        <v>1393</v>
      </c>
      <c r="B1366" s="13" t="n">
        <v>46283</v>
      </c>
      <c r="C1366" s="2" t="s">
        <v>84</v>
      </c>
      <c r="D1366" s="2" t="n">
        <v>1</v>
      </c>
      <c r="E1366" s="15" t="n">
        <v>0.651388888888889</v>
      </c>
      <c r="F1366" s="7" t="n">
        <v>5000</v>
      </c>
      <c r="G1366" s="7" t="n">
        <f aca="false">D1366*F1366</f>
        <v>5000</v>
      </c>
      <c r="H1366" s="2" t="str">
        <f aca="false">INDEX(Daftar_Menu!$B$2:$B$13,MATCH(C1366,Daftar_Menu!$A$2:$A$13,0))</f>
        <v>Minuman</v>
      </c>
      <c r="I1366" s="2" t="str">
        <f aca="false">CHOOSE(WEEKDAY(B1366,2),"Senin","Selasa","Rabu","Kamis","Jumat","Sabtu","Minggu")</f>
        <v>Jumat</v>
      </c>
      <c r="J1366" s="2" t="n">
        <f aca="false">HOUR(E1366)</f>
        <v>15</v>
      </c>
      <c r="K1366" s="2" t="str">
        <f aca="false">IF(J1366&lt;11,"Pagi",IF(J1366&lt;17,"Siang","Malam"))</f>
        <v>Siang</v>
      </c>
      <c r="L1366" s="2" t="n">
        <f aca="false">IF(A1366&lt;&gt;A1365,1,0)</f>
        <v>1</v>
      </c>
    </row>
    <row r="1367" customFormat="false" ht="15" hidden="false" customHeight="false" outlineLevel="0" collapsed="false">
      <c r="A1367" s="2" t="s">
        <v>1393</v>
      </c>
      <c r="B1367" s="13" t="n">
        <v>46283</v>
      </c>
      <c r="C1367" s="2" t="s">
        <v>101</v>
      </c>
      <c r="D1367" s="2" t="n">
        <v>2</v>
      </c>
      <c r="E1367" s="15" t="n">
        <v>0.651388888888889</v>
      </c>
      <c r="F1367" s="7" t="n">
        <v>18000</v>
      </c>
      <c r="G1367" s="7" t="n">
        <f aca="false">D1367*F1367</f>
        <v>36000</v>
      </c>
      <c r="H1367" s="2" t="str">
        <f aca="false">INDEX(Daftar_Menu!$B$2:$B$13,MATCH(C1367,Daftar_Menu!$A$2:$A$13,0))</f>
        <v>Makanan</v>
      </c>
      <c r="I1367" s="2" t="str">
        <f aca="false">CHOOSE(WEEKDAY(B1367,2),"Senin","Selasa","Rabu","Kamis","Jumat","Sabtu","Minggu")</f>
        <v>Jumat</v>
      </c>
      <c r="J1367" s="2" t="n">
        <f aca="false">HOUR(E1367)</f>
        <v>15</v>
      </c>
      <c r="K1367" s="2" t="str">
        <f aca="false">IF(J1367&lt;11,"Pagi",IF(J1367&lt;17,"Siang","Malam"))</f>
        <v>Siang</v>
      </c>
      <c r="L1367" s="2" t="n">
        <f aca="false">IF(A1367&lt;&gt;A1366,1,0)</f>
        <v>0</v>
      </c>
    </row>
    <row r="1368" customFormat="false" ht="15" hidden="false" customHeight="false" outlineLevel="0" collapsed="false">
      <c r="A1368" s="2" t="s">
        <v>1394</v>
      </c>
      <c r="B1368" s="13" t="n">
        <v>46283</v>
      </c>
      <c r="C1368" s="2" t="s">
        <v>84</v>
      </c>
      <c r="D1368" s="2" t="n">
        <v>2</v>
      </c>
      <c r="E1368" s="15" t="n">
        <v>0.6875</v>
      </c>
      <c r="F1368" s="7" t="n">
        <v>5000</v>
      </c>
      <c r="G1368" s="7" t="n">
        <f aca="false">D1368*F1368</f>
        <v>10000</v>
      </c>
      <c r="H1368" s="2" t="str">
        <f aca="false">INDEX(Daftar_Menu!$B$2:$B$13,MATCH(C1368,Daftar_Menu!$A$2:$A$13,0))</f>
        <v>Minuman</v>
      </c>
      <c r="I1368" s="2" t="str">
        <f aca="false">CHOOSE(WEEKDAY(B1368,2),"Senin","Selasa","Rabu","Kamis","Jumat","Sabtu","Minggu")</f>
        <v>Jumat</v>
      </c>
      <c r="J1368" s="2" t="n">
        <f aca="false">HOUR(E1368)</f>
        <v>16</v>
      </c>
      <c r="K1368" s="2" t="str">
        <f aca="false">IF(J1368&lt;11,"Pagi",IF(J1368&lt;17,"Siang","Malam"))</f>
        <v>Siang</v>
      </c>
      <c r="L1368" s="2" t="n">
        <f aca="false">IF(A1368&lt;&gt;A1367,1,0)</f>
        <v>1</v>
      </c>
    </row>
    <row r="1369" customFormat="false" ht="15" hidden="false" customHeight="false" outlineLevel="0" collapsed="false">
      <c r="A1369" s="2" t="s">
        <v>1395</v>
      </c>
      <c r="B1369" s="13" t="n">
        <v>46283</v>
      </c>
      <c r="C1369" s="2" t="s">
        <v>84</v>
      </c>
      <c r="D1369" s="2" t="n">
        <v>1</v>
      </c>
      <c r="E1369" s="15" t="n">
        <v>0.697916666666667</v>
      </c>
      <c r="F1369" s="7" t="n">
        <v>5000</v>
      </c>
      <c r="G1369" s="7" t="n">
        <f aca="false">D1369*F1369</f>
        <v>5000</v>
      </c>
      <c r="H1369" s="2" t="str">
        <f aca="false">INDEX(Daftar_Menu!$B$2:$B$13,MATCH(C1369,Daftar_Menu!$A$2:$A$13,0))</f>
        <v>Minuman</v>
      </c>
      <c r="I1369" s="2" t="str">
        <f aca="false">CHOOSE(WEEKDAY(B1369,2),"Senin","Selasa","Rabu","Kamis","Jumat","Sabtu","Minggu")</f>
        <v>Jumat</v>
      </c>
      <c r="J1369" s="2" t="n">
        <f aca="false">HOUR(E1369)</f>
        <v>16</v>
      </c>
      <c r="K1369" s="2" t="str">
        <f aca="false">IF(J1369&lt;11,"Pagi",IF(J1369&lt;17,"Siang","Malam"))</f>
        <v>Siang</v>
      </c>
      <c r="L1369" s="2" t="n">
        <f aca="false">IF(A1369&lt;&gt;A1368,1,0)</f>
        <v>1</v>
      </c>
    </row>
    <row r="1370" customFormat="false" ht="15" hidden="false" customHeight="false" outlineLevel="0" collapsed="false">
      <c r="A1370" s="2" t="s">
        <v>1395</v>
      </c>
      <c r="B1370" s="13" t="n">
        <v>46283</v>
      </c>
      <c r="C1370" s="2" t="s">
        <v>126</v>
      </c>
      <c r="D1370" s="2" t="n">
        <v>1</v>
      </c>
      <c r="E1370" s="15" t="n">
        <v>0.697916666666667</v>
      </c>
      <c r="F1370" s="7" t="n">
        <v>3000</v>
      </c>
      <c r="G1370" s="7" t="n">
        <f aca="false">D1370*F1370</f>
        <v>3000</v>
      </c>
      <c r="H1370" s="2" t="str">
        <f aca="false">INDEX(Daftar_Menu!$B$2:$B$13,MATCH(C1370,Daftar_Menu!$A$2:$A$13,0))</f>
        <v>Minuman</v>
      </c>
      <c r="I1370" s="2" t="str">
        <f aca="false">CHOOSE(WEEKDAY(B1370,2),"Senin","Selasa","Rabu","Kamis","Jumat","Sabtu","Minggu")</f>
        <v>Jumat</v>
      </c>
      <c r="J1370" s="2" t="n">
        <f aca="false">HOUR(E1370)</f>
        <v>16</v>
      </c>
      <c r="K1370" s="2" t="str">
        <f aca="false">IF(J1370&lt;11,"Pagi",IF(J1370&lt;17,"Siang","Malam"))</f>
        <v>Siang</v>
      </c>
      <c r="L1370" s="2" t="n">
        <f aca="false">IF(A1370&lt;&gt;A1369,1,0)</f>
        <v>0</v>
      </c>
    </row>
    <row r="1371" customFormat="false" ht="15" hidden="false" customHeight="false" outlineLevel="0" collapsed="false">
      <c r="A1371" s="2" t="s">
        <v>1396</v>
      </c>
      <c r="B1371" s="13" t="n">
        <v>46283</v>
      </c>
      <c r="C1371" s="2" t="s">
        <v>101</v>
      </c>
      <c r="D1371" s="2" t="n">
        <v>1</v>
      </c>
      <c r="E1371" s="15" t="n">
        <v>0.715972222222222</v>
      </c>
      <c r="F1371" s="7" t="n">
        <v>18000</v>
      </c>
      <c r="G1371" s="7" t="n">
        <f aca="false">D1371*F1371</f>
        <v>18000</v>
      </c>
      <c r="H1371" s="2" t="str">
        <f aca="false">INDEX(Daftar_Menu!$B$2:$B$13,MATCH(C1371,Daftar_Menu!$A$2:$A$13,0))</f>
        <v>Makanan</v>
      </c>
      <c r="I1371" s="2" t="str">
        <f aca="false">CHOOSE(WEEKDAY(B1371,2),"Senin","Selasa","Rabu","Kamis","Jumat","Sabtu","Minggu")</f>
        <v>Jumat</v>
      </c>
      <c r="J1371" s="2" t="n">
        <f aca="false">HOUR(E1371)</f>
        <v>17</v>
      </c>
      <c r="K1371" s="2" t="str">
        <f aca="false">IF(J1371&lt;11,"Pagi",IF(J1371&lt;17,"Siang","Malam"))</f>
        <v>Malam</v>
      </c>
      <c r="L1371" s="2" t="n">
        <f aca="false">IF(A1371&lt;&gt;A1370,1,0)</f>
        <v>1</v>
      </c>
    </row>
    <row r="1372" customFormat="false" ht="15" hidden="false" customHeight="false" outlineLevel="0" collapsed="false">
      <c r="A1372" s="2" t="s">
        <v>1397</v>
      </c>
      <c r="B1372" s="13" t="n">
        <v>46283</v>
      </c>
      <c r="C1372" s="2" t="s">
        <v>89</v>
      </c>
      <c r="D1372" s="2" t="n">
        <v>1</v>
      </c>
      <c r="E1372" s="15" t="n">
        <v>0.728472222222222</v>
      </c>
      <c r="F1372" s="7" t="n">
        <v>14000</v>
      </c>
      <c r="G1372" s="7" t="n">
        <f aca="false">D1372*F1372</f>
        <v>14000</v>
      </c>
      <c r="H1372" s="2" t="str">
        <f aca="false">INDEX(Daftar_Menu!$B$2:$B$13,MATCH(C1372,Daftar_Menu!$A$2:$A$13,0))</f>
        <v>Makanan</v>
      </c>
      <c r="I1372" s="2" t="str">
        <f aca="false">CHOOSE(WEEKDAY(B1372,2),"Senin","Selasa","Rabu","Kamis","Jumat","Sabtu","Minggu")</f>
        <v>Jumat</v>
      </c>
      <c r="J1372" s="2" t="n">
        <f aca="false">HOUR(E1372)</f>
        <v>17</v>
      </c>
      <c r="K1372" s="2" t="str">
        <f aca="false">IF(J1372&lt;11,"Pagi",IF(J1372&lt;17,"Siang","Malam"))</f>
        <v>Malam</v>
      </c>
      <c r="L1372" s="2" t="n">
        <f aca="false">IF(A1372&lt;&gt;A1371,1,0)</f>
        <v>1</v>
      </c>
    </row>
    <row r="1373" customFormat="false" ht="15" hidden="false" customHeight="false" outlineLevel="0" collapsed="false">
      <c r="A1373" s="2" t="s">
        <v>1397</v>
      </c>
      <c r="B1373" s="13" t="n">
        <v>46283</v>
      </c>
      <c r="C1373" s="2" t="s">
        <v>132</v>
      </c>
      <c r="D1373" s="2" t="n">
        <v>1</v>
      </c>
      <c r="E1373" s="15" t="n">
        <v>0.728472222222222</v>
      </c>
      <c r="F1373" s="7" t="n">
        <v>15000</v>
      </c>
      <c r="G1373" s="7" t="n">
        <f aca="false">D1373*F1373</f>
        <v>15000</v>
      </c>
      <c r="H1373" s="2" t="str">
        <f aca="false">INDEX(Daftar_Menu!$B$2:$B$13,MATCH(C1373,Daftar_Menu!$A$2:$A$13,0))</f>
        <v>Makanan</v>
      </c>
      <c r="I1373" s="2" t="str">
        <f aca="false">CHOOSE(WEEKDAY(B1373,2),"Senin","Selasa","Rabu","Kamis","Jumat","Sabtu","Minggu")</f>
        <v>Jumat</v>
      </c>
      <c r="J1373" s="2" t="n">
        <f aca="false">HOUR(E1373)</f>
        <v>17</v>
      </c>
      <c r="K1373" s="2" t="str">
        <f aca="false">IF(J1373&lt;11,"Pagi",IF(J1373&lt;17,"Siang","Malam"))</f>
        <v>Malam</v>
      </c>
      <c r="L1373" s="2" t="n">
        <f aca="false">IF(A1373&lt;&gt;A1372,1,0)</f>
        <v>0</v>
      </c>
    </row>
    <row r="1374" customFormat="false" ht="15" hidden="false" customHeight="false" outlineLevel="0" collapsed="false">
      <c r="A1374" s="2" t="s">
        <v>1398</v>
      </c>
      <c r="B1374" s="13" t="n">
        <v>46283</v>
      </c>
      <c r="C1374" s="2" t="s">
        <v>82</v>
      </c>
      <c r="D1374" s="2" t="n">
        <v>2</v>
      </c>
      <c r="E1374" s="15" t="n">
        <v>0.747222222222222</v>
      </c>
      <c r="F1374" s="7" t="n">
        <v>13000</v>
      </c>
      <c r="G1374" s="7" t="n">
        <f aca="false">D1374*F1374</f>
        <v>26000</v>
      </c>
      <c r="H1374" s="2" t="str">
        <f aca="false">INDEX(Daftar_Menu!$B$2:$B$13,MATCH(C1374,Daftar_Menu!$A$2:$A$13,0))</f>
        <v>Makanan</v>
      </c>
      <c r="I1374" s="2" t="str">
        <f aca="false">CHOOSE(WEEKDAY(B1374,2),"Senin","Selasa","Rabu","Kamis","Jumat","Sabtu","Minggu")</f>
        <v>Jumat</v>
      </c>
      <c r="J1374" s="2" t="n">
        <f aca="false">HOUR(E1374)</f>
        <v>17</v>
      </c>
      <c r="K1374" s="2" t="str">
        <f aca="false">IF(J1374&lt;11,"Pagi",IF(J1374&lt;17,"Siang","Malam"))</f>
        <v>Malam</v>
      </c>
      <c r="L1374" s="2" t="n">
        <f aca="false">IF(A1374&lt;&gt;A1373,1,0)</f>
        <v>1</v>
      </c>
    </row>
    <row r="1375" customFormat="false" ht="15" hidden="false" customHeight="false" outlineLevel="0" collapsed="false">
      <c r="A1375" s="2" t="s">
        <v>1400</v>
      </c>
      <c r="B1375" s="13" t="n">
        <v>46283</v>
      </c>
      <c r="C1375" s="2" t="s">
        <v>186</v>
      </c>
      <c r="D1375" s="2" t="n">
        <v>1</v>
      </c>
      <c r="E1375" s="15" t="n">
        <v>0.750694444444444</v>
      </c>
      <c r="F1375" s="7" t="n">
        <v>7000</v>
      </c>
      <c r="G1375" s="7" t="n">
        <f aca="false">D1375*F1375</f>
        <v>7000</v>
      </c>
      <c r="H1375" s="2" t="str">
        <f aca="false">INDEX(Daftar_Menu!$B$2:$B$13,MATCH(C1375,Daftar_Menu!$A$2:$A$13,0))</f>
        <v>Minuman</v>
      </c>
      <c r="I1375" s="2" t="str">
        <f aca="false">CHOOSE(WEEKDAY(B1375,2),"Senin","Selasa","Rabu","Kamis","Jumat","Sabtu","Minggu")</f>
        <v>Jumat</v>
      </c>
      <c r="J1375" s="2" t="n">
        <f aca="false">HOUR(E1375)</f>
        <v>18</v>
      </c>
      <c r="K1375" s="2" t="str">
        <f aca="false">IF(J1375&lt;11,"Pagi",IF(J1375&lt;17,"Siang","Malam"))</f>
        <v>Malam</v>
      </c>
      <c r="L1375" s="2" t="n">
        <f aca="false">IF(A1375&lt;&gt;A1374,1,0)</f>
        <v>1</v>
      </c>
    </row>
    <row r="1376" customFormat="false" ht="15" hidden="false" customHeight="false" outlineLevel="0" collapsed="false">
      <c r="A1376" s="2" t="s">
        <v>1401</v>
      </c>
      <c r="B1376" s="13" t="n">
        <v>46283</v>
      </c>
      <c r="C1376" s="2" t="s">
        <v>112</v>
      </c>
      <c r="D1376" s="2" t="n">
        <v>1</v>
      </c>
      <c r="E1376" s="15" t="n">
        <v>0.757638888888889</v>
      </c>
      <c r="F1376" s="7" t="n">
        <v>10000</v>
      </c>
      <c r="G1376" s="7" t="n">
        <f aca="false">D1376*F1376</f>
        <v>10000</v>
      </c>
      <c r="H1376" s="2" t="str">
        <f aca="false">INDEX(Daftar_Menu!$B$2:$B$13,MATCH(C1376,Daftar_Menu!$A$2:$A$13,0))</f>
        <v>Minuman</v>
      </c>
      <c r="I1376" s="2" t="str">
        <f aca="false">CHOOSE(WEEKDAY(B1376,2),"Senin","Selasa","Rabu","Kamis","Jumat","Sabtu","Minggu")</f>
        <v>Jumat</v>
      </c>
      <c r="J1376" s="2" t="n">
        <f aca="false">HOUR(E1376)</f>
        <v>18</v>
      </c>
      <c r="K1376" s="2" t="str">
        <f aca="false">IF(J1376&lt;11,"Pagi",IF(J1376&lt;17,"Siang","Malam"))</f>
        <v>Malam</v>
      </c>
      <c r="L1376" s="2" t="n">
        <f aca="false">IF(A1376&lt;&gt;A1375,1,0)</f>
        <v>1</v>
      </c>
    </row>
    <row r="1377" customFormat="false" ht="15" hidden="false" customHeight="false" outlineLevel="0" collapsed="false">
      <c r="A1377" s="2" t="s">
        <v>1402</v>
      </c>
      <c r="B1377" s="13" t="n">
        <v>46283</v>
      </c>
      <c r="C1377" s="2" t="s">
        <v>186</v>
      </c>
      <c r="D1377" s="2" t="n">
        <v>1</v>
      </c>
      <c r="E1377" s="15" t="n">
        <v>0.772916666666667</v>
      </c>
      <c r="F1377" s="7" t="n">
        <v>7000</v>
      </c>
      <c r="G1377" s="7" t="n">
        <f aca="false">D1377*F1377</f>
        <v>7000</v>
      </c>
      <c r="H1377" s="2" t="str">
        <f aca="false">INDEX(Daftar_Menu!$B$2:$B$13,MATCH(C1377,Daftar_Menu!$A$2:$A$13,0))</f>
        <v>Minuman</v>
      </c>
      <c r="I1377" s="2" t="str">
        <f aca="false">CHOOSE(WEEKDAY(B1377,2),"Senin","Selasa","Rabu","Kamis","Jumat","Sabtu","Minggu")</f>
        <v>Jumat</v>
      </c>
      <c r="J1377" s="2" t="n">
        <f aca="false">HOUR(E1377)</f>
        <v>18</v>
      </c>
      <c r="K1377" s="2" t="str">
        <f aca="false">IF(J1377&lt;11,"Pagi",IF(J1377&lt;17,"Siang","Malam"))</f>
        <v>Malam</v>
      </c>
      <c r="L1377" s="2" t="n">
        <f aca="false">IF(A1377&lt;&gt;A1376,1,0)</f>
        <v>1</v>
      </c>
    </row>
    <row r="1378" customFormat="false" ht="15" hidden="false" customHeight="false" outlineLevel="0" collapsed="false">
      <c r="A1378" s="2" t="s">
        <v>1402</v>
      </c>
      <c r="B1378" s="13" t="n">
        <v>46283</v>
      </c>
      <c r="C1378" s="2" t="s">
        <v>101</v>
      </c>
      <c r="D1378" s="2" t="n">
        <v>1</v>
      </c>
      <c r="E1378" s="15" t="n">
        <v>0.772916666666667</v>
      </c>
      <c r="F1378" s="7" t="n">
        <v>18000</v>
      </c>
      <c r="G1378" s="7" t="n">
        <f aca="false">D1378*F1378</f>
        <v>18000</v>
      </c>
      <c r="H1378" s="2" t="str">
        <f aca="false">INDEX(Daftar_Menu!$B$2:$B$13,MATCH(C1378,Daftar_Menu!$A$2:$A$13,0))</f>
        <v>Makanan</v>
      </c>
      <c r="I1378" s="2" t="str">
        <f aca="false">CHOOSE(WEEKDAY(B1378,2),"Senin","Selasa","Rabu","Kamis","Jumat","Sabtu","Minggu")</f>
        <v>Jumat</v>
      </c>
      <c r="J1378" s="2" t="n">
        <f aca="false">HOUR(E1378)</f>
        <v>18</v>
      </c>
      <c r="K1378" s="2" t="str">
        <f aca="false">IF(J1378&lt;11,"Pagi",IF(J1378&lt;17,"Siang","Malam"))</f>
        <v>Malam</v>
      </c>
      <c r="L1378" s="2" t="n">
        <f aca="false">IF(A1378&lt;&gt;A1377,1,0)</f>
        <v>0</v>
      </c>
    </row>
    <row r="1379" customFormat="false" ht="15" hidden="false" customHeight="false" outlineLevel="0" collapsed="false">
      <c r="A1379" s="2" t="s">
        <v>1404</v>
      </c>
      <c r="B1379" s="13" t="n">
        <v>46283</v>
      </c>
      <c r="C1379" s="2" t="s">
        <v>132</v>
      </c>
      <c r="D1379" s="2" t="n">
        <v>1</v>
      </c>
      <c r="E1379" s="15" t="n">
        <v>0.773611111111111</v>
      </c>
      <c r="F1379" s="7" t="n">
        <v>15000</v>
      </c>
      <c r="G1379" s="7" t="n">
        <f aca="false">D1379*F1379</f>
        <v>15000</v>
      </c>
      <c r="H1379" s="2" t="str">
        <f aca="false">INDEX(Daftar_Menu!$B$2:$B$13,MATCH(C1379,Daftar_Menu!$A$2:$A$13,0))</f>
        <v>Makanan</v>
      </c>
      <c r="I1379" s="2" t="str">
        <f aca="false">CHOOSE(WEEKDAY(B1379,2),"Senin","Selasa","Rabu","Kamis","Jumat","Sabtu","Minggu")</f>
        <v>Jumat</v>
      </c>
      <c r="J1379" s="2" t="n">
        <f aca="false">HOUR(E1379)</f>
        <v>18</v>
      </c>
      <c r="K1379" s="2" t="str">
        <f aca="false">IF(J1379&lt;11,"Pagi",IF(J1379&lt;17,"Siang","Malam"))</f>
        <v>Malam</v>
      </c>
      <c r="L1379" s="2" t="n">
        <f aca="false">IF(A1379&lt;&gt;A1378,1,0)</f>
        <v>1</v>
      </c>
    </row>
    <row r="1380" customFormat="false" ht="15" hidden="false" customHeight="false" outlineLevel="0" collapsed="false">
      <c r="A1380" s="2" t="s">
        <v>1404</v>
      </c>
      <c r="B1380" s="13" t="n">
        <v>46283</v>
      </c>
      <c r="C1380" s="2" t="s">
        <v>89</v>
      </c>
      <c r="D1380" s="2" t="n">
        <v>1</v>
      </c>
      <c r="E1380" s="15" t="n">
        <v>0.773611111111111</v>
      </c>
      <c r="F1380" s="7" t="n">
        <v>14000</v>
      </c>
      <c r="G1380" s="7" t="n">
        <f aca="false">D1380*F1380</f>
        <v>14000</v>
      </c>
      <c r="H1380" s="2" t="str">
        <f aca="false">INDEX(Daftar_Menu!$B$2:$B$13,MATCH(C1380,Daftar_Menu!$A$2:$A$13,0))</f>
        <v>Makanan</v>
      </c>
      <c r="I1380" s="2" t="str">
        <f aca="false">CHOOSE(WEEKDAY(B1380,2),"Senin","Selasa","Rabu","Kamis","Jumat","Sabtu","Minggu")</f>
        <v>Jumat</v>
      </c>
      <c r="J1380" s="2" t="n">
        <f aca="false">HOUR(E1380)</f>
        <v>18</v>
      </c>
      <c r="K1380" s="2" t="str">
        <f aca="false">IF(J1380&lt;11,"Pagi",IF(J1380&lt;17,"Siang","Malam"))</f>
        <v>Malam</v>
      </c>
      <c r="L1380" s="2" t="n">
        <f aca="false">IF(A1380&lt;&gt;A1379,1,0)</f>
        <v>0</v>
      </c>
    </row>
    <row r="1381" customFormat="false" ht="15" hidden="false" customHeight="false" outlineLevel="0" collapsed="false">
      <c r="A1381" s="2" t="s">
        <v>1404</v>
      </c>
      <c r="B1381" s="13" t="n">
        <v>46283</v>
      </c>
      <c r="C1381" s="2" t="s">
        <v>108</v>
      </c>
      <c r="D1381" s="2" t="n">
        <v>1</v>
      </c>
      <c r="E1381" s="15" t="n">
        <v>0.773611111111111</v>
      </c>
      <c r="F1381" s="7" t="n">
        <v>20000</v>
      </c>
      <c r="G1381" s="7" t="n">
        <f aca="false">D1381*F1381</f>
        <v>20000</v>
      </c>
      <c r="H1381" s="2" t="str">
        <f aca="false">INDEX(Daftar_Menu!$B$2:$B$13,MATCH(C1381,Daftar_Menu!$A$2:$A$13,0))</f>
        <v>Makanan</v>
      </c>
      <c r="I1381" s="2" t="str">
        <f aca="false">CHOOSE(WEEKDAY(B1381,2),"Senin","Selasa","Rabu","Kamis","Jumat","Sabtu","Minggu")</f>
        <v>Jumat</v>
      </c>
      <c r="J1381" s="2" t="n">
        <f aca="false">HOUR(E1381)</f>
        <v>18</v>
      </c>
      <c r="K1381" s="2" t="str">
        <f aca="false">IF(J1381&lt;11,"Pagi",IF(J1381&lt;17,"Siang","Malam"))</f>
        <v>Malam</v>
      </c>
      <c r="L1381" s="2" t="n">
        <f aca="false">IF(A1381&lt;&gt;A1380,1,0)</f>
        <v>0</v>
      </c>
    </row>
    <row r="1382" customFormat="false" ht="15" hidden="false" customHeight="false" outlineLevel="0" collapsed="false">
      <c r="A1382" s="2" t="s">
        <v>1405</v>
      </c>
      <c r="B1382" s="13" t="n">
        <v>46283</v>
      </c>
      <c r="C1382" s="2" t="s">
        <v>101</v>
      </c>
      <c r="D1382" s="2" t="n">
        <v>1</v>
      </c>
      <c r="E1382" s="15" t="n">
        <v>0.774305555555556</v>
      </c>
      <c r="F1382" s="7" t="n">
        <v>18000</v>
      </c>
      <c r="G1382" s="7" t="n">
        <f aca="false">D1382*F1382</f>
        <v>18000</v>
      </c>
      <c r="H1382" s="2" t="str">
        <f aca="false">INDEX(Daftar_Menu!$B$2:$B$13,MATCH(C1382,Daftar_Menu!$A$2:$A$13,0))</f>
        <v>Makanan</v>
      </c>
      <c r="I1382" s="2" t="str">
        <f aca="false">CHOOSE(WEEKDAY(B1382,2),"Senin","Selasa","Rabu","Kamis","Jumat","Sabtu","Minggu")</f>
        <v>Jumat</v>
      </c>
      <c r="J1382" s="2" t="n">
        <f aca="false">HOUR(E1382)</f>
        <v>18</v>
      </c>
      <c r="K1382" s="2" t="str">
        <f aca="false">IF(J1382&lt;11,"Pagi",IF(J1382&lt;17,"Siang","Malam"))</f>
        <v>Malam</v>
      </c>
      <c r="L1382" s="2" t="n">
        <f aca="false">IF(A1382&lt;&gt;A1381,1,0)</f>
        <v>1</v>
      </c>
    </row>
    <row r="1383" customFormat="false" ht="15" hidden="false" customHeight="false" outlineLevel="0" collapsed="false">
      <c r="A1383" s="2" t="s">
        <v>1407</v>
      </c>
      <c r="B1383" s="13" t="n">
        <v>46283</v>
      </c>
      <c r="C1383" s="2" t="s">
        <v>84</v>
      </c>
      <c r="D1383" s="2" t="n">
        <v>2</v>
      </c>
      <c r="E1383" s="15" t="n">
        <v>0.778472222222222</v>
      </c>
      <c r="F1383" s="7" t="n">
        <v>5000</v>
      </c>
      <c r="G1383" s="7" t="n">
        <f aca="false">D1383*F1383</f>
        <v>10000</v>
      </c>
      <c r="H1383" s="2" t="str">
        <f aca="false">INDEX(Daftar_Menu!$B$2:$B$13,MATCH(C1383,Daftar_Menu!$A$2:$A$13,0))</f>
        <v>Minuman</v>
      </c>
      <c r="I1383" s="2" t="str">
        <f aca="false">CHOOSE(WEEKDAY(B1383,2),"Senin","Selasa","Rabu","Kamis","Jumat","Sabtu","Minggu")</f>
        <v>Jumat</v>
      </c>
      <c r="J1383" s="2" t="n">
        <f aca="false">HOUR(E1383)</f>
        <v>18</v>
      </c>
      <c r="K1383" s="2" t="str">
        <f aca="false">IF(J1383&lt;11,"Pagi",IF(J1383&lt;17,"Siang","Malam"))</f>
        <v>Malam</v>
      </c>
      <c r="L1383" s="2" t="n">
        <f aca="false">IF(A1383&lt;&gt;A1382,1,0)</f>
        <v>1</v>
      </c>
    </row>
    <row r="1384" customFormat="false" ht="15" hidden="false" customHeight="false" outlineLevel="0" collapsed="false">
      <c r="A1384" s="2" t="s">
        <v>1407</v>
      </c>
      <c r="B1384" s="13" t="n">
        <v>46283</v>
      </c>
      <c r="C1384" s="2" t="s">
        <v>112</v>
      </c>
      <c r="D1384" s="2" t="n">
        <v>1</v>
      </c>
      <c r="E1384" s="15" t="n">
        <v>0.778472222222222</v>
      </c>
      <c r="F1384" s="7" t="n">
        <v>10000</v>
      </c>
      <c r="G1384" s="7" t="n">
        <f aca="false">D1384*F1384</f>
        <v>10000</v>
      </c>
      <c r="H1384" s="2" t="str">
        <f aca="false">INDEX(Daftar_Menu!$B$2:$B$13,MATCH(C1384,Daftar_Menu!$A$2:$A$13,0))</f>
        <v>Minuman</v>
      </c>
      <c r="I1384" s="2" t="str">
        <f aca="false">CHOOSE(WEEKDAY(B1384,2),"Senin","Selasa","Rabu","Kamis","Jumat","Sabtu","Minggu")</f>
        <v>Jumat</v>
      </c>
      <c r="J1384" s="2" t="n">
        <f aca="false">HOUR(E1384)</f>
        <v>18</v>
      </c>
      <c r="K1384" s="2" t="str">
        <f aca="false">IF(J1384&lt;11,"Pagi",IF(J1384&lt;17,"Siang","Malam"))</f>
        <v>Malam</v>
      </c>
      <c r="L1384" s="2" t="n">
        <f aca="false">IF(A1384&lt;&gt;A1383,1,0)</f>
        <v>0</v>
      </c>
    </row>
    <row r="1385" customFormat="false" ht="15" hidden="false" customHeight="false" outlineLevel="0" collapsed="false">
      <c r="A1385" s="2" t="s">
        <v>1408</v>
      </c>
      <c r="B1385" s="13" t="n">
        <v>46283</v>
      </c>
      <c r="C1385" s="2" t="s">
        <v>101</v>
      </c>
      <c r="D1385" s="2" t="n">
        <v>1</v>
      </c>
      <c r="E1385" s="15" t="n">
        <v>0.778472222222222</v>
      </c>
      <c r="F1385" s="7" t="n">
        <v>18000</v>
      </c>
      <c r="G1385" s="7" t="n">
        <f aca="false">D1385*F1385</f>
        <v>18000</v>
      </c>
      <c r="H1385" s="2" t="str">
        <f aca="false">INDEX(Daftar_Menu!$B$2:$B$13,MATCH(C1385,Daftar_Menu!$A$2:$A$13,0))</f>
        <v>Makanan</v>
      </c>
      <c r="I1385" s="2" t="str">
        <f aca="false">CHOOSE(WEEKDAY(B1385,2),"Senin","Selasa","Rabu","Kamis","Jumat","Sabtu","Minggu")</f>
        <v>Jumat</v>
      </c>
      <c r="J1385" s="2" t="n">
        <f aca="false">HOUR(E1385)</f>
        <v>18</v>
      </c>
      <c r="K1385" s="2" t="str">
        <f aca="false">IF(J1385&lt;11,"Pagi",IF(J1385&lt;17,"Siang","Malam"))</f>
        <v>Malam</v>
      </c>
      <c r="L1385" s="2" t="n">
        <f aca="false">IF(A1385&lt;&gt;A1384,1,0)</f>
        <v>1</v>
      </c>
    </row>
    <row r="1386" customFormat="false" ht="15" hidden="false" customHeight="false" outlineLevel="0" collapsed="false">
      <c r="A1386" s="2" t="s">
        <v>1408</v>
      </c>
      <c r="B1386" s="13" t="n">
        <v>46283</v>
      </c>
      <c r="C1386" s="2" t="s">
        <v>81</v>
      </c>
      <c r="D1386" s="2" t="n">
        <v>1</v>
      </c>
      <c r="E1386" s="15" t="n">
        <v>0.778472222222222</v>
      </c>
      <c r="F1386" s="7" t="n">
        <v>15000</v>
      </c>
      <c r="G1386" s="7" t="n">
        <f aca="false">D1386*F1386</f>
        <v>15000</v>
      </c>
      <c r="H1386" s="2" t="str">
        <f aca="false">INDEX(Daftar_Menu!$B$2:$B$13,MATCH(C1386,Daftar_Menu!$A$2:$A$13,0))</f>
        <v>Makanan</v>
      </c>
      <c r="I1386" s="2" t="str">
        <f aca="false">CHOOSE(WEEKDAY(B1386,2),"Senin","Selasa","Rabu","Kamis","Jumat","Sabtu","Minggu")</f>
        <v>Jumat</v>
      </c>
      <c r="J1386" s="2" t="n">
        <f aca="false">HOUR(E1386)</f>
        <v>18</v>
      </c>
      <c r="K1386" s="2" t="str">
        <f aca="false">IF(J1386&lt;11,"Pagi",IF(J1386&lt;17,"Siang","Malam"))</f>
        <v>Malam</v>
      </c>
      <c r="L1386" s="2" t="n">
        <f aca="false">IF(A1386&lt;&gt;A1385,1,0)</f>
        <v>0</v>
      </c>
    </row>
    <row r="1387" customFormat="false" ht="15" hidden="false" customHeight="false" outlineLevel="0" collapsed="false">
      <c r="A1387" s="2" t="s">
        <v>1409</v>
      </c>
      <c r="B1387" s="13" t="n">
        <v>46283</v>
      </c>
      <c r="C1387" s="2" t="s">
        <v>108</v>
      </c>
      <c r="D1387" s="2" t="n">
        <v>1</v>
      </c>
      <c r="E1387" s="15" t="n">
        <v>0.78125</v>
      </c>
      <c r="F1387" s="7" t="n">
        <v>20000</v>
      </c>
      <c r="G1387" s="7" t="n">
        <f aca="false">D1387*F1387</f>
        <v>20000</v>
      </c>
      <c r="H1387" s="2" t="str">
        <f aca="false">INDEX(Daftar_Menu!$B$2:$B$13,MATCH(C1387,Daftar_Menu!$A$2:$A$13,0))</f>
        <v>Makanan</v>
      </c>
      <c r="I1387" s="2" t="str">
        <f aca="false">CHOOSE(WEEKDAY(B1387,2),"Senin","Selasa","Rabu","Kamis","Jumat","Sabtu","Minggu")</f>
        <v>Jumat</v>
      </c>
      <c r="J1387" s="2" t="n">
        <f aca="false">HOUR(E1387)</f>
        <v>18</v>
      </c>
      <c r="K1387" s="2" t="str">
        <f aca="false">IF(J1387&lt;11,"Pagi",IF(J1387&lt;17,"Siang","Malam"))</f>
        <v>Malam</v>
      </c>
      <c r="L1387" s="2" t="n">
        <f aca="false">IF(A1387&lt;&gt;A1386,1,0)</f>
        <v>1</v>
      </c>
    </row>
    <row r="1388" customFormat="false" ht="15" hidden="false" customHeight="false" outlineLevel="0" collapsed="false">
      <c r="A1388" s="2" t="s">
        <v>1411</v>
      </c>
      <c r="B1388" s="13" t="n">
        <v>46283</v>
      </c>
      <c r="C1388" s="2" t="s">
        <v>186</v>
      </c>
      <c r="D1388" s="2" t="n">
        <v>3</v>
      </c>
      <c r="E1388" s="15" t="n">
        <v>0.7875</v>
      </c>
      <c r="F1388" s="7" t="n">
        <v>7000</v>
      </c>
      <c r="G1388" s="7" t="n">
        <f aca="false">D1388*F1388</f>
        <v>21000</v>
      </c>
      <c r="H1388" s="2" t="str">
        <f aca="false">INDEX(Daftar_Menu!$B$2:$B$13,MATCH(C1388,Daftar_Menu!$A$2:$A$13,0))</f>
        <v>Minuman</v>
      </c>
      <c r="I1388" s="2" t="str">
        <f aca="false">CHOOSE(WEEKDAY(B1388,2),"Senin","Selasa","Rabu","Kamis","Jumat","Sabtu","Minggu")</f>
        <v>Jumat</v>
      </c>
      <c r="J1388" s="2" t="n">
        <f aca="false">HOUR(E1388)</f>
        <v>18</v>
      </c>
      <c r="K1388" s="2" t="str">
        <f aca="false">IF(J1388&lt;11,"Pagi",IF(J1388&lt;17,"Siang","Malam"))</f>
        <v>Malam</v>
      </c>
      <c r="L1388" s="2" t="n">
        <f aca="false">IF(A1388&lt;&gt;A1387,1,0)</f>
        <v>1</v>
      </c>
    </row>
    <row r="1389" customFormat="false" ht="15" hidden="false" customHeight="false" outlineLevel="0" collapsed="false">
      <c r="A1389" s="2" t="s">
        <v>1412</v>
      </c>
      <c r="B1389" s="13" t="n">
        <v>46283</v>
      </c>
      <c r="C1389" s="2" t="s">
        <v>101</v>
      </c>
      <c r="D1389" s="2" t="n">
        <v>1</v>
      </c>
      <c r="E1389" s="15" t="n">
        <v>0.793055555555556</v>
      </c>
      <c r="F1389" s="7" t="n">
        <v>18000</v>
      </c>
      <c r="G1389" s="7" t="n">
        <f aca="false">D1389*F1389</f>
        <v>18000</v>
      </c>
      <c r="H1389" s="2" t="str">
        <f aca="false">INDEX(Daftar_Menu!$B$2:$B$13,MATCH(C1389,Daftar_Menu!$A$2:$A$13,0))</f>
        <v>Makanan</v>
      </c>
      <c r="I1389" s="2" t="str">
        <f aca="false">CHOOSE(WEEKDAY(B1389,2),"Senin","Selasa","Rabu","Kamis","Jumat","Sabtu","Minggu")</f>
        <v>Jumat</v>
      </c>
      <c r="J1389" s="2" t="n">
        <f aca="false">HOUR(E1389)</f>
        <v>19</v>
      </c>
      <c r="K1389" s="2" t="str">
        <f aca="false">IF(J1389&lt;11,"Pagi",IF(J1389&lt;17,"Siang","Malam"))</f>
        <v>Malam</v>
      </c>
      <c r="L1389" s="2" t="n">
        <f aca="false">IF(A1389&lt;&gt;A1388,1,0)</f>
        <v>1</v>
      </c>
    </row>
    <row r="1390" customFormat="false" ht="15" hidden="false" customHeight="false" outlineLevel="0" collapsed="false">
      <c r="A1390" s="2" t="s">
        <v>1412</v>
      </c>
      <c r="B1390" s="13" t="n">
        <v>46283</v>
      </c>
      <c r="C1390" s="2" t="s">
        <v>132</v>
      </c>
      <c r="D1390" s="2" t="n">
        <v>2</v>
      </c>
      <c r="E1390" s="15" t="n">
        <v>0.793055555555556</v>
      </c>
      <c r="F1390" s="7" t="n">
        <v>15000</v>
      </c>
      <c r="G1390" s="7" t="n">
        <f aca="false">D1390*F1390</f>
        <v>30000</v>
      </c>
      <c r="H1390" s="2" t="str">
        <f aca="false">INDEX(Daftar_Menu!$B$2:$B$13,MATCH(C1390,Daftar_Menu!$A$2:$A$13,0))</f>
        <v>Makanan</v>
      </c>
      <c r="I1390" s="2" t="str">
        <f aca="false">CHOOSE(WEEKDAY(B1390,2),"Senin","Selasa","Rabu","Kamis","Jumat","Sabtu","Minggu")</f>
        <v>Jumat</v>
      </c>
      <c r="J1390" s="2" t="n">
        <f aca="false">HOUR(E1390)</f>
        <v>19</v>
      </c>
      <c r="K1390" s="2" t="str">
        <f aca="false">IF(J1390&lt;11,"Pagi",IF(J1390&lt;17,"Siang","Malam"))</f>
        <v>Malam</v>
      </c>
      <c r="L1390" s="2" t="n">
        <f aca="false">IF(A1390&lt;&gt;A1389,1,0)</f>
        <v>0</v>
      </c>
    </row>
    <row r="1391" customFormat="false" ht="15" hidden="false" customHeight="false" outlineLevel="0" collapsed="false">
      <c r="A1391" s="2" t="s">
        <v>1414</v>
      </c>
      <c r="B1391" s="13" t="n">
        <v>46283</v>
      </c>
      <c r="C1391" s="2" t="s">
        <v>84</v>
      </c>
      <c r="D1391" s="2" t="n">
        <v>3</v>
      </c>
      <c r="E1391" s="15" t="n">
        <v>0.795138888888889</v>
      </c>
      <c r="F1391" s="7" t="n">
        <v>5000</v>
      </c>
      <c r="G1391" s="7" t="n">
        <f aca="false">D1391*F1391</f>
        <v>15000</v>
      </c>
      <c r="H1391" s="2" t="str">
        <f aca="false">INDEX(Daftar_Menu!$B$2:$B$13,MATCH(C1391,Daftar_Menu!$A$2:$A$13,0))</f>
        <v>Minuman</v>
      </c>
      <c r="I1391" s="2" t="str">
        <f aca="false">CHOOSE(WEEKDAY(B1391,2),"Senin","Selasa","Rabu","Kamis","Jumat","Sabtu","Minggu")</f>
        <v>Jumat</v>
      </c>
      <c r="J1391" s="2" t="n">
        <f aca="false">HOUR(E1391)</f>
        <v>19</v>
      </c>
      <c r="K1391" s="2" t="str">
        <f aca="false">IF(J1391&lt;11,"Pagi",IF(J1391&lt;17,"Siang","Malam"))</f>
        <v>Malam</v>
      </c>
      <c r="L1391" s="2" t="n">
        <f aca="false">IF(A1391&lt;&gt;A1390,1,0)</f>
        <v>1</v>
      </c>
    </row>
    <row r="1392" customFormat="false" ht="15" hidden="false" customHeight="false" outlineLevel="0" collapsed="false">
      <c r="A1392" s="2" t="s">
        <v>1415</v>
      </c>
      <c r="B1392" s="13" t="n">
        <v>46283</v>
      </c>
      <c r="C1392" s="2" t="s">
        <v>186</v>
      </c>
      <c r="D1392" s="2" t="n">
        <v>1</v>
      </c>
      <c r="E1392" s="15" t="n">
        <v>0.796527777777778</v>
      </c>
      <c r="F1392" s="7" t="n">
        <v>7000</v>
      </c>
      <c r="G1392" s="7" t="n">
        <f aca="false">D1392*F1392</f>
        <v>7000</v>
      </c>
      <c r="H1392" s="2" t="str">
        <f aca="false">INDEX(Daftar_Menu!$B$2:$B$13,MATCH(C1392,Daftar_Menu!$A$2:$A$13,0))</f>
        <v>Minuman</v>
      </c>
      <c r="I1392" s="2" t="str">
        <f aca="false">CHOOSE(WEEKDAY(B1392,2),"Senin","Selasa","Rabu","Kamis","Jumat","Sabtu","Minggu")</f>
        <v>Jumat</v>
      </c>
      <c r="J1392" s="2" t="n">
        <f aca="false">HOUR(E1392)</f>
        <v>19</v>
      </c>
      <c r="K1392" s="2" t="str">
        <f aca="false">IF(J1392&lt;11,"Pagi",IF(J1392&lt;17,"Siang","Malam"))</f>
        <v>Malam</v>
      </c>
      <c r="L1392" s="2" t="n">
        <f aca="false">IF(A1392&lt;&gt;A1391,1,0)</f>
        <v>1</v>
      </c>
    </row>
    <row r="1393" customFormat="false" ht="15" hidden="false" customHeight="false" outlineLevel="0" collapsed="false">
      <c r="A1393" s="2" t="s">
        <v>1415</v>
      </c>
      <c r="B1393" s="13" t="n">
        <v>46283</v>
      </c>
      <c r="C1393" s="2" t="s">
        <v>132</v>
      </c>
      <c r="D1393" s="2" t="n">
        <v>1</v>
      </c>
      <c r="E1393" s="15" t="n">
        <v>0.796527777777778</v>
      </c>
      <c r="F1393" s="7" t="n">
        <v>15000</v>
      </c>
      <c r="G1393" s="7" t="n">
        <f aca="false">D1393*F1393</f>
        <v>15000</v>
      </c>
      <c r="H1393" s="2" t="str">
        <f aca="false">INDEX(Daftar_Menu!$B$2:$B$13,MATCH(C1393,Daftar_Menu!$A$2:$A$13,0))</f>
        <v>Makanan</v>
      </c>
      <c r="I1393" s="2" t="str">
        <f aca="false">CHOOSE(WEEKDAY(B1393,2),"Senin","Selasa","Rabu","Kamis","Jumat","Sabtu","Minggu")</f>
        <v>Jumat</v>
      </c>
      <c r="J1393" s="2" t="n">
        <f aca="false">HOUR(E1393)</f>
        <v>19</v>
      </c>
      <c r="K1393" s="2" t="str">
        <f aca="false">IF(J1393&lt;11,"Pagi",IF(J1393&lt;17,"Siang","Malam"))</f>
        <v>Malam</v>
      </c>
      <c r="L1393" s="2" t="n">
        <f aca="false">IF(A1393&lt;&gt;A1392,1,0)</f>
        <v>0</v>
      </c>
    </row>
    <row r="1394" customFormat="false" ht="15" hidden="false" customHeight="false" outlineLevel="0" collapsed="false">
      <c r="A1394" s="2" t="s">
        <v>1417</v>
      </c>
      <c r="B1394" s="13" t="n">
        <v>46283</v>
      </c>
      <c r="C1394" s="2" t="s">
        <v>84</v>
      </c>
      <c r="D1394" s="2" t="n">
        <v>3</v>
      </c>
      <c r="E1394" s="15" t="n">
        <v>0.818055555555556</v>
      </c>
      <c r="F1394" s="7" t="n">
        <v>5000</v>
      </c>
      <c r="G1394" s="7" t="n">
        <f aca="false">D1394*F1394</f>
        <v>15000</v>
      </c>
      <c r="H1394" s="2" t="str">
        <f aca="false">INDEX(Daftar_Menu!$B$2:$B$13,MATCH(C1394,Daftar_Menu!$A$2:$A$13,0))</f>
        <v>Minuman</v>
      </c>
      <c r="I1394" s="2" t="str">
        <f aca="false">CHOOSE(WEEKDAY(B1394,2),"Senin","Selasa","Rabu","Kamis","Jumat","Sabtu","Minggu")</f>
        <v>Jumat</v>
      </c>
      <c r="J1394" s="2" t="n">
        <f aca="false">HOUR(E1394)</f>
        <v>19</v>
      </c>
      <c r="K1394" s="2" t="str">
        <f aca="false">IF(J1394&lt;11,"Pagi",IF(J1394&lt;17,"Siang","Malam"))</f>
        <v>Malam</v>
      </c>
      <c r="L1394" s="2" t="n">
        <f aca="false">IF(A1394&lt;&gt;A1393,1,0)</f>
        <v>1</v>
      </c>
    </row>
    <row r="1395" customFormat="false" ht="15" hidden="false" customHeight="false" outlineLevel="0" collapsed="false">
      <c r="A1395" s="2" t="s">
        <v>1419</v>
      </c>
      <c r="B1395" s="13" t="n">
        <v>46283</v>
      </c>
      <c r="C1395" s="2" t="s">
        <v>101</v>
      </c>
      <c r="D1395" s="2" t="n">
        <v>1</v>
      </c>
      <c r="E1395" s="15" t="n">
        <v>0.822222222222222</v>
      </c>
      <c r="F1395" s="7" t="n">
        <v>18000</v>
      </c>
      <c r="G1395" s="7" t="n">
        <f aca="false">D1395*F1395</f>
        <v>18000</v>
      </c>
      <c r="H1395" s="2" t="str">
        <f aca="false">INDEX(Daftar_Menu!$B$2:$B$13,MATCH(C1395,Daftar_Menu!$A$2:$A$13,0))</f>
        <v>Makanan</v>
      </c>
      <c r="I1395" s="2" t="str">
        <f aca="false">CHOOSE(WEEKDAY(B1395,2),"Senin","Selasa","Rabu","Kamis","Jumat","Sabtu","Minggu")</f>
        <v>Jumat</v>
      </c>
      <c r="J1395" s="2" t="n">
        <f aca="false">HOUR(E1395)</f>
        <v>19</v>
      </c>
      <c r="K1395" s="2" t="str">
        <f aca="false">IF(J1395&lt;11,"Pagi",IF(J1395&lt;17,"Siang","Malam"))</f>
        <v>Malam</v>
      </c>
      <c r="L1395" s="2" t="n">
        <f aca="false">IF(A1395&lt;&gt;A1394,1,0)</f>
        <v>1</v>
      </c>
    </row>
    <row r="1396" customFormat="false" ht="15" hidden="false" customHeight="false" outlineLevel="0" collapsed="false">
      <c r="A1396" s="2" t="s">
        <v>1420</v>
      </c>
      <c r="B1396" s="13" t="n">
        <v>46283</v>
      </c>
      <c r="C1396" s="2" t="s">
        <v>186</v>
      </c>
      <c r="D1396" s="2" t="n">
        <v>3</v>
      </c>
      <c r="E1396" s="15" t="n">
        <v>0.822222222222222</v>
      </c>
      <c r="F1396" s="7" t="n">
        <v>7000</v>
      </c>
      <c r="G1396" s="7" t="n">
        <f aca="false">D1396*F1396</f>
        <v>21000</v>
      </c>
      <c r="H1396" s="2" t="str">
        <f aca="false">INDEX(Daftar_Menu!$B$2:$B$13,MATCH(C1396,Daftar_Menu!$A$2:$A$13,0))</f>
        <v>Minuman</v>
      </c>
      <c r="I1396" s="2" t="str">
        <f aca="false">CHOOSE(WEEKDAY(B1396,2),"Senin","Selasa","Rabu","Kamis","Jumat","Sabtu","Minggu")</f>
        <v>Jumat</v>
      </c>
      <c r="J1396" s="2" t="n">
        <f aca="false">HOUR(E1396)</f>
        <v>19</v>
      </c>
      <c r="K1396" s="2" t="str">
        <f aca="false">IF(J1396&lt;11,"Pagi",IF(J1396&lt;17,"Siang","Malam"))</f>
        <v>Malam</v>
      </c>
      <c r="L1396" s="2" t="n">
        <f aca="false">IF(A1396&lt;&gt;A1395,1,0)</f>
        <v>1</v>
      </c>
    </row>
    <row r="1397" customFormat="false" ht="15" hidden="false" customHeight="false" outlineLevel="0" collapsed="false">
      <c r="A1397" s="2" t="s">
        <v>1421</v>
      </c>
      <c r="B1397" s="13" t="n">
        <v>46283</v>
      </c>
      <c r="C1397" s="2" t="s">
        <v>108</v>
      </c>
      <c r="D1397" s="2" t="n">
        <v>1</v>
      </c>
      <c r="E1397" s="15" t="n">
        <v>0.838888888888889</v>
      </c>
      <c r="F1397" s="7" t="n">
        <v>20000</v>
      </c>
      <c r="G1397" s="7" t="n">
        <f aca="false">D1397*F1397</f>
        <v>20000</v>
      </c>
      <c r="H1397" s="2" t="str">
        <f aca="false">INDEX(Daftar_Menu!$B$2:$B$13,MATCH(C1397,Daftar_Menu!$A$2:$A$13,0))</f>
        <v>Makanan</v>
      </c>
      <c r="I1397" s="2" t="str">
        <f aca="false">CHOOSE(WEEKDAY(B1397,2),"Senin","Selasa","Rabu","Kamis","Jumat","Sabtu","Minggu")</f>
        <v>Jumat</v>
      </c>
      <c r="J1397" s="2" t="n">
        <f aca="false">HOUR(E1397)</f>
        <v>20</v>
      </c>
      <c r="K1397" s="2" t="str">
        <f aca="false">IF(J1397&lt;11,"Pagi",IF(J1397&lt;17,"Siang","Malam"))</f>
        <v>Malam</v>
      </c>
      <c r="L1397" s="2" t="n">
        <f aca="false">IF(A1397&lt;&gt;A1396,1,0)</f>
        <v>1</v>
      </c>
    </row>
    <row r="1398" customFormat="false" ht="15" hidden="false" customHeight="false" outlineLevel="0" collapsed="false">
      <c r="A1398" s="2" t="s">
        <v>1421</v>
      </c>
      <c r="B1398" s="13" t="n">
        <v>46283</v>
      </c>
      <c r="C1398" s="2" t="s">
        <v>89</v>
      </c>
      <c r="D1398" s="2" t="n">
        <v>1</v>
      </c>
      <c r="E1398" s="15" t="n">
        <v>0.838888888888889</v>
      </c>
      <c r="F1398" s="7" t="n">
        <v>14000</v>
      </c>
      <c r="G1398" s="7" t="n">
        <f aca="false">D1398*F1398</f>
        <v>14000</v>
      </c>
      <c r="H1398" s="2" t="str">
        <f aca="false">INDEX(Daftar_Menu!$B$2:$B$13,MATCH(C1398,Daftar_Menu!$A$2:$A$13,0))</f>
        <v>Makanan</v>
      </c>
      <c r="I1398" s="2" t="str">
        <f aca="false">CHOOSE(WEEKDAY(B1398,2),"Senin","Selasa","Rabu","Kamis","Jumat","Sabtu","Minggu")</f>
        <v>Jumat</v>
      </c>
      <c r="J1398" s="2" t="n">
        <f aca="false">HOUR(E1398)</f>
        <v>20</v>
      </c>
      <c r="K1398" s="2" t="str">
        <f aca="false">IF(J1398&lt;11,"Pagi",IF(J1398&lt;17,"Siang","Malam"))</f>
        <v>Malam</v>
      </c>
      <c r="L1398" s="2" t="n">
        <f aca="false">IF(A1398&lt;&gt;A1397,1,0)</f>
        <v>0</v>
      </c>
    </row>
    <row r="1399" customFormat="false" ht="15" hidden="false" customHeight="false" outlineLevel="0" collapsed="false">
      <c r="A1399" s="2" t="s">
        <v>1423</v>
      </c>
      <c r="B1399" s="13" t="n">
        <v>46283</v>
      </c>
      <c r="C1399" s="2" t="s">
        <v>92</v>
      </c>
      <c r="D1399" s="2" t="n">
        <v>1</v>
      </c>
      <c r="E1399" s="15" t="n">
        <v>0.844444444444444</v>
      </c>
      <c r="F1399" s="7" t="n">
        <v>4000</v>
      </c>
      <c r="G1399" s="7" t="n">
        <f aca="false">D1399*F1399</f>
        <v>4000</v>
      </c>
      <c r="H1399" s="2" t="str">
        <f aca="false">INDEX(Daftar_Menu!$B$2:$B$13,MATCH(C1399,Daftar_Menu!$A$2:$A$13,0))</f>
        <v>Minuman</v>
      </c>
      <c r="I1399" s="2" t="str">
        <f aca="false">CHOOSE(WEEKDAY(B1399,2),"Senin","Selasa","Rabu","Kamis","Jumat","Sabtu","Minggu")</f>
        <v>Jumat</v>
      </c>
      <c r="J1399" s="2" t="n">
        <f aca="false">HOUR(E1399)</f>
        <v>20</v>
      </c>
      <c r="K1399" s="2" t="str">
        <f aca="false">IF(J1399&lt;11,"Pagi",IF(J1399&lt;17,"Siang","Malam"))</f>
        <v>Malam</v>
      </c>
      <c r="L1399" s="2" t="n">
        <f aca="false">IF(A1399&lt;&gt;A1398,1,0)</f>
        <v>1</v>
      </c>
    </row>
    <row r="1400" customFormat="false" ht="15" hidden="false" customHeight="false" outlineLevel="0" collapsed="false">
      <c r="A1400" s="2" t="s">
        <v>1423</v>
      </c>
      <c r="B1400" s="13" t="n">
        <v>46283</v>
      </c>
      <c r="C1400" s="2" t="s">
        <v>84</v>
      </c>
      <c r="D1400" s="2" t="n">
        <v>1</v>
      </c>
      <c r="E1400" s="15" t="n">
        <v>0.844444444444444</v>
      </c>
      <c r="F1400" s="7" t="n">
        <v>5000</v>
      </c>
      <c r="G1400" s="7" t="n">
        <f aca="false">D1400*F1400</f>
        <v>5000</v>
      </c>
      <c r="H1400" s="2" t="str">
        <f aca="false">INDEX(Daftar_Menu!$B$2:$B$13,MATCH(C1400,Daftar_Menu!$A$2:$A$13,0))</f>
        <v>Minuman</v>
      </c>
      <c r="I1400" s="2" t="str">
        <f aca="false">CHOOSE(WEEKDAY(B1400,2),"Senin","Selasa","Rabu","Kamis","Jumat","Sabtu","Minggu")</f>
        <v>Jumat</v>
      </c>
      <c r="J1400" s="2" t="n">
        <f aca="false">HOUR(E1400)</f>
        <v>20</v>
      </c>
      <c r="K1400" s="2" t="str">
        <f aca="false">IF(J1400&lt;11,"Pagi",IF(J1400&lt;17,"Siang","Malam"))</f>
        <v>Malam</v>
      </c>
      <c r="L1400" s="2" t="n">
        <f aca="false">IF(A1400&lt;&gt;A1399,1,0)</f>
        <v>0</v>
      </c>
    </row>
    <row r="1401" customFormat="false" ht="15" hidden="false" customHeight="false" outlineLevel="0" collapsed="false">
      <c r="A1401" s="2" t="s">
        <v>1425</v>
      </c>
      <c r="B1401" s="13" t="n">
        <v>46283</v>
      </c>
      <c r="C1401" s="2" t="s">
        <v>84</v>
      </c>
      <c r="D1401" s="2" t="n">
        <v>1</v>
      </c>
      <c r="E1401" s="15" t="n">
        <v>0.870833333333333</v>
      </c>
      <c r="F1401" s="7" t="n">
        <v>5000</v>
      </c>
      <c r="G1401" s="7" t="n">
        <f aca="false">D1401*F1401</f>
        <v>5000</v>
      </c>
      <c r="H1401" s="2" t="str">
        <f aca="false">INDEX(Daftar_Menu!$B$2:$B$13,MATCH(C1401,Daftar_Menu!$A$2:$A$13,0))</f>
        <v>Minuman</v>
      </c>
      <c r="I1401" s="2" t="str">
        <f aca="false">CHOOSE(WEEKDAY(B1401,2),"Senin","Selasa","Rabu","Kamis","Jumat","Sabtu","Minggu")</f>
        <v>Jumat</v>
      </c>
      <c r="J1401" s="2" t="n">
        <f aca="false">HOUR(E1401)</f>
        <v>20</v>
      </c>
      <c r="K1401" s="2" t="str">
        <f aca="false">IF(J1401&lt;11,"Pagi",IF(J1401&lt;17,"Siang","Malam"))</f>
        <v>Malam</v>
      </c>
      <c r="L1401" s="2" t="n">
        <f aca="false">IF(A1401&lt;&gt;A1400,1,0)</f>
        <v>1</v>
      </c>
    </row>
    <row r="1402" customFormat="false" ht="15" hidden="false" customHeight="false" outlineLevel="0" collapsed="false">
      <c r="A1402" s="2" t="s">
        <v>1427</v>
      </c>
      <c r="B1402" s="13" t="n">
        <v>46283</v>
      </c>
      <c r="C1402" s="2" t="s">
        <v>132</v>
      </c>
      <c r="D1402" s="2" t="n">
        <v>1</v>
      </c>
      <c r="E1402" s="15" t="n">
        <v>0.872222222222222</v>
      </c>
      <c r="F1402" s="7" t="n">
        <v>15000</v>
      </c>
      <c r="G1402" s="7" t="n">
        <f aca="false">D1402*F1402</f>
        <v>15000</v>
      </c>
      <c r="H1402" s="2" t="str">
        <f aca="false">INDEX(Daftar_Menu!$B$2:$B$13,MATCH(C1402,Daftar_Menu!$A$2:$A$13,0))</f>
        <v>Makanan</v>
      </c>
      <c r="I1402" s="2" t="str">
        <f aca="false">CHOOSE(WEEKDAY(B1402,2),"Senin","Selasa","Rabu","Kamis","Jumat","Sabtu","Minggu")</f>
        <v>Jumat</v>
      </c>
      <c r="J1402" s="2" t="n">
        <f aca="false">HOUR(E1402)</f>
        <v>20</v>
      </c>
      <c r="K1402" s="2" t="str">
        <f aca="false">IF(J1402&lt;11,"Pagi",IF(J1402&lt;17,"Siang","Malam"))</f>
        <v>Malam</v>
      </c>
      <c r="L1402" s="2" t="n">
        <f aca="false">IF(A1402&lt;&gt;A1401,1,0)</f>
        <v>1</v>
      </c>
    </row>
    <row r="1403" customFormat="false" ht="15" hidden="false" customHeight="false" outlineLevel="0" collapsed="false">
      <c r="A1403" s="2" t="s">
        <v>1427</v>
      </c>
      <c r="B1403" s="13" t="n">
        <v>46283</v>
      </c>
      <c r="C1403" s="2" t="s">
        <v>108</v>
      </c>
      <c r="D1403" s="2" t="n">
        <v>1</v>
      </c>
      <c r="E1403" s="15" t="n">
        <v>0.872222222222222</v>
      </c>
      <c r="F1403" s="7" t="n">
        <v>20000</v>
      </c>
      <c r="G1403" s="7" t="n">
        <f aca="false">D1403*F1403</f>
        <v>20000</v>
      </c>
      <c r="H1403" s="2" t="str">
        <f aca="false">INDEX(Daftar_Menu!$B$2:$B$13,MATCH(C1403,Daftar_Menu!$A$2:$A$13,0))</f>
        <v>Makanan</v>
      </c>
      <c r="I1403" s="2" t="str">
        <f aca="false">CHOOSE(WEEKDAY(B1403,2),"Senin","Selasa","Rabu","Kamis","Jumat","Sabtu","Minggu")</f>
        <v>Jumat</v>
      </c>
      <c r="J1403" s="2" t="n">
        <f aca="false">HOUR(E1403)</f>
        <v>20</v>
      </c>
      <c r="K1403" s="2" t="str">
        <f aca="false">IF(J1403&lt;11,"Pagi",IF(J1403&lt;17,"Siang","Malam"))</f>
        <v>Malam</v>
      </c>
      <c r="L1403" s="2" t="n">
        <f aca="false">IF(A1403&lt;&gt;A1402,1,0)</f>
        <v>0</v>
      </c>
    </row>
    <row r="1404" customFormat="false" ht="15" hidden="false" customHeight="false" outlineLevel="0" collapsed="false">
      <c r="A1404" s="2" t="s">
        <v>1427</v>
      </c>
      <c r="B1404" s="13" t="n">
        <v>46283</v>
      </c>
      <c r="C1404" s="2" t="s">
        <v>92</v>
      </c>
      <c r="D1404" s="2" t="n">
        <v>1</v>
      </c>
      <c r="E1404" s="15" t="n">
        <v>0.872222222222222</v>
      </c>
      <c r="F1404" s="7" t="n">
        <v>4000</v>
      </c>
      <c r="G1404" s="7" t="n">
        <f aca="false">D1404*F1404</f>
        <v>4000</v>
      </c>
      <c r="H1404" s="2" t="str">
        <f aca="false">INDEX(Daftar_Menu!$B$2:$B$13,MATCH(C1404,Daftar_Menu!$A$2:$A$13,0))</f>
        <v>Minuman</v>
      </c>
      <c r="I1404" s="2" t="str">
        <f aca="false">CHOOSE(WEEKDAY(B1404,2),"Senin","Selasa","Rabu","Kamis","Jumat","Sabtu","Minggu")</f>
        <v>Jumat</v>
      </c>
      <c r="J1404" s="2" t="n">
        <f aca="false">HOUR(E1404)</f>
        <v>20</v>
      </c>
      <c r="K1404" s="2" t="str">
        <f aca="false">IF(J1404&lt;11,"Pagi",IF(J1404&lt;17,"Siang","Malam"))</f>
        <v>Malam</v>
      </c>
      <c r="L1404" s="2" t="n">
        <f aca="false">IF(A1404&lt;&gt;A1403,1,0)</f>
        <v>0</v>
      </c>
    </row>
    <row r="1405" customFormat="false" ht="15" hidden="false" customHeight="false" outlineLevel="0" collapsed="false">
      <c r="A1405" s="2" t="s">
        <v>1428</v>
      </c>
      <c r="B1405" s="13" t="n">
        <v>46284</v>
      </c>
      <c r="C1405" s="2" t="s">
        <v>186</v>
      </c>
      <c r="D1405" s="2" t="n">
        <v>3</v>
      </c>
      <c r="E1405" s="15" t="n">
        <v>0.335416666666667</v>
      </c>
      <c r="F1405" s="7" t="n">
        <v>7000</v>
      </c>
      <c r="G1405" s="7" t="n">
        <f aca="false">D1405*F1405</f>
        <v>21000</v>
      </c>
      <c r="H1405" s="2" t="str">
        <f aca="false">INDEX(Daftar_Menu!$B$2:$B$13,MATCH(C1405,Daftar_Menu!$A$2:$A$13,0))</f>
        <v>Minuman</v>
      </c>
      <c r="I1405" s="2" t="str">
        <f aca="false">CHOOSE(WEEKDAY(B1405,2),"Senin","Selasa","Rabu","Kamis","Jumat","Sabtu","Minggu")</f>
        <v>Sabtu</v>
      </c>
      <c r="J1405" s="2" t="n">
        <f aca="false">HOUR(E1405)</f>
        <v>8</v>
      </c>
      <c r="K1405" s="2" t="str">
        <f aca="false">IF(J1405&lt;11,"Pagi",IF(J1405&lt;17,"Siang","Malam"))</f>
        <v>Pagi</v>
      </c>
      <c r="L1405" s="2" t="n">
        <f aca="false">IF(A1405&lt;&gt;A1404,1,0)</f>
        <v>1</v>
      </c>
    </row>
    <row r="1406" customFormat="false" ht="15" hidden="false" customHeight="false" outlineLevel="0" collapsed="false">
      <c r="A1406" s="2" t="s">
        <v>1428</v>
      </c>
      <c r="B1406" s="13" t="n">
        <v>46284</v>
      </c>
      <c r="C1406" s="2" t="s">
        <v>101</v>
      </c>
      <c r="D1406" s="2" t="n">
        <v>2</v>
      </c>
      <c r="E1406" s="15" t="n">
        <v>0.335416666666667</v>
      </c>
      <c r="F1406" s="7" t="n">
        <v>18000</v>
      </c>
      <c r="G1406" s="7" t="n">
        <f aca="false">D1406*F1406</f>
        <v>36000</v>
      </c>
      <c r="H1406" s="2" t="str">
        <f aca="false">INDEX(Daftar_Menu!$B$2:$B$13,MATCH(C1406,Daftar_Menu!$A$2:$A$13,0))</f>
        <v>Makanan</v>
      </c>
      <c r="I1406" s="2" t="str">
        <f aca="false">CHOOSE(WEEKDAY(B1406,2),"Senin","Selasa","Rabu","Kamis","Jumat","Sabtu","Minggu")</f>
        <v>Sabtu</v>
      </c>
      <c r="J1406" s="2" t="n">
        <f aca="false">HOUR(E1406)</f>
        <v>8</v>
      </c>
      <c r="K1406" s="2" t="str">
        <f aca="false">IF(J1406&lt;11,"Pagi",IF(J1406&lt;17,"Siang","Malam"))</f>
        <v>Pagi</v>
      </c>
      <c r="L1406" s="2" t="n">
        <f aca="false">IF(A1406&lt;&gt;A1405,1,0)</f>
        <v>0</v>
      </c>
    </row>
    <row r="1407" customFormat="false" ht="15" hidden="false" customHeight="false" outlineLevel="0" collapsed="false">
      <c r="A1407" s="2" t="s">
        <v>1431</v>
      </c>
      <c r="B1407" s="13" t="n">
        <v>46284</v>
      </c>
      <c r="C1407" s="2" t="s">
        <v>84</v>
      </c>
      <c r="D1407" s="2" t="n">
        <v>2</v>
      </c>
      <c r="E1407" s="15" t="n">
        <v>0.357638888888889</v>
      </c>
      <c r="F1407" s="7" t="n">
        <v>5000</v>
      </c>
      <c r="G1407" s="7" t="n">
        <f aca="false">D1407*F1407</f>
        <v>10000</v>
      </c>
      <c r="H1407" s="2" t="str">
        <f aca="false">INDEX(Daftar_Menu!$B$2:$B$13,MATCH(C1407,Daftar_Menu!$A$2:$A$13,0))</f>
        <v>Minuman</v>
      </c>
      <c r="I1407" s="2" t="str">
        <f aca="false">CHOOSE(WEEKDAY(B1407,2),"Senin","Selasa","Rabu","Kamis","Jumat","Sabtu","Minggu")</f>
        <v>Sabtu</v>
      </c>
      <c r="J1407" s="2" t="n">
        <f aca="false">HOUR(E1407)</f>
        <v>8</v>
      </c>
      <c r="K1407" s="2" t="str">
        <f aca="false">IF(J1407&lt;11,"Pagi",IF(J1407&lt;17,"Siang","Malam"))</f>
        <v>Pagi</v>
      </c>
      <c r="L1407" s="2" t="n">
        <f aca="false">IF(A1407&lt;&gt;A1406,1,0)</f>
        <v>1</v>
      </c>
    </row>
    <row r="1408" customFormat="false" ht="15" hidden="false" customHeight="false" outlineLevel="0" collapsed="false">
      <c r="A1408" s="2" t="s">
        <v>1433</v>
      </c>
      <c r="B1408" s="13" t="n">
        <v>46284</v>
      </c>
      <c r="C1408" s="2" t="s">
        <v>84</v>
      </c>
      <c r="D1408" s="2" t="n">
        <v>1</v>
      </c>
      <c r="E1408" s="15" t="n">
        <v>0.388888888888889</v>
      </c>
      <c r="F1408" s="7" t="n">
        <v>5000</v>
      </c>
      <c r="G1408" s="7" t="n">
        <f aca="false">D1408*F1408</f>
        <v>5000</v>
      </c>
      <c r="H1408" s="2" t="str">
        <f aca="false">INDEX(Daftar_Menu!$B$2:$B$13,MATCH(C1408,Daftar_Menu!$A$2:$A$13,0))</f>
        <v>Minuman</v>
      </c>
      <c r="I1408" s="2" t="str">
        <f aca="false">CHOOSE(WEEKDAY(B1408,2),"Senin","Selasa","Rabu","Kamis","Jumat","Sabtu","Minggu")</f>
        <v>Sabtu</v>
      </c>
      <c r="J1408" s="2" t="n">
        <f aca="false">HOUR(E1408)</f>
        <v>9</v>
      </c>
      <c r="K1408" s="2" t="str">
        <f aca="false">IF(J1408&lt;11,"Pagi",IF(J1408&lt;17,"Siang","Malam"))</f>
        <v>Pagi</v>
      </c>
      <c r="L1408" s="2" t="n">
        <f aca="false">IF(A1408&lt;&gt;A1407,1,0)</f>
        <v>1</v>
      </c>
    </row>
    <row r="1409" customFormat="false" ht="15" hidden="false" customHeight="false" outlineLevel="0" collapsed="false">
      <c r="A1409" s="2" t="s">
        <v>1433</v>
      </c>
      <c r="B1409" s="13" t="n">
        <v>46284</v>
      </c>
      <c r="C1409" s="2" t="s">
        <v>112</v>
      </c>
      <c r="D1409" s="2" t="n">
        <v>2</v>
      </c>
      <c r="E1409" s="15" t="n">
        <v>0.388888888888889</v>
      </c>
      <c r="F1409" s="7" t="n">
        <v>10000</v>
      </c>
      <c r="G1409" s="7" t="n">
        <f aca="false">D1409*F1409</f>
        <v>20000</v>
      </c>
      <c r="H1409" s="2" t="str">
        <f aca="false">INDEX(Daftar_Menu!$B$2:$B$13,MATCH(C1409,Daftar_Menu!$A$2:$A$13,0))</f>
        <v>Minuman</v>
      </c>
      <c r="I1409" s="2" t="str">
        <f aca="false">CHOOSE(WEEKDAY(B1409,2),"Senin","Selasa","Rabu","Kamis","Jumat","Sabtu","Minggu")</f>
        <v>Sabtu</v>
      </c>
      <c r="J1409" s="2" t="n">
        <f aca="false">HOUR(E1409)</f>
        <v>9</v>
      </c>
      <c r="K1409" s="2" t="str">
        <f aca="false">IF(J1409&lt;11,"Pagi",IF(J1409&lt;17,"Siang","Malam"))</f>
        <v>Pagi</v>
      </c>
      <c r="L1409" s="2" t="n">
        <f aca="false">IF(A1409&lt;&gt;A1408,1,0)</f>
        <v>0</v>
      </c>
    </row>
    <row r="1410" customFormat="false" ht="15" hidden="false" customHeight="false" outlineLevel="0" collapsed="false">
      <c r="A1410" s="2" t="s">
        <v>1435</v>
      </c>
      <c r="B1410" s="13" t="n">
        <v>46284</v>
      </c>
      <c r="C1410" s="2" t="s">
        <v>186</v>
      </c>
      <c r="D1410" s="2" t="n">
        <v>2</v>
      </c>
      <c r="E1410" s="15" t="n">
        <v>0.397222222222222</v>
      </c>
      <c r="F1410" s="7" t="n">
        <v>7000</v>
      </c>
      <c r="G1410" s="7" t="n">
        <f aca="false">D1410*F1410</f>
        <v>14000</v>
      </c>
      <c r="H1410" s="2" t="str">
        <f aca="false">INDEX(Daftar_Menu!$B$2:$B$13,MATCH(C1410,Daftar_Menu!$A$2:$A$13,0))</f>
        <v>Minuman</v>
      </c>
      <c r="I1410" s="2" t="str">
        <f aca="false">CHOOSE(WEEKDAY(B1410,2),"Senin","Selasa","Rabu","Kamis","Jumat","Sabtu","Minggu")</f>
        <v>Sabtu</v>
      </c>
      <c r="J1410" s="2" t="n">
        <f aca="false">HOUR(E1410)</f>
        <v>9</v>
      </c>
      <c r="K1410" s="2" t="str">
        <f aca="false">IF(J1410&lt;11,"Pagi",IF(J1410&lt;17,"Siang","Malam"))</f>
        <v>Pagi</v>
      </c>
      <c r="L1410" s="2" t="n">
        <f aca="false">IF(A1410&lt;&gt;A1409,1,0)</f>
        <v>1</v>
      </c>
    </row>
    <row r="1411" customFormat="false" ht="15" hidden="false" customHeight="false" outlineLevel="0" collapsed="false">
      <c r="A1411" s="2" t="s">
        <v>1437</v>
      </c>
      <c r="B1411" s="13" t="n">
        <v>46284</v>
      </c>
      <c r="C1411" s="2" t="s">
        <v>84</v>
      </c>
      <c r="D1411" s="2" t="n">
        <v>1</v>
      </c>
      <c r="E1411" s="15" t="n">
        <v>0.413194444444444</v>
      </c>
      <c r="F1411" s="7" t="n">
        <v>5000</v>
      </c>
      <c r="G1411" s="7" t="n">
        <f aca="false">D1411*F1411</f>
        <v>5000</v>
      </c>
      <c r="H1411" s="2" t="str">
        <f aca="false">INDEX(Daftar_Menu!$B$2:$B$13,MATCH(C1411,Daftar_Menu!$A$2:$A$13,0))</f>
        <v>Minuman</v>
      </c>
      <c r="I1411" s="2" t="str">
        <f aca="false">CHOOSE(WEEKDAY(B1411,2),"Senin","Selasa","Rabu","Kamis","Jumat","Sabtu","Minggu")</f>
        <v>Sabtu</v>
      </c>
      <c r="J1411" s="2" t="n">
        <f aca="false">HOUR(E1411)</f>
        <v>9</v>
      </c>
      <c r="K1411" s="2" t="str">
        <f aca="false">IF(J1411&lt;11,"Pagi",IF(J1411&lt;17,"Siang","Malam"))</f>
        <v>Pagi</v>
      </c>
      <c r="L1411" s="2" t="n">
        <f aca="false">IF(A1411&lt;&gt;A1410,1,0)</f>
        <v>1</v>
      </c>
    </row>
    <row r="1412" customFormat="false" ht="15" hidden="false" customHeight="false" outlineLevel="0" collapsed="false">
      <c r="A1412" s="2" t="s">
        <v>1437</v>
      </c>
      <c r="B1412" s="13" t="n">
        <v>46284</v>
      </c>
      <c r="C1412" s="2" t="s">
        <v>132</v>
      </c>
      <c r="D1412" s="2" t="n">
        <v>1</v>
      </c>
      <c r="E1412" s="15" t="n">
        <v>0.413194444444444</v>
      </c>
      <c r="F1412" s="7" t="n">
        <v>15000</v>
      </c>
      <c r="G1412" s="7" t="n">
        <f aca="false">D1412*F1412</f>
        <v>15000</v>
      </c>
      <c r="H1412" s="2" t="str">
        <f aca="false">INDEX(Daftar_Menu!$B$2:$B$13,MATCH(C1412,Daftar_Menu!$A$2:$A$13,0))</f>
        <v>Makanan</v>
      </c>
      <c r="I1412" s="2" t="str">
        <f aca="false">CHOOSE(WEEKDAY(B1412,2),"Senin","Selasa","Rabu","Kamis","Jumat","Sabtu","Minggu")</f>
        <v>Sabtu</v>
      </c>
      <c r="J1412" s="2" t="n">
        <f aca="false">HOUR(E1412)</f>
        <v>9</v>
      </c>
      <c r="K1412" s="2" t="str">
        <f aca="false">IF(J1412&lt;11,"Pagi",IF(J1412&lt;17,"Siang","Malam"))</f>
        <v>Pagi</v>
      </c>
      <c r="L1412" s="2" t="n">
        <f aca="false">IF(A1412&lt;&gt;A1411,1,0)</f>
        <v>0</v>
      </c>
    </row>
    <row r="1413" customFormat="false" ht="15" hidden="false" customHeight="false" outlineLevel="0" collapsed="false">
      <c r="A1413" s="2" t="s">
        <v>1439</v>
      </c>
      <c r="B1413" s="13" t="n">
        <v>46284</v>
      </c>
      <c r="C1413" s="2" t="s">
        <v>108</v>
      </c>
      <c r="D1413" s="2" t="n">
        <v>1</v>
      </c>
      <c r="E1413" s="15" t="n">
        <v>0.424305555555556</v>
      </c>
      <c r="F1413" s="7" t="n">
        <v>20000</v>
      </c>
      <c r="G1413" s="7" t="n">
        <f aca="false">D1413*F1413</f>
        <v>20000</v>
      </c>
      <c r="H1413" s="2" t="str">
        <f aca="false">INDEX(Daftar_Menu!$B$2:$B$13,MATCH(C1413,Daftar_Menu!$A$2:$A$13,0))</f>
        <v>Makanan</v>
      </c>
      <c r="I1413" s="2" t="str">
        <f aca="false">CHOOSE(WEEKDAY(B1413,2),"Senin","Selasa","Rabu","Kamis","Jumat","Sabtu","Minggu")</f>
        <v>Sabtu</v>
      </c>
      <c r="J1413" s="2" t="n">
        <f aca="false">HOUR(E1413)</f>
        <v>10</v>
      </c>
      <c r="K1413" s="2" t="str">
        <f aca="false">IF(J1413&lt;11,"Pagi",IF(J1413&lt;17,"Siang","Malam"))</f>
        <v>Pagi</v>
      </c>
      <c r="L1413" s="2" t="n">
        <f aca="false">IF(A1413&lt;&gt;A1412,1,0)</f>
        <v>1</v>
      </c>
    </row>
    <row r="1414" customFormat="false" ht="15" hidden="false" customHeight="false" outlineLevel="0" collapsed="false">
      <c r="A1414" s="2" t="s">
        <v>1440</v>
      </c>
      <c r="B1414" s="13" t="n">
        <v>46284</v>
      </c>
      <c r="C1414" s="2" t="s">
        <v>132</v>
      </c>
      <c r="D1414" s="2" t="n">
        <v>1</v>
      </c>
      <c r="E1414" s="15" t="n">
        <v>0.434027777777778</v>
      </c>
      <c r="F1414" s="7" t="n">
        <v>15000</v>
      </c>
      <c r="G1414" s="7" t="n">
        <f aca="false">D1414*F1414</f>
        <v>15000</v>
      </c>
      <c r="H1414" s="2" t="str">
        <f aca="false">INDEX(Daftar_Menu!$B$2:$B$13,MATCH(C1414,Daftar_Menu!$A$2:$A$13,0))</f>
        <v>Makanan</v>
      </c>
      <c r="I1414" s="2" t="str">
        <f aca="false">CHOOSE(WEEKDAY(B1414,2),"Senin","Selasa","Rabu","Kamis","Jumat","Sabtu","Minggu")</f>
        <v>Sabtu</v>
      </c>
      <c r="J1414" s="2" t="n">
        <f aca="false">HOUR(E1414)</f>
        <v>10</v>
      </c>
      <c r="K1414" s="2" t="str">
        <f aca="false">IF(J1414&lt;11,"Pagi",IF(J1414&lt;17,"Siang","Malam"))</f>
        <v>Pagi</v>
      </c>
      <c r="L1414" s="2" t="n">
        <f aca="false">IF(A1414&lt;&gt;A1413,1,0)</f>
        <v>1</v>
      </c>
    </row>
    <row r="1415" customFormat="false" ht="15" hidden="false" customHeight="false" outlineLevel="0" collapsed="false">
      <c r="A1415" s="2" t="s">
        <v>1442</v>
      </c>
      <c r="B1415" s="13" t="n">
        <v>46284</v>
      </c>
      <c r="C1415" s="2" t="s">
        <v>84</v>
      </c>
      <c r="D1415" s="2" t="n">
        <v>1</v>
      </c>
      <c r="E1415" s="15" t="n">
        <v>0.434722222222222</v>
      </c>
      <c r="F1415" s="7" t="n">
        <v>5000</v>
      </c>
      <c r="G1415" s="7" t="n">
        <f aca="false">D1415*F1415</f>
        <v>5000</v>
      </c>
      <c r="H1415" s="2" t="str">
        <f aca="false">INDEX(Daftar_Menu!$B$2:$B$13,MATCH(C1415,Daftar_Menu!$A$2:$A$13,0))</f>
        <v>Minuman</v>
      </c>
      <c r="I1415" s="2" t="str">
        <f aca="false">CHOOSE(WEEKDAY(B1415,2),"Senin","Selasa","Rabu","Kamis","Jumat","Sabtu","Minggu")</f>
        <v>Sabtu</v>
      </c>
      <c r="J1415" s="2" t="n">
        <f aca="false">HOUR(E1415)</f>
        <v>10</v>
      </c>
      <c r="K1415" s="2" t="str">
        <f aca="false">IF(J1415&lt;11,"Pagi",IF(J1415&lt;17,"Siang","Malam"))</f>
        <v>Pagi</v>
      </c>
      <c r="L1415" s="2" t="n">
        <f aca="false">IF(A1415&lt;&gt;A1414,1,0)</f>
        <v>1</v>
      </c>
    </row>
    <row r="1416" customFormat="false" ht="15" hidden="false" customHeight="false" outlineLevel="0" collapsed="false">
      <c r="A1416" s="2" t="s">
        <v>1442</v>
      </c>
      <c r="B1416" s="13" t="n">
        <v>46284</v>
      </c>
      <c r="C1416" s="2" t="s">
        <v>89</v>
      </c>
      <c r="D1416" s="2" t="n">
        <v>1</v>
      </c>
      <c r="E1416" s="15" t="n">
        <v>0.434722222222222</v>
      </c>
      <c r="F1416" s="7" t="n">
        <v>14000</v>
      </c>
      <c r="G1416" s="7" t="n">
        <f aca="false">D1416*F1416</f>
        <v>14000</v>
      </c>
      <c r="H1416" s="2" t="str">
        <f aca="false">INDEX(Daftar_Menu!$B$2:$B$13,MATCH(C1416,Daftar_Menu!$A$2:$A$13,0))</f>
        <v>Makanan</v>
      </c>
      <c r="I1416" s="2" t="str">
        <f aca="false">CHOOSE(WEEKDAY(B1416,2),"Senin","Selasa","Rabu","Kamis","Jumat","Sabtu","Minggu")</f>
        <v>Sabtu</v>
      </c>
      <c r="J1416" s="2" t="n">
        <f aca="false">HOUR(E1416)</f>
        <v>10</v>
      </c>
      <c r="K1416" s="2" t="str">
        <f aca="false">IF(J1416&lt;11,"Pagi",IF(J1416&lt;17,"Siang","Malam"))</f>
        <v>Pagi</v>
      </c>
      <c r="L1416" s="2" t="n">
        <f aca="false">IF(A1416&lt;&gt;A1415,1,0)</f>
        <v>0</v>
      </c>
    </row>
    <row r="1417" customFormat="false" ht="15" hidden="false" customHeight="false" outlineLevel="0" collapsed="false">
      <c r="A1417" s="2" t="s">
        <v>1443</v>
      </c>
      <c r="B1417" s="13" t="n">
        <v>46284</v>
      </c>
      <c r="C1417" s="2" t="s">
        <v>84</v>
      </c>
      <c r="D1417" s="2" t="n">
        <v>1</v>
      </c>
      <c r="E1417" s="15" t="n">
        <v>0.440972222222222</v>
      </c>
      <c r="F1417" s="7" t="n">
        <v>5000</v>
      </c>
      <c r="G1417" s="7" t="n">
        <f aca="false">D1417*F1417</f>
        <v>5000</v>
      </c>
      <c r="H1417" s="2" t="str">
        <f aca="false">INDEX(Daftar_Menu!$B$2:$B$13,MATCH(C1417,Daftar_Menu!$A$2:$A$13,0))</f>
        <v>Minuman</v>
      </c>
      <c r="I1417" s="2" t="str">
        <f aca="false">CHOOSE(WEEKDAY(B1417,2),"Senin","Selasa","Rabu","Kamis","Jumat","Sabtu","Minggu")</f>
        <v>Sabtu</v>
      </c>
      <c r="J1417" s="2" t="n">
        <f aca="false">HOUR(E1417)</f>
        <v>10</v>
      </c>
      <c r="K1417" s="2" t="str">
        <f aca="false">IF(J1417&lt;11,"Pagi",IF(J1417&lt;17,"Siang","Malam"))</f>
        <v>Pagi</v>
      </c>
      <c r="L1417" s="2" t="n">
        <f aca="false">IF(A1417&lt;&gt;A1416,1,0)</f>
        <v>1</v>
      </c>
    </row>
    <row r="1418" customFormat="false" ht="15" hidden="false" customHeight="false" outlineLevel="0" collapsed="false">
      <c r="A1418" s="2" t="s">
        <v>1444</v>
      </c>
      <c r="B1418" s="13" t="n">
        <v>46284</v>
      </c>
      <c r="C1418" s="2" t="s">
        <v>186</v>
      </c>
      <c r="D1418" s="2" t="n">
        <v>2</v>
      </c>
      <c r="E1418" s="15" t="n">
        <v>0.461805555555556</v>
      </c>
      <c r="F1418" s="7" t="n">
        <v>7000</v>
      </c>
      <c r="G1418" s="7" t="n">
        <f aca="false">D1418*F1418</f>
        <v>14000</v>
      </c>
      <c r="H1418" s="2" t="str">
        <f aca="false">INDEX(Daftar_Menu!$B$2:$B$13,MATCH(C1418,Daftar_Menu!$A$2:$A$13,0))</f>
        <v>Minuman</v>
      </c>
      <c r="I1418" s="2" t="str">
        <f aca="false">CHOOSE(WEEKDAY(B1418,2),"Senin","Selasa","Rabu","Kamis","Jumat","Sabtu","Minggu")</f>
        <v>Sabtu</v>
      </c>
      <c r="J1418" s="2" t="n">
        <f aca="false">HOUR(E1418)</f>
        <v>11</v>
      </c>
      <c r="K1418" s="2" t="str">
        <f aca="false">IF(J1418&lt;11,"Pagi",IF(J1418&lt;17,"Siang","Malam"))</f>
        <v>Siang</v>
      </c>
      <c r="L1418" s="2" t="n">
        <f aca="false">IF(A1418&lt;&gt;A1417,1,0)</f>
        <v>1</v>
      </c>
    </row>
    <row r="1419" customFormat="false" ht="15" hidden="false" customHeight="false" outlineLevel="0" collapsed="false">
      <c r="A1419" s="2" t="s">
        <v>1446</v>
      </c>
      <c r="B1419" s="13" t="n">
        <v>46284</v>
      </c>
      <c r="C1419" s="2" t="s">
        <v>126</v>
      </c>
      <c r="D1419" s="2" t="n">
        <v>1</v>
      </c>
      <c r="E1419" s="15" t="n">
        <v>0.466666666666667</v>
      </c>
      <c r="F1419" s="7" t="n">
        <v>3000</v>
      </c>
      <c r="G1419" s="7" t="n">
        <f aca="false">D1419*F1419</f>
        <v>3000</v>
      </c>
      <c r="H1419" s="2" t="str">
        <f aca="false">INDEX(Daftar_Menu!$B$2:$B$13,MATCH(C1419,Daftar_Menu!$A$2:$A$13,0))</f>
        <v>Minuman</v>
      </c>
      <c r="I1419" s="2" t="str">
        <f aca="false">CHOOSE(WEEKDAY(B1419,2),"Senin","Selasa","Rabu","Kamis","Jumat","Sabtu","Minggu")</f>
        <v>Sabtu</v>
      </c>
      <c r="J1419" s="2" t="n">
        <f aca="false">HOUR(E1419)</f>
        <v>11</v>
      </c>
      <c r="K1419" s="2" t="str">
        <f aca="false">IF(J1419&lt;11,"Pagi",IF(J1419&lt;17,"Siang","Malam"))</f>
        <v>Siang</v>
      </c>
      <c r="L1419" s="2" t="n">
        <f aca="false">IF(A1419&lt;&gt;A1418,1,0)</f>
        <v>1</v>
      </c>
    </row>
    <row r="1420" customFormat="false" ht="15" hidden="false" customHeight="false" outlineLevel="0" collapsed="false">
      <c r="A1420" s="2" t="s">
        <v>1446</v>
      </c>
      <c r="B1420" s="13" t="n">
        <v>46284</v>
      </c>
      <c r="C1420" s="2" t="s">
        <v>101</v>
      </c>
      <c r="D1420" s="2" t="n">
        <v>1</v>
      </c>
      <c r="E1420" s="15" t="n">
        <v>0.466666666666667</v>
      </c>
      <c r="F1420" s="7" t="n">
        <v>18000</v>
      </c>
      <c r="G1420" s="7" t="n">
        <f aca="false">D1420*F1420</f>
        <v>18000</v>
      </c>
      <c r="H1420" s="2" t="str">
        <f aca="false">INDEX(Daftar_Menu!$B$2:$B$13,MATCH(C1420,Daftar_Menu!$A$2:$A$13,0))</f>
        <v>Makanan</v>
      </c>
      <c r="I1420" s="2" t="str">
        <f aca="false">CHOOSE(WEEKDAY(B1420,2),"Senin","Selasa","Rabu","Kamis","Jumat","Sabtu","Minggu")</f>
        <v>Sabtu</v>
      </c>
      <c r="J1420" s="2" t="n">
        <f aca="false">HOUR(E1420)</f>
        <v>11</v>
      </c>
      <c r="K1420" s="2" t="str">
        <f aca="false">IF(J1420&lt;11,"Pagi",IF(J1420&lt;17,"Siang","Malam"))</f>
        <v>Siang</v>
      </c>
      <c r="L1420" s="2" t="n">
        <f aca="false">IF(A1420&lt;&gt;A1419,1,0)</f>
        <v>0</v>
      </c>
    </row>
    <row r="1421" customFormat="false" ht="15" hidden="false" customHeight="false" outlineLevel="0" collapsed="false">
      <c r="A1421" s="2" t="s">
        <v>1447</v>
      </c>
      <c r="B1421" s="13" t="n">
        <v>46284</v>
      </c>
      <c r="C1421" s="2" t="s">
        <v>186</v>
      </c>
      <c r="D1421" s="2" t="n">
        <v>1</v>
      </c>
      <c r="E1421" s="15" t="n">
        <v>0.471527777777778</v>
      </c>
      <c r="F1421" s="7" t="n">
        <v>7000</v>
      </c>
      <c r="G1421" s="7" t="n">
        <f aca="false">D1421*F1421</f>
        <v>7000</v>
      </c>
      <c r="H1421" s="2" t="str">
        <f aca="false">INDEX(Daftar_Menu!$B$2:$B$13,MATCH(C1421,Daftar_Menu!$A$2:$A$13,0))</f>
        <v>Minuman</v>
      </c>
      <c r="I1421" s="2" t="str">
        <f aca="false">CHOOSE(WEEKDAY(B1421,2),"Senin","Selasa","Rabu","Kamis","Jumat","Sabtu","Minggu")</f>
        <v>Sabtu</v>
      </c>
      <c r="J1421" s="2" t="n">
        <f aca="false">HOUR(E1421)</f>
        <v>11</v>
      </c>
      <c r="K1421" s="2" t="str">
        <f aca="false">IF(J1421&lt;11,"Pagi",IF(J1421&lt;17,"Siang","Malam"))</f>
        <v>Siang</v>
      </c>
      <c r="L1421" s="2" t="n">
        <f aca="false">IF(A1421&lt;&gt;A1420,1,0)</f>
        <v>1</v>
      </c>
    </row>
    <row r="1422" customFormat="false" ht="15" hidden="false" customHeight="false" outlineLevel="0" collapsed="false">
      <c r="A1422" s="2" t="s">
        <v>1447</v>
      </c>
      <c r="B1422" s="13" t="n">
        <v>46284</v>
      </c>
      <c r="C1422" s="2" t="s">
        <v>89</v>
      </c>
      <c r="D1422" s="2" t="n">
        <v>2</v>
      </c>
      <c r="E1422" s="15" t="n">
        <v>0.471527777777778</v>
      </c>
      <c r="F1422" s="7" t="n">
        <v>14000</v>
      </c>
      <c r="G1422" s="7" t="n">
        <f aca="false">D1422*F1422</f>
        <v>28000</v>
      </c>
      <c r="H1422" s="2" t="str">
        <f aca="false">INDEX(Daftar_Menu!$B$2:$B$13,MATCH(C1422,Daftar_Menu!$A$2:$A$13,0))</f>
        <v>Makanan</v>
      </c>
      <c r="I1422" s="2" t="str">
        <f aca="false">CHOOSE(WEEKDAY(B1422,2),"Senin","Selasa","Rabu","Kamis","Jumat","Sabtu","Minggu")</f>
        <v>Sabtu</v>
      </c>
      <c r="J1422" s="2" t="n">
        <f aca="false">HOUR(E1422)</f>
        <v>11</v>
      </c>
      <c r="K1422" s="2" t="str">
        <f aca="false">IF(J1422&lt;11,"Pagi",IF(J1422&lt;17,"Siang","Malam"))</f>
        <v>Siang</v>
      </c>
      <c r="L1422" s="2" t="n">
        <f aca="false">IF(A1422&lt;&gt;A1421,1,0)</f>
        <v>0</v>
      </c>
    </row>
    <row r="1423" customFormat="false" ht="15" hidden="false" customHeight="false" outlineLevel="0" collapsed="false">
      <c r="A1423" s="2" t="s">
        <v>1449</v>
      </c>
      <c r="B1423" s="13" t="n">
        <v>46284</v>
      </c>
      <c r="C1423" s="2" t="s">
        <v>81</v>
      </c>
      <c r="D1423" s="2" t="n">
        <v>1</v>
      </c>
      <c r="E1423" s="15" t="n">
        <v>0.472222222222222</v>
      </c>
      <c r="F1423" s="7" t="n">
        <v>15000</v>
      </c>
      <c r="G1423" s="7" t="n">
        <f aca="false">D1423*F1423</f>
        <v>15000</v>
      </c>
      <c r="H1423" s="2" t="str">
        <f aca="false">INDEX(Daftar_Menu!$B$2:$B$13,MATCH(C1423,Daftar_Menu!$A$2:$A$13,0))</f>
        <v>Makanan</v>
      </c>
      <c r="I1423" s="2" t="str">
        <f aca="false">CHOOSE(WEEKDAY(B1423,2),"Senin","Selasa","Rabu","Kamis","Jumat","Sabtu","Minggu")</f>
        <v>Sabtu</v>
      </c>
      <c r="J1423" s="2" t="n">
        <f aca="false">HOUR(E1423)</f>
        <v>11</v>
      </c>
      <c r="K1423" s="2" t="str">
        <f aca="false">IF(J1423&lt;11,"Pagi",IF(J1423&lt;17,"Siang","Malam"))</f>
        <v>Siang</v>
      </c>
      <c r="L1423" s="2" t="n">
        <f aca="false">IF(A1423&lt;&gt;A1422,1,0)</f>
        <v>1</v>
      </c>
    </row>
    <row r="1424" customFormat="false" ht="15" hidden="false" customHeight="false" outlineLevel="0" collapsed="false">
      <c r="A1424" s="2" t="s">
        <v>1450</v>
      </c>
      <c r="B1424" s="13" t="n">
        <v>46284</v>
      </c>
      <c r="C1424" s="2" t="s">
        <v>92</v>
      </c>
      <c r="D1424" s="2" t="n">
        <v>2</v>
      </c>
      <c r="E1424" s="15" t="n">
        <v>0.488194444444444</v>
      </c>
      <c r="F1424" s="7" t="n">
        <v>4000</v>
      </c>
      <c r="G1424" s="7" t="n">
        <f aca="false">D1424*F1424</f>
        <v>8000</v>
      </c>
      <c r="H1424" s="2" t="str">
        <f aca="false">INDEX(Daftar_Menu!$B$2:$B$13,MATCH(C1424,Daftar_Menu!$A$2:$A$13,0))</f>
        <v>Minuman</v>
      </c>
      <c r="I1424" s="2" t="str">
        <f aca="false">CHOOSE(WEEKDAY(B1424,2),"Senin","Selasa","Rabu","Kamis","Jumat","Sabtu","Minggu")</f>
        <v>Sabtu</v>
      </c>
      <c r="J1424" s="2" t="n">
        <f aca="false">HOUR(E1424)</f>
        <v>11</v>
      </c>
      <c r="K1424" s="2" t="str">
        <f aca="false">IF(J1424&lt;11,"Pagi",IF(J1424&lt;17,"Siang","Malam"))</f>
        <v>Siang</v>
      </c>
      <c r="L1424" s="2" t="n">
        <f aca="false">IF(A1424&lt;&gt;A1423,1,0)</f>
        <v>1</v>
      </c>
    </row>
    <row r="1425" customFormat="false" ht="15" hidden="false" customHeight="false" outlineLevel="0" collapsed="false">
      <c r="A1425" s="2" t="s">
        <v>1450</v>
      </c>
      <c r="B1425" s="13" t="n">
        <v>46284</v>
      </c>
      <c r="C1425" s="2" t="s">
        <v>84</v>
      </c>
      <c r="D1425" s="2" t="n">
        <v>1</v>
      </c>
      <c r="E1425" s="15" t="n">
        <v>0.488194444444444</v>
      </c>
      <c r="F1425" s="7" t="n">
        <v>5000</v>
      </c>
      <c r="G1425" s="7" t="n">
        <f aca="false">D1425*F1425</f>
        <v>5000</v>
      </c>
      <c r="H1425" s="2" t="str">
        <f aca="false">INDEX(Daftar_Menu!$B$2:$B$13,MATCH(C1425,Daftar_Menu!$A$2:$A$13,0))</f>
        <v>Minuman</v>
      </c>
      <c r="I1425" s="2" t="str">
        <f aca="false">CHOOSE(WEEKDAY(B1425,2),"Senin","Selasa","Rabu","Kamis","Jumat","Sabtu","Minggu")</f>
        <v>Sabtu</v>
      </c>
      <c r="J1425" s="2" t="n">
        <f aca="false">HOUR(E1425)</f>
        <v>11</v>
      </c>
      <c r="K1425" s="2" t="str">
        <f aca="false">IF(J1425&lt;11,"Pagi",IF(J1425&lt;17,"Siang","Malam"))</f>
        <v>Siang</v>
      </c>
      <c r="L1425" s="2" t="n">
        <f aca="false">IF(A1425&lt;&gt;A1424,1,0)</f>
        <v>0</v>
      </c>
    </row>
    <row r="1426" customFormat="false" ht="15" hidden="false" customHeight="false" outlineLevel="0" collapsed="false">
      <c r="A1426" s="2" t="s">
        <v>1450</v>
      </c>
      <c r="B1426" s="13" t="n">
        <v>46284</v>
      </c>
      <c r="C1426" s="2" t="s">
        <v>81</v>
      </c>
      <c r="D1426" s="2" t="n">
        <v>1</v>
      </c>
      <c r="E1426" s="15" t="n">
        <v>0.488194444444444</v>
      </c>
      <c r="F1426" s="7" t="n">
        <v>15000</v>
      </c>
      <c r="G1426" s="7" t="n">
        <f aca="false">D1426*F1426</f>
        <v>15000</v>
      </c>
      <c r="H1426" s="2" t="str">
        <f aca="false">INDEX(Daftar_Menu!$B$2:$B$13,MATCH(C1426,Daftar_Menu!$A$2:$A$13,0))</f>
        <v>Makanan</v>
      </c>
      <c r="I1426" s="2" t="str">
        <f aca="false">CHOOSE(WEEKDAY(B1426,2),"Senin","Selasa","Rabu","Kamis","Jumat","Sabtu","Minggu")</f>
        <v>Sabtu</v>
      </c>
      <c r="J1426" s="2" t="n">
        <f aca="false">HOUR(E1426)</f>
        <v>11</v>
      </c>
      <c r="K1426" s="2" t="str">
        <f aca="false">IF(J1426&lt;11,"Pagi",IF(J1426&lt;17,"Siang","Malam"))</f>
        <v>Siang</v>
      </c>
      <c r="L1426" s="2" t="n">
        <f aca="false">IF(A1426&lt;&gt;A1425,1,0)</f>
        <v>0</v>
      </c>
    </row>
    <row r="1427" customFormat="false" ht="15" hidden="false" customHeight="false" outlineLevel="0" collapsed="false">
      <c r="A1427" s="2" t="s">
        <v>1451</v>
      </c>
      <c r="B1427" s="13" t="n">
        <v>46284</v>
      </c>
      <c r="C1427" s="2" t="s">
        <v>81</v>
      </c>
      <c r="D1427" s="2" t="n">
        <v>1</v>
      </c>
      <c r="E1427" s="15" t="n">
        <v>0.49375</v>
      </c>
      <c r="F1427" s="7" t="n">
        <v>15000</v>
      </c>
      <c r="G1427" s="7" t="n">
        <f aca="false">D1427*F1427</f>
        <v>15000</v>
      </c>
      <c r="H1427" s="2" t="str">
        <f aca="false">INDEX(Daftar_Menu!$B$2:$B$13,MATCH(C1427,Daftar_Menu!$A$2:$A$13,0))</f>
        <v>Makanan</v>
      </c>
      <c r="I1427" s="2" t="str">
        <f aca="false">CHOOSE(WEEKDAY(B1427,2),"Senin","Selasa","Rabu","Kamis","Jumat","Sabtu","Minggu")</f>
        <v>Sabtu</v>
      </c>
      <c r="J1427" s="2" t="n">
        <f aca="false">HOUR(E1427)</f>
        <v>11</v>
      </c>
      <c r="K1427" s="2" t="str">
        <f aca="false">IF(J1427&lt;11,"Pagi",IF(J1427&lt;17,"Siang","Malam"))</f>
        <v>Siang</v>
      </c>
      <c r="L1427" s="2" t="n">
        <f aca="false">IF(A1427&lt;&gt;A1426,1,0)</f>
        <v>1</v>
      </c>
    </row>
    <row r="1428" customFormat="false" ht="15" hidden="false" customHeight="false" outlineLevel="0" collapsed="false">
      <c r="A1428" s="2" t="s">
        <v>1452</v>
      </c>
      <c r="B1428" s="13" t="n">
        <v>46284</v>
      </c>
      <c r="C1428" s="2" t="s">
        <v>108</v>
      </c>
      <c r="D1428" s="2" t="n">
        <v>1</v>
      </c>
      <c r="E1428" s="15" t="n">
        <v>0.5</v>
      </c>
      <c r="F1428" s="7" t="n">
        <v>20000</v>
      </c>
      <c r="G1428" s="7" t="n">
        <f aca="false">D1428*F1428</f>
        <v>20000</v>
      </c>
      <c r="H1428" s="2" t="str">
        <f aca="false">INDEX(Daftar_Menu!$B$2:$B$13,MATCH(C1428,Daftar_Menu!$A$2:$A$13,0))</f>
        <v>Makanan</v>
      </c>
      <c r="I1428" s="2" t="str">
        <f aca="false">CHOOSE(WEEKDAY(B1428,2),"Senin","Selasa","Rabu","Kamis","Jumat","Sabtu","Minggu")</f>
        <v>Sabtu</v>
      </c>
      <c r="J1428" s="2" t="n">
        <f aca="false">HOUR(E1428)</f>
        <v>12</v>
      </c>
      <c r="K1428" s="2" t="str">
        <f aca="false">IF(J1428&lt;11,"Pagi",IF(J1428&lt;17,"Siang","Malam"))</f>
        <v>Siang</v>
      </c>
      <c r="L1428" s="2" t="n">
        <f aca="false">IF(A1428&lt;&gt;A1427,1,0)</f>
        <v>1</v>
      </c>
    </row>
    <row r="1429" customFormat="false" ht="15" hidden="false" customHeight="false" outlineLevel="0" collapsed="false">
      <c r="A1429" s="2" t="s">
        <v>1452</v>
      </c>
      <c r="B1429" s="13" t="n">
        <v>46284</v>
      </c>
      <c r="C1429" s="2" t="s">
        <v>112</v>
      </c>
      <c r="D1429" s="2" t="n">
        <v>3</v>
      </c>
      <c r="E1429" s="15" t="n">
        <v>0.5</v>
      </c>
      <c r="F1429" s="7" t="n">
        <v>10000</v>
      </c>
      <c r="G1429" s="7" t="n">
        <f aca="false">D1429*F1429</f>
        <v>30000</v>
      </c>
      <c r="H1429" s="2" t="str">
        <f aca="false">INDEX(Daftar_Menu!$B$2:$B$13,MATCH(C1429,Daftar_Menu!$A$2:$A$13,0))</f>
        <v>Minuman</v>
      </c>
      <c r="I1429" s="2" t="str">
        <f aca="false">CHOOSE(WEEKDAY(B1429,2),"Senin","Selasa","Rabu","Kamis","Jumat","Sabtu","Minggu")</f>
        <v>Sabtu</v>
      </c>
      <c r="J1429" s="2" t="n">
        <f aca="false">HOUR(E1429)</f>
        <v>12</v>
      </c>
      <c r="K1429" s="2" t="str">
        <f aca="false">IF(J1429&lt;11,"Pagi",IF(J1429&lt;17,"Siang","Malam"))</f>
        <v>Siang</v>
      </c>
      <c r="L1429" s="2" t="n">
        <f aca="false">IF(A1429&lt;&gt;A1428,1,0)</f>
        <v>0</v>
      </c>
    </row>
    <row r="1430" customFormat="false" ht="15" hidden="false" customHeight="false" outlineLevel="0" collapsed="false">
      <c r="A1430" s="2" t="s">
        <v>1453</v>
      </c>
      <c r="B1430" s="13" t="n">
        <v>46284</v>
      </c>
      <c r="C1430" s="2" t="s">
        <v>84</v>
      </c>
      <c r="D1430" s="2" t="n">
        <v>1</v>
      </c>
      <c r="E1430" s="15" t="n">
        <v>0.501388888888889</v>
      </c>
      <c r="F1430" s="7" t="n">
        <v>5000</v>
      </c>
      <c r="G1430" s="7" t="n">
        <f aca="false">D1430*F1430</f>
        <v>5000</v>
      </c>
      <c r="H1430" s="2" t="str">
        <f aca="false">INDEX(Daftar_Menu!$B$2:$B$13,MATCH(C1430,Daftar_Menu!$A$2:$A$13,0))</f>
        <v>Minuman</v>
      </c>
      <c r="I1430" s="2" t="str">
        <f aca="false">CHOOSE(WEEKDAY(B1430,2),"Senin","Selasa","Rabu","Kamis","Jumat","Sabtu","Minggu")</f>
        <v>Sabtu</v>
      </c>
      <c r="J1430" s="2" t="n">
        <f aca="false">HOUR(E1430)</f>
        <v>12</v>
      </c>
      <c r="K1430" s="2" t="str">
        <f aca="false">IF(J1430&lt;11,"Pagi",IF(J1430&lt;17,"Siang","Malam"))</f>
        <v>Siang</v>
      </c>
      <c r="L1430" s="2" t="n">
        <f aca="false">IF(A1430&lt;&gt;A1429,1,0)</f>
        <v>1</v>
      </c>
    </row>
    <row r="1431" customFormat="false" ht="15" hidden="false" customHeight="false" outlineLevel="0" collapsed="false">
      <c r="A1431" s="2" t="s">
        <v>1453</v>
      </c>
      <c r="B1431" s="13" t="n">
        <v>46284</v>
      </c>
      <c r="C1431" s="2" t="s">
        <v>101</v>
      </c>
      <c r="D1431" s="2" t="n">
        <v>2</v>
      </c>
      <c r="E1431" s="15" t="n">
        <v>0.501388888888889</v>
      </c>
      <c r="F1431" s="7" t="n">
        <v>18000</v>
      </c>
      <c r="G1431" s="7" t="n">
        <f aca="false">D1431*F1431</f>
        <v>36000</v>
      </c>
      <c r="H1431" s="2" t="str">
        <f aca="false">INDEX(Daftar_Menu!$B$2:$B$13,MATCH(C1431,Daftar_Menu!$A$2:$A$13,0))</f>
        <v>Makanan</v>
      </c>
      <c r="I1431" s="2" t="str">
        <f aca="false">CHOOSE(WEEKDAY(B1431,2),"Senin","Selasa","Rabu","Kamis","Jumat","Sabtu","Minggu")</f>
        <v>Sabtu</v>
      </c>
      <c r="J1431" s="2" t="n">
        <f aca="false">HOUR(E1431)</f>
        <v>12</v>
      </c>
      <c r="K1431" s="2" t="str">
        <f aca="false">IF(J1431&lt;11,"Pagi",IF(J1431&lt;17,"Siang","Malam"))</f>
        <v>Siang</v>
      </c>
      <c r="L1431" s="2" t="n">
        <f aca="false">IF(A1431&lt;&gt;A1430,1,0)</f>
        <v>0</v>
      </c>
    </row>
    <row r="1432" customFormat="false" ht="15" hidden="false" customHeight="false" outlineLevel="0" collapsed="false">
      <c r="A1432" s="2" t="s">
        <v>1453</v>
      </c>
      <c r="B1432" s="13" t="n">
        <v>46284</v>
      </c>
      <c r="C1432" s="2" t="s">
        <v>108</v>
      </c>
      <c r="D1432" s="2" t="n">
        <v>1</v>
      </c>
      <c r="E1432" s="15" t="n">
        <v>0.501388888888889</v>
      </c>
      <c r="F1432" s="7" t="n">
        <v>20000</v>
      </c>
      <c r="G1432" s="7" t="n">
        <f aca="false">D1432*F1432</f>
        <v>20000</v>
      </c>
      <c r="H1432" s="2" t="str">
        <f aca="false">INDEX(Daftar_Menu!$B$2:$B$13,MATCH(C1432,Daftar_Menu!$A$2:$A$13,0))</f>
        <v>Makanan</v>
      </c>
      <c r="I1432" s="2" t="str">
        <f aca="false">CHOOSE(WEEKDAY(B1432,2),"Senin","Selasa","Rabu","Kamis","Jumat","Sabtu","Minggu")</f>
        <v>Sabtu</v>
      </c>
      <c r="J1432" s="2" t="n">
        <f aca="false">HOUR(E1432)</f>
        <v>12</v>
      </c>
      <c r="K1432" s="2" t="str">
        <f aca="false">IF(J1432&lt;11,"Pagi",IF(J1432&lt;17,"Siang","Malam"))</f>
        <v>Siang</v>
      </c>
      <c r="L1432" s="2" t="n">
        <f aca="false">IF(A1432&lt;&gt;A1431,1,0)</f>
        <v>0</v>
      </c>
    </row>
    <row r="1433" customFormat="false" ht="15" hidden="false" customHeight="false" outlineLevel="0" collapsed="false">
      <c r="A1433" s="2" t="s">
        <v>1454</v>
      </c>
      <c r="B1433" s="13" t="n">
        <v>46284</v>
      </c>
      <c r="C1433" s="2" t="s">
        <v>108</v>
      </c>
      <c r="D1433" s="2" t="n">
        <v>2</v>
      </c>
      <c r="E1433" s="15" t="n">
        <v>0.503472222222222</v>
      </c>
      <c r="F1433" s="7" t="n">
        <v>20000</v>
      </c>
      <c r="G1433" s="7" t="n">
        <f aca="false">D1433*F1433</f>
        <v>40000</v>
      </c>
      <c r="H1433" s="2" t="str">
        <f aca="false">INDEX(Daftar_Menu!$B$2:$B$13,MATCH(C1433,Daftar_Menu!$A$2:$A$13,0))</f>
        <v>Makanan</v>
      </c>
      <c r="I1433" s="2" t="str">
        <f aca="false">CHOOSE(WEEKDAY(B1433,2),"Senin","Selasa","Rabu","Kamis","Jumat","Sabtu","Minggu")</f>
        <v>Sabtu</v>
      </c>
      <c r="J1433" s="2" t="n">
        <f aca="false">HOUR(E1433)</f>
        <v>12</v>
      </c>
      <c r="K1433" s="2" t="str">
        <f aca="false">IF(J1433&lt;11,"Pagi",IF(J1433&lt;17,"Siang","Malam"))</f>
        <v>Siang</v>
      </c>
      <c r="L1433" s="2" t="n">
        <f aca="false">IF(A1433&lt;&gt;A1432,1,0)</f>
        <v>1</v>
      </c>
    </row>
    <row r="1434" customFormat="false" ht="15" hidden="false" customHeight="false" outlineLevel="0" collapsed="false">
      <c r="A1434" s="2" t="s">
        <v>1456</v>
      </c>
      <c r="B1434" s="13" t="n">
        <v>46284</v>
      </c>
      <c r="C1434" s="2" t="s">
        <v>126</v>
      </c>
      <c r="D1434" s="2" t="n">
        <v>1</v>
      </c>
      <c r="E1434" s="15" t="n">
        <v>0.503472222222222</v>
      </c>
      <c r="F1434" s="7" t="n">
        <v>3000</v>
      </c>
      <c r="G1434" s="7" t="n">
        <f aca="false">D1434*F1434</f>
        <v>3000</v>
      </c>
      <c r="H1434" s="2" t="str">
        <f aca="false">INDEX(Daftar_Menu!$B$2:$B$13,MATCH(C1434,Daftar_Menu!$A$2:$A$13,0))</f>
        <v>Minuman</v>
      </c>
      <c r="I1434" s="2" t="str">
        <f aca="false">CHOOSE(WEEKDAY(B1434,2),"Senin","Selasa","Rabu","Kamis","Jumat","Sabtu","Minggu")</f>
        <v>Sabtu</v>
      </c>
      <c r="J1434" s="2" t="n">
        <f aca="false">HOUR(E1434)</f>
        <v>12</v>
      </c>
      <c r="K1434" s="2" t="str">
        <f aca="false">IF(J1434&lt;11,"Pagi",IF(J1434&lt;17,"Siang","Malam"))</f>
        <v>Siang</v>
      </c>
      <c r="L1434" s="2" t="n">
        <f aca="false">IF(A1434&lt;&gt;A1433,1,0)</f>
        <v>1</v>
      </c>
    </row>
    <row r="1435" customFormat="false" ht="15" hidden="false" customHeight="false" outlineLevel="0" collapsed="false">
      <c r="A1435" s="2" t="s">
        <v>1457</v>
      </c>
      <c r="B1435" s="13" t="n">
        <v>46284</v>
      </c>
      <c r="C1435" s="2" t="s">
        <v>81</v>
      </c>
      <c r="D1435" s="2" t="n">
        <v>1</v>
      </c>
      <c r="E1435" s="15" t="n">
        <v>0.506944444444444</v>
      </c>
      <c r="F1435" s="7" t="n">
        <v>15000</v>
      </c>
      <c r="G1435" s="7" t="n">
        <f aca="false">D1435*F1435</f>
        <v>15000</v>
      </c>
      <c r="H1435" s="2" t="str">
        <f aca="false">INDEX(Daftar_Menu!$B$2:$B$13,MATCH(C1435,Daftar_Menu!$A$2:$A$13,0))</f>
        <v>Makanan</v>
      </c>
      <c r="I1435" s="2" t="str">
        <f aca="false">CHOOSE(WEEKDAY(B1435,2),"Senin","Selasa","Rabu","Kamis","Jumat","Sabtu","Minggu")</f>
        <v>Sabtu</v>
      </c>
      <c r="J1435" s="2" t="n">
        <f aca="false">HOUR(E1435)</f>
        <v>12</v>
      </c>
      <c r="K1435" s="2" t="str">
        <f aca="false">IF(J1435&lt;11,"Pagi",IF(J1435&lt;17,"Siang","Malam"))</f>
        <v>Siang</v>
      </c>
      <c r="L1435" s="2" t="n">
        <f aca="false">IF(A1435&lt;&gt;A1434,1,0)</f>
        <v>1</v>
      </c>
    </row>
    <row r="1436" customFormat="false" ht="15" hidden="false" customHeight="false" outlineLevel="0" collapsed="false">
      <c r="A1436" s="2" t="s">
        <v>1458</v>
      </c>
      <c r="B1436" s="13" t="n">
        <v>46284</v>
      </c>
      <c r="C1436" s="2" t="s">
        <v>186</v>
      </c>
      <c r="D1436" s="2" t="n">
        <v>1</v>
      </c>
      <c r="E1436" s="15" t="n">
        <v>0.509722222222222</v>
      </c>
      <c r="F1436" s="7" t="n">
        <v>7000</v>
      </c>
      <c r="G1436" s="7" t="n">
        <f aca="false">D1436*F1436</f>
        <v>7000</v>
      </c>
      <c r="H1436" s="2" t="str">
        <f aca="false">INDEX(Daftar_Menu!$B$2:$B$13,MATCH(C1436,Daftar_Menu!$A$2:$A$13,0))</f>
        <v>Minuman</v>
      </c>
      <c r="I1436" s="2" t="str">
        <f aca="false">CHOOSE(WEEKDAY(B1436,2),"Senin","Selasa","Rabu","Kamis","Jumat","Sabtu","Minggu")</f>
        <v>Sabtu</v>
      </c>
      <c r="J1436" s="2" t="n">
        <f aca="false">HOUR(E1436)</f>
        <v>12</v>
      </c>
      <c r="K1436" s="2" t="str">
        <f aca="false">IF(J1436&lt;11,"Pagi",IF(J1436&lt;17,"Siang","Malam"))</f>
        <v>Siang</v>
      </c>
      <c r="L1436" s="2" t="n">
        <f aca="false">IF(A1436&lt;&gt;A1435,1,0)</f>
        <v>1</v>
      </c>
    </row>
    <row r="1437" customFormat="false" ht="15" hidden="false" customHeight="false" outlineLevel="0" collapsed="false">
      <c r="A1437" s="2" t="s">
        <v>1460</v>
      </c>
      <c r="B1437" s="13" t="n">
        <v>46284</v>
      </c>
      <c r="C1437" s="2" t="s">
        <v>89</v>
      </c>
      <c r="D1437" s="2" t="n">
        <v>2</v>
      </c>
      <c r="E1437" s="15" t="n">
        <v>0.529861111111111</v>
      </c>
      <c r="F1437" s="7" t="n">
        <v>14000</v>
      </c>
      <c r="G1437" s="7" t="n">
        <f aca="false">D1437*F1437</f>
        <v>28000</v>
      </c>
      <c r="H1437" s="2" t="str">
        <f aca="false">INDEX(Daftar_Menu!$B$2:$B$13,MATCH(C1437,Daftar_Menu!$A$2:$A$13,0))</f>
        <v>Makanan</v>
      </c>
      <c r="I1437" s="2" t="str">
        <f aca="false">CHOOSE(WEEKDAY(B1437,2),"Senin","Selasa","Rabu","Kamis","Jumat","Sabtu","Minggu")</f>
        <v>Sabtu</v>
      </c>
      <c r="J1437" s="2" t="n">
        <f aca="false">HOUR(E1437)</f>
        <v>12</v>
      </c>
      <c r="K1437" s="2" t="str">
        <f aca="false">IF(J1437&lt;11,"Pagi",IF(J1437&lt;17,"Siang","Malam"))</f>
        <v>Siang</v>
      </c>
      <c r="L1437" s="2" t="n">
        <f aca="false">IF(A1437&lt;&gt;A1436,1,0)</f>
        <v>1</v>
      </c>
    </row>
    <row r="1438" customFormat="false" ht="15" hidden="false" customHeight="false" outlineLevel="0" collapsed="false">
      <c r="A1438" s="2" t="s">
        <v>1460</v>
      </c>
      <c r="B1438" s="13" t="n">
        <v>46284</v>
      </c>
      <c r="C1438" s="2" t="s">
        <v>84</v>
      </c>
      <c r="D1438" s="2" t="n">
        <v>1</v>
      </c>
      <c r="E1438" s="15" t="n">
        <v>0.529861111111111</v>
      </c>
      <c r="F1438" s="7" t="n">
        <v>5000</v>
      </c>
      <c r="G1438" s="7" t="n">
        <f aca="false">D1438*F1438</f>
        <v>5000</v>
      </c>
      <c r="H1438" s="2" t="str">
        <f aca="false">INDEX(Daftar_Menu!$B$2:$B$13,MATCH(C1438,Daftar_Menu!$A$2:$A$13,0))</f>
        <v>Minuman</v>
      </c>
      <c r="I1438" s="2" t="str">
        <f aca="false">CHOOSE(WEEKDAY(B1438,2),"Senin","Selasa","Rabu","Kamis","Jumat","Sabtu","Minggu")</f>
        <v>Sabtu</v>
      </c>
      <c r="J1438" s="2" t="n">
        <f aca="false">HOUR(E1438)</f>
        <v>12</v>
      </c>
      <c r="K1438" s="2" t="str">
        <f aca="false">IF(J1438&lt;11,"Pagi",IF(J1438&lt;17,"Siang","Malam"))</f>
        <v>Siang</v>
      </c>
      <c r="L1438" s="2" t="n">
        <f aca="false">IF(A1438&lt;&gt;A1437,1,0)</f>
        <v>0</v>
      </c>
    </row>
    <row r="1439" customFormat="false" ht="15" hidden="false" customHeight="false" outlineLevel="0" collapsed="false">
      <c r="A1439" s="2" t="s">
        <v>1461</v>
      </c>
      <c r="B1439" s="13" t="n">
        <v>46284</v>
      </c>
      <c r="C1439" s="2" t="s">
        <v>84</v>
      </c>
      <c r="D1439" s="2" t="n">
        <v>2</v>
      </c>
      <c r="E1439" s="15" t="n">
        <v>0.529861111111111</v>
      </c>
      <c r="F1439" s="7" t="n">
        <v>5000</v>
      </c>
      <c r="G1439" s="7" t="n">
        <f aca="false">D1439*F1439</f>
        <v>10000</v>
      </c>
      <c r="H1439" s="2" t="str">
        <f aca="false">INDEX(Daftar_Menu!$B$2:$B$13,MATCH(C1439,Daftar_Menu!$A$2:$A$13,0))</f>
        <v>Minuman</v>
      </c>
      <c r="I1439" s="2" t="str">
        <f aca="false">CHOOSE(WEEKDAY(B1439,2),"Senin","Selasa","Rabu","Kamis","Jumat","Sabtu","Minggu")</f>
        <v>Sabtu</v>
      </c>
      <c r="J1439" s="2" t="n">
        <f aca="false">HOUR(E1439)</f>
        <v>12</v>
      </c>
      <c r="K1439" s="2" t="str">
        <f aca="false">IF(J1439&lt;11,"Pagi",IF(J1439&lt;17,"Siang","Malam"))</f>
        <v>Siang</v>
      </c>
      <c r="L1439" s="2" t="n">
        <f aca="false">IF(A1439&lt;&gt;A1438,1,0)</f>
        <v>1</v>
      </c>
    </row>
    <row r="1440" customFormat="false" ht="15" hidden="false" customHeight="false" outlineLevel="0" collapsed="false">
      <c r="A1440" s="2" t="s">
        <v>1462</v>
      </c>
      <c r="B1440" s="13" t="n">
        <v>46284</v>
      </c>
      <c r="C1440" s="2" t="s">
        <v>132</v>
      </c>
      <c r="D1440" s="2" t="n">
        <v>2</v>
      </c>
      <c r="E1440" s="15" t="n">
        <v>0.53125</v>
      </c>
      <c r="F1440" s="7" t="n">
        <v>15000</v>
      </c>
      <c r="G1440" s="7" t="n">
        <f aca="false">D1440*F1440</f>
        <v>30000</v>
      </c>
      <c r="H1440" s="2" t="str">
        <f aca="false">INDEX(Daftar_Menu!$B$2:$B$13,MATCH(C1440,Daftar_Menu!$A$2:$A$13,0))</f>
        <v>Makanan</v>
      </c>
      <c r="I1440" s="2" t="str">
        <f aca="false">CHOOSE(WEEKDAY(B1440,2),"Senin","Selasa","Rabu","Kamis","Jumat","Sabtu","Minggu")</f>
        <v>Sabtu</v>
      </c>
      <c r="J1440" s="2" t="n">
        <f aca="false">HOUR(E1440)</f>
        <v>12</v>
      </c>
      <c r="K1440" s="2" t="str">
        <f aca="false">IF(J1440&lt;11,"Pagi",IF(J1440&lt;17,"Siang","Malam"))</f>
        <v>Siang</v>
      </c>
      <c r="L1440" s="2" t="n">
        <f aca="false">IF(A1440&lt;&gt;A1439,1,0)</f>
        <v>1</v>
      </c>
    </row>
    <row r="1441" customFormat="false" ht="15" hidden="false" customHeight="false" outlineLevel="0" collapsed="false">
      <c r="A1441" s="2" t="s">
        <v>1462</v>
      </c>
      <c r="B1441" s="13" t="n">
        <v>46284</v>
      </c>
      <c r="C1441" s="2" t="s">
        <v>101</v>
      </c>
      <c r="D1441" s="2" t="n">
        <v>2</v>
      </c>
      <c r="E1441" s="15" t="n">
        <v>0.53125</v>
      </c>
      <c r="F1441" s="7" t="n">
        <v>18000</v>
      </c>
      <c r="G1441" s="7" t="n">
        <f aca="false">D1441*F1441</f>
        <v>36000</v>
      </c>
      <c r="H1441" s="2" t="str">
        <f aca="false">INDEX(Daftar_Menu!$B$2:$B$13,MATCH(C1441,Daftar_Menu!$A$2:$A$13,0))</f>
        <v>Makanan</v>
      </c>
      <c r="I1441" s="2" t="str">
        <f aca="false">CHOOSE(WEEKDAY(B1441,2),"Senin","Selasa","Rabu","Kamis","Jumat","Sabtu","Minggu")</f>
        <v>Sabtu</v>
      </c>
      <c r="J1441" s="2" t="n">
        <f aca="false">HOUR(E1441)</f>
        <v>12</v>
      </c>
      <c r="K1441" s="2" t="str">
        <f aca="false">IF(J1441&lt;11,"Pagi",IF(J1441&lt;17,"Siang","Malam"))</f>
        <v>Siang</v>
      </c>
      <c r="L1441" s="2" t="n">
        <f aca="false">IF(A1441&lt;&gt;A1440,1,0)</f>
        <v>0</v>
      </c>
    </row>
    <row r="1442" customFormat="false" ht="15" hidden="false" customHeight="false" outlineLevel="0" collapsed="false">
      <c r="A1442" s="2" t="s">
        <v>1462</v>
      </c>
      <c r="B1442" s="13" t="n">
        <v>46284</v>
      </c>
      <c r="C1442" s="2" t="s">
        <v>84</v>
      </c>
      <c r="D1442" s="2" t="n">
        <v>1</v>
      </c>
      <c r="E1442" s="15" t="n">
        <v>0.53125</v>
      </c>
      <c r="F1442" s="7" t="n">
        <v>5000</v>
      </c>
      <c r="G1442" s="7" t="n">
        <f aca="false">D1442*F1442</f>
        <v>5000</v>
      </c>
      <c r="H1442" s="2" t="str">
        <f aca="false">INDEX(Daftar_Menu!$B$2:$B$13,MATCH(C1442,Daftar_Menu!$A$2:$A$13,0))</f>
        <v>Minuman</v>
      </c>
      <c r="I1442" s="2" t="str">
        <f aca="false">CHOOSE(WEEKDAY(B1442,2),"Senin","Selasa","Rabu","Kamis","Jumat","Sabtu","Minggu")</f>
        <v>Sabtu</v>
      </c>
      <c r="J1442" s="2" t="n">
        <f aca="false">HOUR(E1442)</f>
        <v>12</v>
      </c>
      <c r="K1442" s="2" t="str">
        <f aca="false">IF(J1442&lt;11,"Pagi",IF(J1442&lt;17,"Siang","Malam"))</f>
        <v>Siang</v>
      </c>
      <c r="L1442" s="2" t="n">
        <f aca="false">IF(A1442&lt;&gt;A1441,1,0)</f>
        <v>0</v>
      </c>
    </row>
    <row r="1443" customFormat="false" ht="15" hidden="false" customHeight="false" outlineLevel="0" collapsed="false">
      <c r="A1443" s="2" t="s">
        <v>1464</v>
      </c>
      <c r="B1443" s="13" t="n">
        <v>46284</v>
      </c>
      <c r="C1443" s="2" t="s">
        <v>101</v>
      </c>
      <c r="D1443" s="2" t="n">
        <v>1</v>
      </c>
      <c r="E1443" s="15" t="n">
        <v>0.543055555555556</v>
      </c>
      <c r="F1443" s="7" t="n">
        <v>18000</v>
      </c>
      <c r="G1443" s="7" t="n">
        <f aca="false">D1443*F1443</f>
        <v>18000</v>
      </c>
      <c r="H1443" s="2" t="str">
        <f aca="false">INDEX(Daftar_Menu!$B$2:$B$13,MATCH(C1443,Daftar_Menu!$A$2:$A$13,0))</f>
        <v>Makanan</v>
      </c>
      <c r="I1443" s="2" t="str">
        <f aca="false">CHOOSE(WEEKDAY(B1443,2),"Senin","Selasa","Rabu","Kamis","Jumat","Sabtu","Minggu")</f>
        <v>Sabtu</v>
      </c>
      <c r="J1443" s="2" t="n">
        <f aca="false">HOUR(E1443)</f>
        <v>13</v>
      </c>
      <c r="K1443" s="2" t="str">
        <f aca="false">IF(J1443&lt;11,"Pagi",IF(J1443&lt;17,"Siang","Malam"))</f>
        <v>Siang</v>
      </c>
      <c r="L1443" s="2" t="n">
        <f aca="false">IF(A1443&lt;&gt;A1442,1,0)</f>
        <v>1</v>
      </c>
    </row>
    <row r="1444" customFormat="false" ht="15" hidden="false" customHeight="false" outlineLevel="0" collapsed="false">
      <c r="A1444" s="2" t="s">
        <v>1464</v>
      </c>
      <c r="B1444" s="13" t="n">
        <v>46284</v>
      </c>
      <c r="C1444" s="2" t="s">
        <v>186</v>
      </c>
      <c r="D1444" s="2" t="n">
        <v>1</v>
      </c>
      <c r="E1444" s="15" t="n">
        <v>0.543055555555556</v>
      </c>
      <c r="F1444" s="7" t="n">
        <v>7000</v>
      </c>
      <c r="G1444" s="7" t="n">
        <f aca="false">D1444*F1444</f>
        <v>7000</v>
      </c>
      <c r="H1444" s="2" t="str">
        <f aca="false">INDEX(Daftar_Menu!$B$2:$B$13,MATCH(C1444,Daftar_Menu!$A$2:$A$13,0))</f>
        <v>Minuman</v>
      </c>
      <c r="I1444" s="2" t="str">
        <f aca="false">CHOOSE(WEEKDAY(B1444,2),"Senin","Selasa","Rabu","Kamis","Jumat","Sabtu","Minggu")</f>
        <v>Sabtu</v>
      </c>
      <c r="J1444" s="2" t="n">
        <f aca="false">HOUR(E1444)</f>
        <v>13</v>
      </c>
      <c r="K1444" s="2" t="str">
        <f aca="false">IF(J1444&lt;11,"Pagi",IF(J1444&lt;17,"Siang","Malam"))</f>
        <v>Siang</v>
      </c>
      <c r="L1444" s="2" t="n">
        <f aca="false">IF(A1444&lt;&gt;A1443,1,0)</f>
        <v>0</v>
      </c>
    </row>
    <row r="1445" customFormat="false" ht="15" hidden="false" customHeight="false" outlineLevel="0" collapsed="false">
      <c r="A1445" s="2" t="s">
        <v>1466</v>
      </c>
      <c r="B1445" s="13" t="n">
        <v>46284</v>
      </c>
      <c r="C1445" s="2" t="s">
        <v>89</v>
      </c>
      <c r="D1445" s="2" t="n">
        <v>1</v>
      </c>
      <c r="E1445" s="15" t="n">
        <v>0.564583333333333</v>
      </c>
      <c r="F1445" s="7" t="n">
        <v>14000</v>
      </c>
      <c r="G1445" s="7" t="n">
        <f aca="false">D1445*F1445</f>
        <v>14000</v>
      </c>
      <c r="H1445" s="2" t="str">
        <f aca="false">INDEX(Daftar_Menu!$B$2:$B$13,MATCH(C1445,Daftar_Menu!$A$2:$A$13,0))</f>
        <v>Makanan</v>
      </c>
      <c r="I1445" s="2" t="str">
        <f aca="false">CHOOSE(WEEKDAY(B1445,2),"Senin","Selasa","Rabu","Kamis","Jumat","Sabtu","Minggu")</f>
        <v>Sabtu</v>
      </c>
      <c r="J1445" s="2" t="n">
        <f aca="false">HOUR(E1445)</f>
        <v>13</v>
      </c>
      <c r="K1445" s="2" t="str">
        <f aca="false">IF(J1445&lt;11,"Pagi",IF(J1445&lt;17,"Siang","Malam"))</f>
        <v>Siang</v>
      </c>
      <c r="L1445" s="2" t="n">
        <f aca="false">IF(A1445&lt;&gt;A1444,1,0)</f>
        <v>1</v>
      </c>
    </row>
    <row r="1446" customFormat="false" ht="15" hidden="false" customHeight="false" outlineLevel="0" collapsed="false">
      <c r="A1446" s="2" t="s">
        <v>1467</v>
      </c>
      <c r="B1446" s="13" t="n">
        <v>46284</v>
      </c>
      <c r="C1446" s="2" t="s">
        <v>126</v>
      </c>
      <c r="D1446" s="2" t="n">
        <v>2</v>
      </c>
      <c r="E1446" s="15" t="n">
        <v>0.60625</v>
      </c>
      <c r="F1446" s="7" t="n">
        <v>3000</v>
      </c>
      <c r="G1446" s="7" t="n">
        <f aca="false">D1446*F1446</f>
        <v>6000</v>
      </c>
      <c r="H1446" s="2" t="str">
        <f aca="false">INDEX(Daftar_Menu!$B$2:$B$13,MATCH(C1446,Daftar_Menu!$A$2:$A$13,0))</f>
        <v>Minuman</v>
      </c>
      <c r="I1446" s="2" t="str">
        <f aca="false">CHOOSE(WEEKDAY(B1446,2),"Senin","Selasa","Rabu","Kamis","Jumat","Sabtu","Minggu")</f>
        <v>Sabtu</v>
      </c>
      <c r="J1446" s="2" t="n">
        <f aca="false">HOUR(E1446)</f>
        <v>14</v>
      </c>
      <c r="K1446" s="2" t="str">
        <f aca="false">IF(J1446&lt;11,"Pagi",IF(J1446&lt;17,"Siang","Malam"))</f>
        <v>Siang</v>
      </c>
      <c r="L1446" s="2" t="n">
        <f aca="false">IF(A1446&lt;&gt;A1445,1,0)</f>
        <v>1</v>
      </c>
    </row>
    <row r="1447" customFormat="false" ht="15" hidden="false" customHeight="false" outlineLevel="0" collapsed="false">
      <c r="A1447" s="2" t="s">
        <v>1469</v>
      </c>
      <c r="B1447" s="13" t="n">
        <v>46284</v>
      </c>
      <c r="C1447" s="2" t="s">
        <v>79</v>
      </c>
      <c r="D1447" s="2" t="n">
        <v>2</v>
      </c>
      <c r="E1447" s="15" t="n">
        <v>0.613888888888889</v>
      </c>
      <c r="F1447" s="7" t="n">
        <v>16000</v>
      </c>
      <c r="G1447" s="7" t="n">
        <f aca="false">D1447*F1447</f>
        <v>32000</v>
      </c>
      <c r="H1447" s="2" t="str">
        <f aca="false">INDEX(Daftar_Menu!$B$2:$B$13,MATCH(C1447,Daftar_Menu!$A$2:$A$13,0))</f>
        <v>Makanan</v>
      </c>
      <c r="I1447" s="2" t="str">
        <f aca="false">CHOOSE(WEEKDAY(B1447,2),"Senin","Selasa","Rabu","Kamis","Jumat","Sabtu","Minggu")</f>
        <v>Sabtu</v>
      </c>
      <c r="J1447" s="2" t="n">
        <f aca="false">HOUR(E1447)</f>
        <v>14</v>
      </c>
      <c r="K1447" s="2" t="str">
        <f aca="false">IF(J1447&lt;11,"Pagi",IF(J1447&lt;17,"Siang","Malam"))</f>
        <v>Siang</v>
      </c>
      <c r="L1447" s="2" t="n">
        <f aca="false">IF(A1447&lt;&gt;A1446,1,0)</f>
        <v>1</v>
      </c>
    </row>
    <row r="1448" customFormat="false" ht="15" hidden="false" customHeight="false" outlineLevel="0" collapsed="false">
      <c r="A1448" s="2" t="s">
        <v>1469</v>
      </c>
      <c r="B1448" s="13" t="n">
        <v>46284</v>
      </c>
      <c r="C1448" s="2" t="s">
        <v>84</v>
      </c>
      <c r="D1448" s="2" t="n">
        <v>1</v>
      </c>
      <c r="E1448" s="15" t="n">
        <v>0.613888888888889</v>
      </c>
      <c r="F1448" s="7" t="n">
        <v>5000</v>
      </c>
      <c r="G1448" s="7" t="n">
        <f aca="false">D1448*F1448</f>
        <v>5000</v>
      </c>
      <c r="H1448" s="2" t="str">
        <f aca="false">INDEX(Daftar_Menu!$B$2:$B$13,MATCH(C1448,Daftar_Menu!$A$2:$A$13,0))</f>
        <v>Minuman</v>
      </c>
      <c r="I1448" s="2" t="str">
        <f aca="false">CHOOSE(WEEKDAY(B1448,2),"Senin","Selasa","Rabu","Kamis","Jumat","Sabtu","Minggu")</f>
        <v>Sabtu</v>
      </c>
      <c r="J1448" s="2" t="n">
        <f aca="false">HOUR(E1448)</f>
        <v>14</v>
      </c>
      <c r="K1448" s="2" t="str">
        <f aca="false">IF(J1448&lt;11,"Pagi",IF(J1448&lt;17,"Siang","Malam"))</f>
        <v>Siang</v>
      </c>
      <c r="L1448" s="2" t="n">
        <f aca="false">IF(A1448&lt;&gt;A1447,1,0)</f>
        <v>0</v>
      </c>
    </row>
    <row r="1449" customFormat="false" ht="15" hidden="false" customHeight="false" outlineLevel="0" collapsed="false">
      <c r="A1449" s="2" t="s">
        <v>1470</v>
      </c>
      <c r="B1449" s="13" t="n">
        <v>46284</v>
      </c>
      <c r="C1449" s="2" t="s">
        <v>84</v>
      </c>
      <c r="D1449" s="2" t="n">
        <v>1</v>
      </c>
      <c r="E1449" s="15" t="n">
        <v>0.613888888888889</v>
      </c>
      <c r="F1449" s="7" t="n">
        <v>5000</v>
      </c>
      <c r="G1449" s="7" t="n">
        <f aca="false">D1449*F1449</f>
        <v>5000</v>
      </c>
      <c r="H1449" s="2" t="str">
        <f aca="false">INDEX(Daftar_Menu!$B$2:$B$13,MATCH(C1449,Daftar_Menu!$A$2:$A$13,0))</f>
        <v>Minuman</v>
      </c>
      <c r="I1449" s="2" t="str">
        <f aca="false">CHOOSE(WEEKDAY(B1449,2),"Senin","Selasa","Rabu","Kamis","Jumat","Sabtu","Minggu")</f>
        <v>Sabtu</v>
      </c>
      <c r="J1449" s="2" t="n">
        <f aca="false">HOUR(E1449)</f>
        <v>14</v>
      </c>
      <c r="K1449" s="2" t="str">
        <f aca="false">IF(J1449&lt;11,"Pagi",IF(J1449&lt;17,"Siang","Malam"))</f>
        <v>Siang</v>
      </c>
      <c r="L1449" s="2" t="n">
        <f aca="false">IF(A1449&lt;&gt;A1448,1,0)</f>
        <v>1</v>
      </c>
    </row>
    <row r="1450" customFormat="false" ht="15" hidden="false" customHeight="false" outlineLevel="0" collapsed="false">
      <c r="A1450" s="2" t="s">
        <v>1470</v>
      </c>
      <c r="B1450" s="13" t="n">
        <v>46284</v>
      </c>
      <c r="C1450" s="2" t="s">
        <v>108</v>
      </c>
      <c r="D1450" s="2" t="n">
        <v>1</v>
      </c>
      <c r="E1450" s="15" t="n">
        <v>0.613888888888889</v>
      </c>
      <c r="F1450" s="7" t="n">
        <v>20000</v>
      </c>
      <c r="G1450" s="7" t="n">
        <f aca="false">D1450*F1450</f>
        <v>20000</v>
      </c>
      <c r="H1450" s="2" t="str">
        <f aca="false">INDEX(Daftar_Menu!$B$2:$B$13,MATCH(C1450,Daftar_Menu!$A$2:$A$13,0))</f>
        <v>Makanan</v>
      </c>
      <c r="I1450" s="2" t="str">
        <f aca="false">CHOOSE(WEEKDAY(B1450,2),"Senin","Selasa","Rabu","Kamis","Jumat","Sabtu","Minggu")</f>
        <v>Sabtu</v>
      </c>
      <c r="J1450" s="2" t="n">
        <f aca="false">HOUR(E1450)</f>
        <v>14</v>
      </c>
      <c r="K1450" s="2" t="str">
        <f aca="false">IF(J1450&lt;11,"Pagi",IF(J1450&lt;17,"Siang","Malam"))</f>
        <v>Siang</v>
      </c>
      <c r="L1450" s="2" t="n">
        <f aca="false">IF(A1450&lt;&gt;A1449,1,0)</f>
        <v>0</v>
      </c>
    </row>
    <row r="1451" customFormat="false" ht="15" hidden="false" customHeight="false" outlineLevel="0" collapsed="false">
      <c r="A1451" s="2" t="s">
        <v>1471</v>
      </c>
      <c r="B1451" s="13" t="n">
        <v>46284</v>
      </c>
      <c r="C1451" s="2" t="s">
        <v>126</v>
      </c>
      <c r="D1451" s="2" t="n">
        <v>1</v>
      </c>
      <c r="E1451" s="15" t="n">
        <v>0.647222222222222</v>
      </c>
      <c r="F1451" s="7" t="n">
        <v>3000</v>
      </c>
      <c r="G1451" s="7" t="n">
        <f aca="false">D1451*F1451</f>
        <v>3000</v>
      </c>
      <c r="H1451" s="2" t="str">
        <f aca="false">INDEX(Daftar_Menu!$B$2:$B$13,MATCH(C1451,Daftar_Menu!$A$2:$A$13,0))</f>
        <v>Minuman</v>
      </c>
      <c r="I1451" s="2" t="str">
        <f aca="false">CHOOSE(WEEKDAY(B1451,2),"Senin","Selasa","Rabu","Kamis","Jumat","Sabtu","Minggu")</f>
        <v>Sabtu</v>
      </c>
      <c r="J1451" s="2" t="n">
        <f aca="false">HOUR(E1451)</f>
        <v>15</v>
      </c>
      <c r="K1451" s="2" t="str">
        <f aca="false">IF(J1451&lt;11,"Pagi",IF(J1451&lt;17,"Siang","Malam"))</f>
        <v>Siang</v>
      </c>
      <c r="L1451" s="2" t="n">
        <f aca="false">IF(A1451&lt;&gt;A1450,1,0)</f>
        <v>1</v>
      </c>
    </row>
    <row r="1452" customFormat="false" ht="15" hidden="false" customHeight="false" outlineLevel="0" collapsed="false">
      <c r="A1452" s="2" t="s">
        <v>1473</v>
      </c>
      <c r="B1452" s="13" t="n">
        <v>46284</v>
      </c>
      <c r="C1452" s="2" t="s">
        <v>84</v>
      </c>
      <c r="D1452" s="2" t="n">
        <v>2</v>
      </c>
      <c r="E1452" s="15" t="n">
        <v>0.657638888888889</v>
      </c>
      <c r="F1452" s="7" t="n">
        <v>5000</v>
      </c>
      <c r="G1452" s="7" t="n">
        <f aca="false">D1452*F1452</f>
        <v>10000</v>
      </c>
      <c r="H1452" s="2" t="str">
        <f aca="false">INDEX(Daftar_Menu!$B$2:$B$13,MATCH(C1452,Daftar_Menu!$A$2:$A$13,0))</f>
        <v>Minuman</v>
      </c>
      <c r="I1452" s="2" t="str">
        <f aca="false">CHOOSE(WEEKDAY(B1452,2),"Senin","Selasa","Rabu","Kamis","Jumat","Sabtu","Minggu")</f>
        <v>Sabtu</v>
      </c>
      <c r="J1452" s="2" t="n">
        <f aca="false">HOUR(E1452)</f>
        <v>15</v>
      </c>
      <c r="K1452" s="2" t="str">
        <f aca="false">IF(J1452&lt;11,"Pagi",IF(J1452&lt;17,"Siang","Malam"))</f>
        <v>Siang</v>
      </c>
      <c r="L1452" s="2" t="n">
        <f aca="false">IF(A1452&lt;&gt;A1451,1,0)</f>
        <v>1</v>
      </c>
    </row>
    <row r="1453" customFormat="false" ht="15" hidden="false" customHeight="false" outlineLevel="0" collapsed="false">
      <c r="A1453" s="2" t="s">
        <v>1473</v>
      </c>
      <c r="B1453" s="13" t="n">
        <v>46284</v>
      </c>
      <c r="C1453" s="2" t="s">
        <v>132</v>
      </c>
      <c r="D1453" s="2" t="n">
        <v>1</v>
      </c>
      <c r="E1453" s="15" t="n">
        <v>0.657638888888889</v>
      </c>
      <c r="F1453" s="7" t="n">
        <v>15000</v>
      </c>
      <c r="G1453" s="7" t="n">
        <f aca="false">D1453*F1453</f>
        <v>15000</v>
      </c>
      <c r="H1453" s="2" t="str">
        <f aca="false">INDEX(Daftar_Menu!$B$2:$B$13,MATCH(C1453,Daftar_Menu!$A$2:$A$13,0))</f>
        <v>Makanan</v>
      </c>
      <c r="I1453" s="2" t="str">
        <f aca="false">CHOOSE(WEEKDAY(B1453,2),"Senin","Selasa","Rabu","Kamis","Jumat","Sabtu","Minggu")</f>
        <v>Sabtu</v>
      </c>
      <c r="J1453" s="2" t="n">
        <f aca="false">HOUR(E1453)</f>
        <v>15</v>
      </c>
      <c r="K1453" s="2" t="str">
        <f aca="false">IF(J1453&lt;11,"Pagi",IF(J1453&lt;17,"Siang","Malam"))</f>
        <v>Siang</v>
      </c>
      <c r="L1453" s="2" t="n">
        <f aca="false">IF(A1453&lt;&gt;A1452,1,0)</f>
        <v>0</v>
      </c>
    </row>
    <row r="1454" customFormat="false" ht="15" hidden="false" customHeight="false" outlineLevel="0" collapsed="false">
      <c r="A1454" s="2" t="s">
        <v>1473</v>
      </c>
      <c r="B1454" s="13" t="n">
        <v>46284</v>
      </c>
      <c r="C1454" s="2" t="s">
        <v>81</v>
      </c>
      <c r="D1454" s="2" t="n">
        <v>1</v>
      </c>
      <c r="E1454" s="15" t="n">
        <v>0.657638888888889</v>
      </c>
      <c r="F1454" s="7" t="n">
        <v>15000</v>
      </c>
      <c r="G1454" s="7" t="n">
        <f aca="false">D1454*F1454</f>
        <v>15000</v>
      </c>
      <c r="H1454" s="2" t="str">
        <f aca="false">INDEX(Daftar_Menu!$B$2:$B$13,MATCH(C1454,Daftar_Menu!$A$2:$A$13,0))</f>
        <v>Makanan</v>
      </c>
      <c r="I1454" s="2" t="str">
        <f aca="false">CHOOSE(WEEKDAY(B1454,2),"Senin","Selasa","Rabu","Kamis","Jumat","Sabtu","Minggu")</f>
        <v>Sabtu</v>
      </c>
      <c r="J1454" s="2" t="n">
        <f aca="false">HOUR(E1454)</f>
        <v>15</v>
      </c>
      <c r="K1454" s="2" t="str">
        <f aca="false">IF(J1454&lt;11,"Pagi",IF(J1454&lt;17,"Siang","Malam"))</f>
        <v>Siang</v>
      </c>
      <c r="L1454" s="2" t="n">
        <f aca="false">IF(A1454&lt;&gt;A1453,1,0)</f>
        <v>0</v>
      </c>
    </row>
    <row r="1455" customFormat="false" ht="15" hidden="false" customHeight="false" outlineLevel="0" collapsed="false">
      <c r="A1455" s="2" t="s">
        <v>1475</v>
      </c>
      <c r="B1455" s="13" t="n">
        <v>46284</v>
      </c>
      <c r="C1455" s="2" t="s">
        <v>89</v>
      </c>
      <c r="D1455" s="2" t="n">
        <v>1</v>
      </c>
      <c r="E1455" s="15" t="n">
        <v>0.659027777777778</v>
      </c>
      <c r="F1455" s="7" t="n">
        <v>14000</v>
      </c>
      <c r="G1455" s="7" t="n">
        <f aca="false">D1455*F1455</f>
        <v>14000</v>
      </c>
      <c r="H1455" s="2" t="str">
        <f aca="false">INDEX(Daftar_Menu!$B$2:$B$13,MATCH(C1455,Daftar_Menu!$A$2:$A$13,0))</f>
        <v>Makanan</v>
      </c>
      <c r="I1455" s="2" t="str">
        <f aca="false">CHOOSE(WEEKDAY(B1455,2),"Senin","Selasa","Rabu","Kamis","Jumat","Sabtu","Minggu")</f>
        <v>Sabtu</v>
      </c>
      <c r="J1455" s="2" t="n">
        <f aca="false">HOUR(E1455)</f>
        <v>15</v>
      </c>
      <c r="K1455" s="2" t="str">
        <f aca="false">IF(J1455&lt;11,"Pagi",IF(J1455&lt;17,"Siang","Malam"))</f>
        <v>Siang</v>
      </c>
      <c r="L1455" s="2" t="n">
        <f aca="false">IF(A1455&lt;&gt;A1454,1,0)</f>
        <v>1</v>
      </c>
    </row>
    <row r="1456" customFormat="false" ht="15" hidden="false" customHeight="false" outlineLevel="0" collapsed="false">
      <c r="A1456" s="2" t="s">
        <v>1475</v>
      </c>
      <c r="B1456" s="13" t="n">
        <v>46284</v>
      </c>
      <c r="C1456" s="2" t="s">
        <v>82</v>
      </c>
      <c r="D1456" s="2" t="n">
        <v>2</v>
      </c>
      <c r="E1456" s="15" t="n">
        <v>0.659027777777778</v>
      </c>
      <c r="F1456" s="7" t="n">
        <v>13000</v>
      </c>
      <c r="G1456" s="7" t="n">
        <f aca="false">D1456*F1456</f>
        <v>26000</v>
      </c>
      <c r="H1456" s="2" t="str">
        <f aca="false">INDEX(Daftar_Menu!$B$2:$B$13,MATCH(C1456,Daftar_Menu!$A$2:$A$13,0))</f>
        <v>Makanan</v>
      </c>
      <c r="I1456" s="2" t="str">
        <f aca="false">CHOOSE(WEEKDAY(B1456,2),"Senin","Selasa","Rabu","Kamis","Jumat","Sabtu","Minggu")</f>
        <v>Sabtu</v>
      </c>
      <c r="J1456" s="2" t="n">
        <f aca="false">HOUR(E1456)</f>
        <v>15</v>
      </c>
      <c r="K1456" s="2" t="str">
        <f aca="false">IF(J1456&lt;11,"Pagi",IF(J1456&lt;17,"Siang","Malam"))</f>
        <v>Siang</v>
      </c>
      <c r="L1456" s="2" t="n">
        <f aca="false">IF(A1456&lt;&gt;A1455,1,0)</f>
        <v>0</v>
      </c>
    </row>
    <row r="1457" customFormat="false" ht="15" hidden="false" customHeight="false" outlineLevel="0" collapsed="false">
      <c r="A1457" s="2" t="s">
        <v>1475</v>
      </c>
      <c r="B1457" s="13" t="n">
        <v>46284</v>
      </c>
      <c r="C1457" s="2" t="s">
        <v>81</v>
      </c>
      <c r="D1457" s="2" t="n">
        <v>2</v>
      </c>
      <c r="E1457" s="15" t="n">
        <v>0.659027777777778</v>
      </c>
      <c r="F1457" s="7" t="n">
        <v>15000</v>
      </c>
      <c r="G1457" s="7" t="n">
        <f aca="false">D1457*F1457</f>
        <v>30000</v>
      </c>
      <c r="H1457" s="2" t="str">
        <f aca="false">INDEX(Daftar_Menu!$B$2:$B$13,MATCH(C1457,Daftar_Menu!$A$2:$A$13,0))</f>
        <v>Makanan</v>
      </c>
      <c r="I1457" s="2" t="str">
        <f aca="false">CHOOSE(WEEKDAY(B1457,2),"Senin","Selasa","Rabu","Kamis","Jumat","Sabtu","Minggu")</f>
        <v>Sabtu</v>
      </c>
      <c r="J1457" s="2" t="n">
        <f aca="false">HOUR(E1457)</f>
        <v>15</v>
      </c>
      <c r="K1457" s="2" t="str">
        <f aca="false">IF(J1457&lt;11,"Pagi",IF(J1457&lt;17,"Siang","Malam"))</f>
        <v>Siang</v>
      </c>
      <c r="L1457" s="2" t="n">
        <f aca="false">IF(A1457&lt;&gt;A1456,1,0)</f>
        <v>0</v>
      </c>
    </row>
    <row r="1458" customFormat="false" ht="15" hidden="false" customHeight="false" outlineLevel="0" collapsed="false">
      <c r="A1458" s="2" t="s">
        <v>1477</v>
      </c>
      <c r="B1458" s="13" t="n">
        <v>46284</v>
      </c>
      <c r="C1458" s="2" t="s">
        <v>112</v>
      </c>
      <c r="D1458" s="2" t="n">
        <v>1</v>
      </c>
      <c r="E1458" s="15" t="n">
        <v>0.678472222222222</v>
      </c>
      <c r="F1458" s="7" t="n">
        <v>10000</v>
      </c>
      <c r="G1458" s="7" t="n">
        <f aca="false">D1458*F1458</f>
        <v>10000</v>
      </c>
      <c r="H1458" s="2" t="str">
        <f aca="false">INDEX(Daftar_Menu!$B$2:$B$13,MATCH(C1458,Daftar_Menu!$A$2:$A$13,0))</f>
        <v>Minuman</v>
      </c>
      <c r="I1458" s="2" t="str">
        <f aca="false">CHOOSE(WEEKDAY(B1458,2),"Senin","Selasa","Rabu","Kamis","Jumat","Sabtu","Minggu")</f>
        <v>Sabtu</v>
      </c>
      <c r="J1458" s="2" t="n">
        <f aca="false">HOUR(E1458)</f>
        <v>16</v>
      </c>
      <c r="K1458" s="2" t="str">
        <f aca="false">IF(J1458&lt;11,"Pagi",IF(J1458&lt;17,"Siang","Malam"))</f>
        <v>Siang</v>
      </c>
      <c r="L1458" s="2" t="n">
        <f aca="false">IF(A1458&lt;&gt;A1457,1,0)</f>
        <v>1</v>
      </c>
    </row>
    <row r="1459" customFormat="false" ht="15" hidden="false" customHeight="false" outlineLevel="0" collapsed="false">
      <c r="A1459" s="2" t="s">
        <v>1478</v>
      </c>
      <c r="B1459" s="13" t="n">
        <v>46284</v>
      </c>
      <c r="C1459" s="2" t="s">
        <v>84</v>
      </c>
      <c r="D1459" s="2" t="n">
        <v>1</v>
      </c>
      <c r="E1459" s="15" t="n">
        <v>0.709027777777778</v>
      </c>
      <c r="F1459" s="7" t="n">
        <v>5000</v>
      </c>
      <c r="G1459" s="7" t="n">
        <f aca="false">D1459*F1459</f>
        <v>5000</v>
      </c>
      <c r="H1459" s="2" t="str">
        <f aca="false">INDEX(Daftar_Menu!$B$2:$B$13,MATCH(C1459,Daftar_Menu!$A$2:$A$13,0))</f>
        <v>Minuman</v>
      </c>
      <c r="I1459" s="2" t="str">
        <f aca="false">CHOOSE(WEEKDAY(B1459,2),"Senin","Selasa","Rabu","Kamis","Jumat","Sabtu","Minggu")</f>
        <v>Sabtu</v>
      </c>
      <c r="J1459" s="2" t="n">
        <f aca="false">HOUR(E1459)</f>
        <v>17</v>
      </c>
      <c r="K1459" s="2" t="str">
        <f aca="false">IF(J1459&lt;11,"Pagi",IF(J1459&lt;17,"Siang","Malam"))</f>
        <v>Malam</v>
      </c>
      <c r="L1459" s="2" t="n">
        <f aca="false">IF(A1459&lt;&gt;A1458,1,0)</f>
        <v>1</v>
      </c>
    </row>
    <row r="1460" customFormat="false" ht="15" hidden="false" customHeight="false" outlineLevel="0" collapsed="false">
      <c r="A1460" s="2" t="s">
        <v>1478</v>
      </c>
      <c r="B1460" s="13" t="n">
        <v>46284</v>
      </c>
      <c r="C1460" s="2" t="s">
        <v>92</v>
      </c>
      <c r="D1460" s="2" t="n">
        <v>1</v>
      </c>
      <c r="E1460" s="15" t="n">
        <v>0.709027777777778</v>
      </c>
      <c r="F1460" s="7" t="n">
        <v>4000</v>
      </c>
      <c r="G1460" s="7" t="n">
        <f aca="false">D1460*F1460</f>
        <v>4000</v>
      </c>
      <c r="H1460" s="2" t="str">
        <f aca="false">INDEX(Daftar_Menu!$B$2:$B$13,MATCH(C1460,Daftar_Menu!$A$2:$A$13,0))</f>
        <v>Minuman</v>
      </c>
      <c r="I1460" s="2" t="str">
        <f aca="false">CHOOSE(WEEKDAY(B1460,2),"Senin","Selasa","Rabu","Kamis","Jumat","Sabtu","Minggu")</f>
        <v>Sabtu</v>
      </c>
      <c r="J1460" s="2" t="n">
        <f aca="false">HOUR(E1460)</f>
        <v>17</v>
      </c>
      <c r="K1460" s="2" t="str">
        <f aca="false">IF(J1460&lt;11,"Pagi",IF(J1460&lt;17,"Siang","Malam"))</f>
        <v>Malam</v>
      </c>
      <c r="L1460" s="2" t="n">
        <f aca="false">IF(A1460&lt;&gt;A1459,1,0)</f>
        <v>0</v>
      </c>
    </row>
    <row r="1461" customFormat="false" ht="15" hidden="false" customHeight="false" outlineLevel="0" collapsed="false">
      <c r="A1461" s="2" t="s">
        <v>1480</v>
      </c>
      <c r="B1461" s="13" t="n">
        <v>46284</v>
      </c>
      <c r="C1461" s="2" t="s">
        <v>112</v>
      </c>
      <c r="D1461" s="2" t="n">
        <v>1</v>
      </c>
      <c r="E1461" s="15" t="n">
        <v>0.720138888888889</v>
      </c>
      <c r="F1461" s="7" t="n">
        <v>10000</v>
      </c>
      <c r="G1461" s="7" t="n">
        <f aca="false">D1461*F1461</f>
        <v>10000</v>
      </c>
      <c r="H1461" s="2" t="str">
        <f aca="false">INDEX(Daftar_Menu!$B$2:$B$13,MATCH(C1461,Daftar_Menu!$A$2:$A$13,0))</f>
        <v>Minuman</v>
      </c>
      <c r="I1461" s="2" t="str">
        <f aca="false">CHOOSE(WEEKDAY(B1461,2),"Senin","Selasa","Rabu","Kamis","Jumat","Sabtu","Minggu")</f>
        <v>Sabtu</v>
      </c>
      <c r="J1461" s="2" t="n">
        <f aca="false">HOUR(E1461)</f>
        <v>17</v>
      </c>
      <c r="K1461" s="2" t="str">
        <f aca="false">IF(J1461&lt;11,"Pagi",IF(J1461&lt;17,"Siang","Malam"))</f>
        <v>Malam</v>
      </c>
      <c r="L1461" s="2" t="n">
        <f aca="false">IF(A1461&lt;&gt;A1460,1,0)</f>
        <v>1</v>
      </c>
    </row>
    <row r="1462" customFormat="false" ht="15" hidden="false" customHeight="false" outlineLevel="0" collapsed="false">
      <c r="A1462" s="2" t="s">
        <v>1481</v>
      </c>
      <c r="B1462" s="13" t="n">
        <v>46284</v>
      </c>
      <c r="C1462" s="2" t="s">
        <v>89</v>
      </c>
      <c r="D1462" s="2" t="n">
        <v>2</v>
      </c>
      <c r="E1462" s="15" t="n">
        <v>0.725694444444444</v>
      </c>
      <c r="F1462" s="7" t="n">
        <v>14000</v>
      </c>
      <c r="G1462" s="7" t="n">
        <f aca="false">D1462*F1462</f>
        <v>28000</v>
      </c>
      <c r="H1462" s="2" t="str">
        <f aca="false">INDEX(Daftar_Menu!$B$2:$B$13,MATCH(C1462,Daftar_Menu!$A$2:$A$13,0))</f>
        <v>Makanan</v>
      </c>
      <c r="I1462" s="2" t="str">
        <f aca="false">CHOOSE(WEEKDAY(B1462,2),"Senin","Selasa","Rabu","Kamis","Jumat","Sabtu","Minggu")</f>
        <v>Sabtu</v>
      </c>
      <c r="J1462" s="2" t="n">
        <f aca="false">HOUR(E1462)</f>
        <v>17</v>
      </c>
      <c r="K1462" s="2" t="str">
        <f aca="false">IF(J1462&lt;11,"Pagi",IF(J1462&lt;17,"Siang","Malam"))</f>
        <v>Malam</v>
      </c>
      <c r="L1462" s="2" t="n">
        <f aca="false">IF(A1462&lt;&gt;A1461,1,0)</f>
        <v>1</v>
      </c>
    </row>
    <row r="1463" customFormat="false" ht="15" hidden="false" customHeight="false" outlineLevel="0" collapsed="false">
      <c r="A1463" s="2" t="s">
        <v>1481</v>
      </c>
      <c r="B1463" s="13" t="n">
        <v>46284</v>
      </c>
      <c r="C1463" s="2" t="s">
        <v>84</v>
      </c>
      <c r="D1463" s="2" t="n">
        <v>1</v>
      </c>
      <c r="E1463" s="15" t="n">
        <v>0.725694444444444</v>
      </c>
      <c r="F1463" s="7" t="n">
        <v>5000</v>
      </c>
      <c r="G1463" s="7" t="n">
        <f aca="false">D1463*F1463</f>
        <v>5000</v>
      </c>
      <c r="H1463" s="2" t="str">
        <f aca="false">INDEX(Daftar_Menu!$B$2:$B$13,MATCH(C1463,Daftar_Menu!$A$2:$A$13,0))</f>
        <v>Minuman</v>
      </c>
      <c r="I1463" s="2" t="str">
        <f aca="false">CHOOSE(WEEKDAY(B1463,2),"Senin","Selasa","Rabu","Kamis","Jumat","Sabtu","Minggu")</f>
        <v>Sabtu</v>
      </c>
      <c r="J1463" s="2" t="n">
        <f aca="false">HOUR(E1463)</f>
        <v>17</v>
      </c>
      <c r="K1463" s="2" t="str">
        <f aca="false">IF(J1463&lt;11,"Pagi",IF(J1463&lt;17,"Siang","Malam"))</f>
        <v>Malam</v>
      </c>
      <c r="L1463" s="2" t="n">
        <f aca="false">IF(A1463&lt;&gt;A1462,1,0)</f>
        <v>0</v>
      </c>
    </row>
    <row r="1464" customFormat="false" ht="15" hidden="false" customHeight="false" outlineLevel="0" collapsed="false">
      <c r="A1464" s="2" t="s">
        <v>1481</v>
      </c>
      <c r="B1464" s="13" t="n">
        <v>46284</v>
      </c>
      <c r="C1464" s="2" t="s">
        <v>82</v>
      </c>
      <c r="D1464" s="2" t="n">
        <v>1</v>
      </c>
      <c r="E1464" s="15" t="n">
        <v>0.725694444444444</v>
      </c>
      <c r="F1464" s="7" t="n">
        <v>13000</v>
      </c>
      <c r="G1464" s="7" t="n">
        <f aca="false">D1464*F1464</f>
        <v>13000</v>
      </c>
      <c r="H1464" s="2" t="str">
        <f aca="false">INDEX(Daftar_Menu!$B$2:$B$13,MATCH(C1464,Daftar_Menu!$A$2:$A$13,0))</f>
        <v>Makanan</v>
      </c>
      <c r="I1464" s="2" t="str">
        <f aca="false">CHOOSE(WEEKDAY(B1464,2),"Senin","Selasa","Rabu","Kamis","Jumat","Sabtu","Minggu")</f>
        <v>Sabtu</v>
      </c>
      <c r="J1464" s="2" t="n">
        <f aca="false">HOUR(E1464)</f>
        <v>17</v>
      </c>
      <c r="K1464" s="2" t="str">
        <f aca="false">IF(J1464&lt;11,"Pagi",IF(J1464&lt;17,"Siang","Malam"))</f>
        <v>Malam</v>
      </c>
      <c r="L1464" s="2" t="n">
        <f aca="false">IF(A1464&lt;&gt;A1463,1,0)</f>
        <v>0</v>
      </c>
    </row>
    <row r="1465" customFormat="false" ht="15" hidden="false" customHeight="false" outlineLevel="0" collapsed="false">
      <c r="A1465" s="2" t="s">
        <v>1482</v>
      </c>
      <c r="B1465" s="13" t="n">
        <v>46284</v>
      </c>
      <c r="C1465" s="2" t="s">
        <v>108</v>
      </c>
      <c r="D1465" s="2" t="n">
        <v>2</v>
      </c>
      <c r="E1465" s="15" t="n">
        <v>0.758333333333333</v>
      </c>
      <c r="F1465" s="7" t="n">
        <v>20000</v>
      </c>
      <c r="G1465" s="7" t="n">
        <f aca="false">D1465*F1465</f>
        <v>40000</v>
      </c>
      <c r="H1465" s="2" t="str">
        <f aca="false">INDEX(Daftar_Menu!$B$2:$B$13,MATCH(C1465,Daftar_Menu!$A$2:$A$13,0))</f>
        <v>Makanan</v>
      </c>
      <c r="I1465" s="2" t="str">
        <f aca="false">CHOOSE(WEEKDAY(B1465,2),"Senin","Selasa","Rabu","Kamis","Jumat","Sabtu","Minggu")</f>
        <v>Sabtu</v>
      </c>
      <c r="J1465" s="2" t="n">
        <f aca="false">HOUR(E1465)</f>
        <v>18</v>
      </c>
      <c r="K1465" s="2" t="str">
        <f aca="false">IF(J1465&lt;11,"Pagi",IF(J1465&lt;17,"Siang","Malam"))</f>
        <v>Malam</v>
      </c>
      <c r="L1465" s="2" t="n">
        <f aca="false">IF(A1465&lt;&gt;A1464,1,0)</f>
        <v>1</v>
      </c>
    </row>
    <row r="1466" customFormat="false" ht="15" hidden="false" customHeight="false" outlineLevel="0" collapsed="false">
      <c r="A1466" s="2" t="s">
        <v>1482</v>
      </c>
      <c r="B1466" s="13" t="n">
        <v>46284</v>
      </c>
      <c r="C1466" s="2" t="s">
        <v>101</v>
      </c>
      <c r="D1466" s="2" t="n">
        <v>1</v>
      </c>
      <c r="E1466" s="15" t="n">
        <v>0.758333333333333</v>
      </c>
      <c r="F1466" s="7" t="n">
        <v>18000</v>
      </c>
      <c r="G1466" s="7" t="n">
        <f aca="false">D1466*F1466</f>
        <v>18000</v>
      </c>
      <c r="H1466" s="2" t="str">
        <f aca="false">INDEX(Daftar_Menu!$B$2:$B$13,MATCH(C1466,Daftar_Menu!$A$2:$A$13,0))</f>
        <v>Makanan</v>
      </c>
      <c r="I1466" s="2" t="str">
        <f aca="false">CHOOSE(WEEKDAY(B1466,2),"Senin","Selasa","Rabu","Kamis","Jumat","Sabtu","Minggu")</f>
        <v>Sabtu</v>
      </c>
      <c r="J1466" s="2" t="n">
        <f aca="false">HOUR(E1466)</f>
        <v>18</v>
      </c>
      <c r="K1466" s="2" t="str">
        <f aca="false">IF(J1466&lt;11,"Pagi",IF(J1466&lt;17,"Siang","Malam"))</f>
        <v>Malam</v>
      </c>
      <c r="L1466" s="2" t="n">
        <f aca="false">IF(A1466&lt;&gt;A1465,1,0)</f>
        <v>0</v>
      </c>
    </row>
    <row r="1467" customFormat="false" ht="15" hidden="false" customHeight="false" outlineLevel="0" collapsed="false">
      <c r="A1467" s="2" t="s">
        <v>1482</v>
      </c>
      <c r="B1467" s="13" t="n">
        <v>46284</v>
      </c>
      <c r="C1467" s="2" t="s">
        <v>84</v>
      </c>
      <c r="D1467" s="2" t="n">
        <v>2</v>
      </c>
      <c r="E1467" s="15" t="n">
        <v>0.758333333333333</v>
      </c>
      <c r="F1467" s="7" t="n">
        <v>5000</v>
      </c>
      <c r="G1467" s="7" t="n">
        <f aca="false">D1467*F1467</f>
        <v>10000</v>
      </c>
      <c r="H1467" s="2" t="str">
        <f aca="false">INDEX(Daftar_Menu!$B$2:$B$13,MATCH(C1467,Daftar_Menu!$A$2:$A$13,0))</f>
        <v>Minuman</v>
      </c>
      <c r="I1467" s="2" t="str">
        <f aca="false">CHOOSE(WEEKDAY(B1467,2),"Senin","Selasa","Rabu","Kamis","Jumat","Sabtu","Minggu")</f>
        <v>Sabtu</v>
      </c>
      <c r="J1467" s="2" t="n">
        <f aca="false">HOUR(E1467)</f>
        <v>18</v>
      </c>
      <c r="K1467" s="2" t="str">
        <f aca="false">IF(J1467&lt;11,"Pagi",IF(J1467&lt;17,"Siang","Malam"))</f>
        <v>Malam</v>
      </c>
      <c r="L1467" s="2" t="n">
        <f aca="false">IF(A1467&lt;&gt;A1466,1,0)</f>
        <v>0</v>
      </c>
    </row>
    <row r="1468" customFormat="false" ht="15" hidden="false" customHeight="false" outlineLevel="0" collapsed="false">
      <c r="A1468" s="2" t="s">
        <v>1483</v>
      </c>
      <c r="B1468" s="13" t="n">
        <v>46284</v>
      </c>
      <c r="C1468" s="2" t="s">
        <v>112</v>
      </c>
      <c r="D1468" s="2" t="n">
        <v>2</v>
      </c>
      <c r="E1468" s="15" t="n">
        <v>0.761805555555556</v>
      </c>
      <c r="F1468" s="7" t="n">
        <v>10000</v>
      </c>
      <c r="G1468" s="7" t="n">
        <f aca="false">D1468*F1468</f>
        <v>20000</v>
      </c>
      <c r="H1468" s="2" t="str">
        <f aca="false">INDEX(Daftar_Menu!$B$2:$B$13,MATCH(C1468,Daftar_Menu!$A$2:$A$13,0))</f>
        <v>Minuman</v>
      </c>
      <c r="I1468" s="2" t="str">
        <f aca="false">CHOOSE(WEEKDAY(B1468,2),"Senin","Selasa","Rabu","Kamis","Jumat","Sabtu","Minggu")</f>
        <v>Sabtu</v>
      </c>
      <c r="J1468" s="2" t="n">
        <f aca="false">HOUR(E1468)</f>
        <v>18</v>
      </c>
      <c r="K1468" s="2" t="str">
        <f aca="false">IF(J1468&lt;11,"Pagi",IF(J1468&lt;17,"Siang","Malam"))</f>
        <v>Malam</v>
      </c>
      <c r="L1468" s="2" t="n">
        <f aca="false">IF(A1468&lt;&gt;A1467,1,0)</f>
        <v>1</v>
      </c>
    </row>
    <row r="1469" customFormat="false" ht="15" hidden="false" customHeight="false" outlineLevel="0" collapsed="false">
      <c r="A1469" s="2" t="s">
        <v>1483</v>
      </c>
      <c r="B1469" s="13" t="n">
        <v>46284</v>
      </c>
      <c r="C1469" s="2" t="s">
        <v>89</v>
      </c>
      <c r="D1469" s="2" t="n">
        <v>2</v>
      </c>
      <c r="E1469" s="15" t="n">
        <v>0.761805555555556</v>
      </c>
      <c r="F1469" s="7" t="n">
        <v>14000</v>
      </c>
      <c r="G1469" s="7" t="n">
        <f aca="false">D1469*F1469</f>
        <v>28000</v>
      </c>
      <c r="H1469" s="2" t="str">
        <f aca="false">INDEX(Daftar_Menu!$B$2:$B$13,MATCH(C1469,Daftar_Menu!$A$2:$A$13,0))</f>
        <v>Makanan</v>
      </c>
      <c r="I1469" s="2" t="str">
        <f aca="false">CHOOSE(WEEKDAY(B1469,2),"Senin","Selasa","Rabu","Kamis","Jumat","Sabtu","Minggu")</f>
        <v>Sabtu</v>
      </c>
      <c r="J1469" s="2" t="n">
        <f aca="false">HOUR(E1469)</f>
        <v>18</v>
      </c>
      <c r="K1469" s="2" t="str">
        <f aca="false">IF(J1469&lt;11,"Pagi",IF(J1469&lt;17,"Siang","Malam"))</f>
        <v>Malam</v>
      </c>
      <c r="L1469" s="2" t="n">
        <f aca="false">IF(A1469&lt;&gt;A1468,1,0)</f>
        <v>0</v>
      </c>
    </row>
    <row r="1470" customFormat="false" ht="15" hidden="false" customHeight="false" outlineLevel="0" collapsed="false">
      <c r="A1470" s="2" t="s">
        <v>1485</v>
      </c>
      <c r="B1470" s="13" t="n">
        <v>46284</v>
      </c>
      <c r="C1470" s="2" t="s">
        <v>186</v>
      </c>
      <c r="D1470" s="2" t="n">
        <v>1</v>
      </c>
      <c r="E1470" s="15" t="n">
        <v>0.775694444444445</v>
      </c>
      <c r="F1470" s="7" t="n">
        <v>7000</v>
      </c>
      <c r="G1470" s="7" t="n">
        <f aca="false">D1470*F1470</f>
        <v>7000</v>
      </c>
      <c r="H1470" s="2" t="str">
        <f aca="false">INDEX(Daftar_Menu!$B$2:$B$13,MATCH(C1470,Daftar_Menu!$A$2:$A$13,0))</f>
        <v>Minuman</v>
      </c>
      <c r="I1470" s="2" t="str">
        <f aca="false">CHOOSE(WEEKDAY(B1470,2),"Senin","Selasa","Rabu","Kamis","Jumat","Sabtu","Minggu")</f>
        <v>Sabtu</v>
      </c>
      <c r="J1470" s="2" t="n">
        <f aca="false">HOUR(E1470)</f>
        <v>18</v>
      </c>
      <c r="K1470" s="2" t="str">
        <f aca="false">IF(J1470&lt;11,"Pagi",IF(J1470&lt;17,"Siang","Malam"))</f>
        <v>Malam</v>
      </c>
      <c r="L1470" s="2" t="n">
        <f aca="false">IF(A1470&lt;&gt;A1469,1,0)</f>
        <v>1</v>
      </c>
    </row>
    <row r="1471" customFormat="false" ht="15" hidden="false" customHeight="false" outlineLevel="0" collapsed="false">
      <c r="A1471" s="2" t="s">
        <v>1485</v>
      </c>
      <c r="B1471" s="13" t="n">
        <v>46284</v>
      </c>
      <c r="C1471" s="2" t="s">
        <v>101</v>
      </c>
      <c r="D1471" s="2" t="n">
        <v>2</v>
      </c>
      <c r="E1471" s="15" t="n">
        <v>0.775694444444445</v>
      </c>
      <c r="F1471" s="7" t="n">
        <v>18000</v>
      </c>
      <c r="G1471" s="7" t="n">
        <f aca="false">D1471*F1471</f>
        <v>36000</v>
      </c>
      <c r="H1471" s="2" t="str">
        <f aca="false">INDEX(Daftar_Menu!$B$2:$B$13,MATCH(C1471,Daftar_Menu!$A$2:$A$13,0))</f>
        <v>Makanan</v>
      </c>
      <c r="I1471" s="2" t="str">
        <f aca="false">CHOOSE(WEEKDAY(B1471,2),"Senin","Selasa","Rabu","Kamis","Jumat","Sabtu","Minggu")</f>
        <v>Sabtu</v>
      </c>
      <c r="J1471" s="2" t="n">
        <f aca="false">HOUR(E1471)</f>
        <v>18</v>
      </c>
      <c r="K1471" s="2" t="str">
        <f aca="false">IF(J1471&lt;11,"Pagi",IF(J1471&lt;17,"Siang","Malam"))</f>
        <v>Malam</v>
      </c>
      <c r="L1471" s="2" t="n">
        <f aca="false">IF(A1471&lt;&gt;A1470,1,0)</f>
        <v>0</v>
      </c>
    </row>
    <row r="1472" customFormat="false" ht="15" hidden="false" customHeight="false" outlineLevel="0" collapsed="false">
      <c r="A1472" s="2" t="s">
        <v>1485</v>
      </c>
      <c r="B1472" s="13" t="n">
        <v>46284</v>
      </c>
      <c r="C1472" s="2" t="s">
        <v>132</v>
      </c>
      <c r="D1472" s="2" t="n">
        <v>1</v>
      </c>
      <c r="E1472" s="15" t="n">
        <v>0.775694444444445</v>
      </c>
      <c r="F1472" s="7" t="n">
        <v>15000</v>
      </c>
      <c r="G1472" s="7" t="n">
        <f aca="false">D1472*F1472</f>
        <v>15000</v>
      </c>
      <c r="H1472" s="2" t="str">
        <f aca="false">INDEX(Daftar_Menu!$B$2:$B$13,MATCH(C1472,Daftar_Menu!$A$2:$A$13,0))</f>
        <v>Makanan</v>
      </c>
      <c r="I1472" s="2" t="str">
        <f aca="false">CHOOSE(WEEKDAY(B1472,2),"Senin","Selasa","Rabu","Kamis","Jumat","Sabtu","Minggu")</f>
        <v>Sabtu</v>
      </c>
      <c r="J1472" s="2" t="n">
        <f aca="false">HOUR(E1472)</f>
        <v>18</v>
      </c>
      <c r="K1472" s="2" t="str">
        <f aca="false">IF(J1472&lt;11,"Pagi",IF(J1472&lt;17,"Siang","Malam"))</f>
        <v>Malam</v>
      </c>
      <c r="L1472" s="2" t="n">
        <f aca="false">IF(A1472&lt;&gt;A1471,1,0)</f>
        <v>0</v>
      </c>
    </row>
    <row r="1473" customFormat="false" ht="15" hidden="false" customHeight="false" outlineLevel="0" collapsed="false">
      <c r="A1473" s="2" t="s">
        <v>1486</v>
      </c>
      <c r="B1473" s="13" t="n">
        <v>46284</v>
      </c>
      <c r="C1473" s="2" t="s">
        <v>101</v>
      </c>
      <c r="D1473" s="2" t="n">
        <v>1</v>
      </c>
      <c r="E1473" s="15" t="n">
        <v>0.776388888888889</v>
      </c>
      <c r="F1473" s="7" t="n">
        <v>18000</v>
      </c>
      <c r="G1473" s="7" t="n">
        <f aca="false">D1473*F1473</f>
        <v>18000</v>
      </c>
      <c r="H1473" s="2" t="str">
        <f aca="false">INDEX(Daftar_Menu!$B$2:$B$13,MATCH(C1473,Daftar_Menu!$A$2:$A$13,0))</f>
        <v>Makanan</v>
      </c>
      <c r="I1473" s="2" t="str">
        <f aca="false">CHOOSE(WEEKDAY(B1473,2),"Senin","Selasa","Rabu","Kamis","Jumat","Sabtu","Minggu")</f>
        <v>Sabtu</v>
      </c>
      <c r="J1473" s="2" t="n">
        <f aca="false">HOUR(E1473)</f>
        <v>18</v>
      </c>
      <c r="K1473" s="2" t="str">
        <f aca="false">IF(J1473&lt;11,"Pagi",IF(J1473&lt;17,"Siang","Malam"))</f>
        <v>Malam</v>
      </c>
      <c r="L1473" s="2" t="n">
        <f aca="false">IF(A1473&lt;&gt;A1472,1,0)</f>
        <v>1</v>
      </c>
    </row>
    <row r="1474" customFormat="false" ht="15" hidden="false" customHeight="false" outlineLevel="0" collapsed="false">
      <c r="A1474" s="2" t="s">
        <v>1486</v>
      </c>
      <c r="B1474" s="13" t="n">
        <v>46284</v>
      </c>
      <c r="C1474" s="2" t="s">
        <v>89</v>
      </c>
      <c r="D1474" s="2" t="n">
        <v>1</v>
      </c>
      <c r="E1474" s="15" t="n">
        <v>0.776388888888889</v>
      </c>
      <c r="F1474" s="7" t="n">
        <v>14000</v>
      </c>
      <c r="G1474" s="7" t="n">
        <f aca="false">D1474*F1474</f>
        <v>14000</v>
      </c>
      <c r="H1474" s="2" t="str">
        <f aca="false">INDEX(Daftar_Menu!$B$2:$B$13,MATCH(C1474,Daftar_Menu!$A$2:$A$13,0))</f>
        <v>Makanan</v>
      </c>
      <c r="I1474" s="2" t="str">
        <f aca="false">CHOOSE(WEEKDAY(B1474,2),"Senin","Selasa","Rabu","Kamis","Jumat","Sabtu","Minggu")</f>
        <v>Sabtu</v>
      </c>
      <c r="J1474" s="2" t="n">
        <f aca="false">HOUR(E1474)</f>
        <v>18</v>
      </c>
      <c r="K1474" s="2" t="str">
        <f aca="false">IF(J1474&lt;11,"Pagi",IF(J1474&lt;17,"Siang","Malam"))</f>
        <v>Malam</v>
      </c>
      <c r="L1474" s="2" t="n">
        <f aca="false">IF(A1474&lt;&gt;A1473,1,0)</f>
        <v>0</v>
      </c>
    </row>
    <row r="1475" customFormat="false" ht="15" hidden="false" customHeight="false" outlineLevel="0" collapsed="false">
      <c r="A1475" s="2" t="s">
        <v>1488</v>
      </c>
      <c r="B1475" s="13" t="n">
        <v>46284</v>
      </c>
      <c r="C1475" s="2" t="s">
        <v>89</v>
      </c>
      <c r="D1475" s="2" t="n">
        <v>1</v>
      </c>
      <c r="E1475" s="15" t="n">
        <v>0.780555555555556</v>
      </c>
      <c r="F1475" s="7" t="n">
        <v>14000</v>
      </c>
      <c r="G1475" s="7" t="n">
        <f aca="false">D1475*F1475</f>
        <v>14000</v>
      </c>
      <c r="H1475" s="2" t="str">
        <f aca="false">INDEX(Daftar_Menu!$B$2:$B$13,MATCH(C1475,Daftar_Menu!$A$2:$A$13,0))</f>
        <v>Makanan</v>
      </c>
      <c r="I1475" s="2" t="str">
        <f aca="false">CHOOSE(WEEKDAY(B1475,2),"Senin","Selasa","Rabu","Kamis","Jumat","Sabtu","Minggu")</f>
        <v>Sabtu</v>
      </c>
      <c r="J1475" s="2" t="n">
        <f aca="false">HOUR(E1475)</f>
        <v>18</v>
      </c>
      <c r="K1475" s="2" t="str">
        <f aca="false">IF(J1475&lt;11,"Pagi",IF(J1475&lt;17,"Siang","Malam"))</f>
        <v>Malam</v>
      </c>
      <c r="L1475" s="2" t="n">
        <f aca="false">IF(A1475&lt;&gt;A1474,1,0)</f>
        <v>1</v>
      </c>
    </row>
    <row r="1476" customFormat="false" ht="15" hidden="false" customHeight="false" outlineLevel="0" collapsed="false">
      <c r="A1476" s="2" t="s">
        <v>1490</v>
      </c>
      <c r="B1476" s="13" t="n">
        <v>46284</v>
      </c>
      <c r="C1476" s="2" t="s">
        <v>81</v>
      </c>
      <c r="D1476" s="2" t="n">
        <v>2</v>
      </c>
      <c r="E1476" s="15" t="n">
        <v>0.782638888888889</v>
      </c>
      <c r="F1476" s="7" t="n">
        <v>15000</v>
      </c>
      <c r="G1476" s="7" t="n">
        <f aca="false">D1476*F1476</f>
        <v>30000</v>
      </c>
      <c r="H1476" s="2" t="str">
        <f aca="false">INDEX(Daftar_Menu!$B$2:$B$13,MATCH(C1476,Daftar_Menu!$A$2:$A$13,0))</f>
        <v>Makanan</v>
      </c>
      <c r="I1476" s="2" t="str">
        <f aca="false">CHOOSE(WEEKDAY(B1476,2),"Senin","Selasa","Rabu","Kamis","Jumat","Sabtu","Minggu")</f>
        <v>Sabtu</v>
      </c>
      <c r="J1476" s="2" t="n">
        <f aca="false">HOUR(E1476)</f>
        <v>18</v>
      </c>
      <c r="K1476" s="2" t="str">
        <f aca="false">IF(J1476&lt;11,"Pagi",IF(J1476&lt;17,"Siang","Malam"))</f>
        <v>Malam</v>
      </c>
      <c r="L1476" s="2" t="n">
        <f aca="false">IF(A1476&lt;&gt;A1475,1,0)</f>
        <v>1</v>
      </c>
    </row>
    <row r="1477" customFormat="false" ht="15" hidden="false" customHeight="false" outlineLevel="0" collapsed="false">
      <c r="A1477" s="2" t="s">
        <v>1490</v>
      </c>
      <c r="B1477" s="13" t="n">
        <v>46284</v>
      </c>
      <c r="C1477" s="2" t="s">
        <v>79</v>
      </c>
      <c r="D1477" s="2" t="n">
        <v>2</v>
      </c>
      <c r="E1477" s="15" t="n">
        <v>0.782638888888889</v>
      </c>
      <c r="F1477" s="7" t="n">
        <v>16000</v>
      </c>
      <c r="G1477" s="7" t="n">
        <f aca="false">D1477*F1477</f>
        <v>32000</v>
      </c>
      <c r="H1477" s="2" t="str">
        <f aca="false">INDEX(Daftar_Menu!$B$2:$B$13,MATCH(C1477,Daftar_Menu!$A$2:$A$13,0))</f>
        <v>Makanan</v>
      </c>
      <c r="I1477" s="2" t="str">
        <f aca="false">CHOOSE(WEEKDAY(B1477,2),"Senin","Selasa","Rabu","Kamis","Jumat","Sabtu","Minggu")</f>
        <v>Sabtu</v>
      </c>
      <c r="J1477" s="2" t="n">
        <f aca="false">HOUR(E1477)</f>
        <v>18</v>
      </c>
      <c r="K1477" s="2" t="str">
        <f aca="false">IF(J1477&lt;11,"Pagi",IF(J1477&lt;17,"Siang","Malam"))</f>
        <v>Malam</v>
      </c>
      <c r="L1477" s="2" t="n">
        <f aca="false">IF(A1477&lt;&gt;A1476,1,0)</f>
        <v>0</v>
      </c>
    </row>
    <row r="1478" customFormat="false" ht="15" hidden="false" customHeight="false" outlineLevel="0" collapsed="false">
      <c r="A1478" s="2" t="s">
        <v>1492</v>
      </c>
      <c r="B1478" s="13" t="n">
        <v>46284</v>
      </c>
      <c r="C1478" s="2" t="s">
        <v>108</v>
      </c>
      <c r="D1478" s="2" t="n">
        <v>1</v>
      </c>
      <c r="E1478" s="15" t="n">
        <v>0.783333333333333</v>
      </c>
      <c r="F1478" s="7" t="n">
        <v>20000</v>
      </c>
      <c r="G1478" s="7" t="n">
        <f aca="false">D1478*F1478</f>
        <v>20000</v>
      </c>
      <c r="H1478" s="2" t="str">
        <f aca="false">INDEX(Daftar_Menu!$B$2:$B$13,MATCH(C1478,Daftar_Menu!$A$2:$A$13,0))</f>
        <v>Makanan</v>
      </c>
      <c r="I1478" s="2" t="str">
        <f aca="false">CHOOSE(WEEKDAY(B1478,2),"Senin","Selasa","Rabu","Kamis","Jumat","Sabtu","Minggu")</f>
        <v>Sabtu</v>
      </c>
      <c r="J1478" s="2" t="n">
        <f aca="false">HOUR(E1478)</f>
        <v>18</v>
      </c>
      <c r="K1478" s="2" t="str">
        <f aca="false">IF(J1478&lt;11,"Pagi",IF(J1478&lt;17,"Siang","Malam"))</f>
        <v>Malam</v>
      </c>
      <c r="L1478" s="2" t="n">
        <f aca="false">IF(A1478&lt;&gt;A1477,1,0)</f>
        <v>1</v>
      </c>
    </row>
    <row r="1479" customFormat="false" ht="15" hidden="false" customHeight="false" outlineLevel="0" collapsed="false">
      <c r="A1479" s="2" t="s">
        <v>1493</v>
      </c>
      <c r="B1479" s="13" t="n">
        <v>46284</v>
      </c>
      <c r="C1479" s="2" t="s">
        <v>101</v>
      </c>
      <c r="D1479" s="2" t="n">
        <v>1</v>
      </c>
      <c r="E1479" s="15" t="n">
        <v>0.790277777777778</v>
      </c>
      <c r="F1479" s="7" t="n">
        <v>18000</v>
      </c>
      <c r="G1479" s="7" t="n">
        <f aca="false">D1479*F1479</f>
        <v>18000</v>
      </c>
      <c r="H1479" s="2" t="str">
        <f aca="false">INDEX(Daftar_Menu!$B$2:$B$13,MATCH(C1479,Daftar_Menu!$A$2:$A$13,0))</f>
        <v>Makanan</v>
      </c>
      <c r="I1479" s="2" t="str">
        <f aca="false">CHOOSE(WEEKDAY(B1479,2),"Senin","Selasa","Rabu","Kamis","Jumat","Sabtu","Minggu")</f>
        <v>Sabtu</v>
      </c>
      <c r="J1479" s="2" t="n">
        <f aca="false">HOUR(E1479)</f>
        <v>18</v>
      </c>
      <c r="K1479" s="2" t="str">
        <f aca="false">IF(J1479&lt;11,"Pagi",IF(J1479&lt;17,"Siang","Malam"))</f>
        <v>Malam</v>
      </c>
      <c r="L1479" s="2" t="n">
        <f aca="false">IF(A1479&lt;&gt;A1478,1,0)</f>
        <v>1</v>
      </c>
    </row>
    <row r="1480" customFormat="false" ht="15" hidden="false" customHeight="false" outlineLevel="0" collapsed="false">
      <c r="A1480" s="2" t="s">
        <v>1493</v>
      </c>
      <c r="B1480" s="13" t="n">
        <v>46284</v>
      </c>
      <c r="C1480" s="2" t="s">
        <v>81</v>
      </c>
      <c r="D1480" s="2" t="n">
        <v>1</v>
      </c>
      <c r="E1480" s="15" t="n">
        <v>0.790277777777778</v>
      </c>
      <c r="F1480" s="7" t="n">
        <v>15000</v>
      </c>
      <c r="G1480" s="7" t="n">
        <f aca="false">D1480*F1480</f>
        <v>15000</v>
      </c>
      <c r="H1480" s="2" t="str">
        <f aca="false">INDEX(Daftar_Menu!$B$2:$B$13,MATCH(C1480,Daftar_Menu!$A$2:$A$13,0))</f>
        <v>Makanan</v>
      </c>
      <c r="I1480" s="2" t="str">
        <f aca="false">CHOOSE(WEEKDAY(B1480,2),"Senin","Selasa","Rabu","Kamis","Jumat","Sabtu","Minggu")</f>
        <v>Sabtu</v>
      </c>
      <c r="J1480" s="2" t="n">
        <f aca="false">HOUR(E1480)</f>
        <v>18</v>
      </c>
      <c r="K1480" s="2" t="str">
        <f aca="false">IF(J1480&lt;11,"Pagi",IF(J1480&lt;17,"Siang","Malam"))</f>
        <v>Malam</v>
      </c>
      <c r="L1480" s="2" t="n">
        <f aca="false">IF(A1480&lt;&gt;A1479,1,0)</f>
        <v>0</v>
      </c>
    </row>
    <row r="1481" customFormat="false" ht="15" hidden="false" customHeight="false" outlineLevel="0" collapsed="false">
      <c r="A1481" s="2" t="s">
        <v>1494</v>
      </c>
      <c r="B1481" s="13" t="n">
        <v>46284</v>
      </c>
      <c r="C1481" s="2" t="s">
        <v>81</v>
      </c>
      <c r="D1481" s="2" t="n">
        <v>1</v>
      </c>
      <c r="E1481" s="15" t="n">
        <v>0.822916666666667</v>
      </c>
      <c r="F1481" s="7" t="n">
        <v>15000</v>
      </c>
      <c r="G1481" s="7" t="n">
        <f aca="false">D1481*F1481</f>
        <v>15000</v>
      </c>
      <c r="H1481" s="2" t="str">
        <f aca="false">INDEX(Daftar_Menu!$B$2:$B$13,MATCH(C1481,Daftar_Menu!$A$2:$A$13,0))</f>
        <v>Makanan</v>
      </c>
      <c r="I1481" s="2" t="str">
        <f aca="false">CHOOSE(WEEKDAY(B1481,2),"Senin","Selasa","Rabu","Kamis","Jumat","Sabtu","Minggu")</f>
        <v>Sabtu</v>
      </c>
      <c r="J1481" s="2" t="n">
        <f aca="false">HOUR(E1481)</f>
        <v>19</v>
      </c>
      <c r="K1481" s="2" t="str">
        <f aca="false">IF(J1481&lt;11,"Pagi",IF(J1481&lt;17,"Siang","Malam"))</f>
        <v>Malam</v>
      </c>
      <c r="L1481" s="2" t="n">
        <f aca="false">IF(A1481&lt;&gt;A1480,1,0)</f>
        <v>1</v>
      </c>
    </row>
    <row r="1482" customFormat="false" ht="15" hidden="false" customHeight="false" outlineLevel="0" collapsed="false">
      <c r="A1482" s="2" t="s">
        <v>1494</v>
      </c>
      <c r="B1482" s="13" t="n">
        <v>46284</v>
      </c>
      <c r="C1482" s="2" t="s">
        <v>84</v>
      </c>
      <c r="D1482" s="2" t="n">
        <v>3</v>
      </c>
      <c r="E1482" s="15" t="n">
        <v>0.822916666666667</v>
      </c>
      <c r="F1482" s="7" t="n">
        <v>5000</v>
      </c>
      <c r="G1482" s="7" t="n">
        <f aca="false">D1482*F1482</f>
        <v>15000</v>
      </c>
      <c r="H1482" s="2" t="str">
        <f aca="false">INDEX(Daftar_Menu!$B$2:$B$13,MATCH(C1482,Daftar_Menu!$A$2:$A$13,0))</f>
        <v>Minuman</v>
      </c>
      <c r="I1482" s="2" t="str">
        <f aca="false">CHOOSE(WEEKDAY(B1482,2),"Senin","Selasa","Rabu","Kamis","Jumat","Sabtu","Minggu")</f>
        <v>Sabtu</v>
      </c>
      <c r="J1482" s="2" t="n">
        <f aca="false">HOUR(E1482)</f>
        <v>19</v>
      </c>
      <c r="K1482" s="2" t="str">
        <f aca="false">IF(J1482&lt;11,"Pagi",IF(J1482&lt;17,"Siang","Malam"))</f>
        <v>Malam</v>
      </c>
      <c r="L1482" s="2" t="n">
        <f aca="false">IF(A1482&lt;&gt;A1481,1,0)</f>
        <v>0</v>
      </c>
    </row>
    <row r="1483" customFormat="false" ht="15" hidden="false" customHeight="false" outlineLevel="0" collapsed="false">
      <c r="A1483" s="2" t="s">
        <v>1496</v>
      </c>
      <c r="B1483" s="13" t="n">
        <v>46284</v>
      </c>
      <c r="C1483" s="2" t="s">
        <v>132</v>
      </c>
      <c r="D1483" s="2" t="n">
        <v>1</v>
      </c>
      <c r="E1483" s="15" t="n">
        <v>0.825694444444444</v>
      </c>
      <c r="F1483" s="7" t="n">
        <v>15000</v>
      </c>
      <c r="G1483" s="7" t="n">
        <f aca="false">D1483*F1483</f>
        <v>15000</v>
      </c>
      <c r="H1483" s="2" t="str">
        <f aca="false">INDEX(Daftar_Menu!$B$2:$B$13,MATCH(C1483,Daftar_Menu!$A$2:$A$13,0))</f>
        <v>Makanan</v>
      </c>
      <c r="I1483" s="2" t="str">
        <f aca="false">CHOOSE(WEEKDAY(B1483,2),"Senin","Selasa","Rabu","Kamis","Jumat","Sabtu","Minggu")</f>
        <v>Sabtu</v>
      </c>
      <c r="J1483" s="2" t="n">
        <f aca="false">HOUR(E1483)</f>
        <v>19</v>
      </c>
      <c r="K1483" s="2" t="str">
        <f aca="false">IF(J1483&lt;11,"Pagi",IF(J1483&lt;17,"Siang","Malam"))</f>
        <v>Malam</v>
      </c>
      <c r="L1483" s="2" t="n">
        <f aca="false">IF(A1483&lt;&gt;A1482,1,0)</f>
        <v>1</v>
      </c>
    </row>
    <row r="1484" customFormat="false" ht="15" hidden="false" customHeight="false" outlineLevel="0" collapsed="false">
      <c r="A1484" s="2" t="s">
        <v>1497</v>
      </c>
      <c r="B1484" s="13" t="n">
        <v>46284</v>
      </c>
      <c r="C1484" s="2" t="s">
        <v>101</v>
      </c>
      <c r="D1484" s="2" t="n">
        <v>3</v>
      </c>
      <c r="E1484" s="15" t="n">
        <v>0.83125</v>
      </c>
      <c r="F1484" s="7" t="n">
        <v>18000</v>
      </c>
      <c r="G1484" s="7" t="n">
        <f aca="false">D1484*F1484</f>
        <v>54000</v>
      </c>
      <c r="H1484" s="2" t="str">
        <f aca="false">INDEX(Daftar_Menu!$B$2:$B$13,MATCH(C1484,Daftar_Menu!$A$2:$A$13,0))</f>
        <v>Makanan</v>
      </c>
      <c r="I1484" s="2" t="str">
        <f aca="false">CHOOSE(WEEKDAY(B1484,2),"Senin","Selasa","Rabu","Kamis","Jumat","Sabtu","Minggu")</f>
        <v>Sabtu</v>
      </c>
      <c r="J1484" s="2" t="n">
        <f aca="false">HOUR(E1484)</f>
        <v>19</v>
      </c>
      <c r="K1484" s="2" t="str">
        <f aca="false">IF(J1484&lt;11,"Pagi",IF(J1484&lt;17,"Siang","Malam"))</f>
        <v>Malam</v>
      </c>
      <c r="L1484" s="2" t="n">
        <f aca="false">IF(A1484&lt;&gt;A1483,1,0)</f>
        <v>1</v>
      </c>
    </row>
    <row r="1485" customFormat="false" ht="15" hidden="false" customHeight="false" outlineLevel="0" collapsed="false">
      <c r="A1485" s="2" t="s">
        <v>1497</v>
      </c>
      <c r="B1485" s="13" t="n">
        <v>46284</v>
      </c>
      <c r="C1485" s="2" t="s">
        <v>81</v>
      </c>
      <c r="D1485" s="2" t="n">
        <v>1</v>
      </c>
      <c r="E1485" s="15" t="n">
        <v>0.83125</v>
      </c>
      <c r="F1485" s="7" t="n">
        <v>15000</v>
      </c>
      <c r="G1485" s="7" t="n">
        <f aca="false">D1485*F1485</f>
        <v>15000</v>
      </c>
      <c r="H1485" s="2" t="str">
        <f aca="false">INDEX(Daftar_Menu!$B$2:$B$13,MATCH(C1485,Daftar_Menu!$A$2:$A$13,0))</f>
        <v>Makanan</v>
      </c>
      <c r="I1485" s="2" t="str">
        <f aca="false">CHOOSE(WEEKDAY(B1485,2),"Senin","Selasa","Rabu","Kamis","Jumat","Sabtu","Minggu")</f>
        <v>Sabtu</v>
      </c>
      <c r="J1485" s="2" t="n">
        <f aca="false">HOUR(E1485)</f>
        <v>19</v>
      </c>
      <c r="K1485" s="2" t="str">
        <f aca="false">IF(J1485&lt;11,"Pagi",IF(J1485&lt;17,"Siang","Malam"))</f>
        <v>Malam</v>
      </c>
      <c r="L1485" s="2" t="n">
        <f aca="false">IF(A1485&lt;&gt;A1484,1,0)</f>
        <v>0</v>
      </c>
    </row>
    <row r="1486" customFormat="false" ht="15" hidden="false" customHeight="false" outlineLevel="0" collapsed="false">
      <c r="A1486" s="2" t="s">
        <v>1497</v>
      </c>
      <c r="B1486" s="13" t="n">
        <v>46284</v>
      </c>
      <c r="C1486" s="2" t="s">
        <v>84</v>
      </c>
      <c r="D1486" s="2" t="n">
        <v>1</v>
      </c>
      <c r="E1486" s="15" t="n">
        <v>0.83125</v>
      </c>
      <c r="F1486" s="7" t="n">
        <v>5000</v>
      </c>
      <c r="G1486" s="7" t="n">
        <f aca="false">D1486*F1486</f>
        <v>5000</v>
      </c>
      <c r="H1486" s="2" t="str">
        <f aca="false">INDEX(Daftar_Menu!$B$2:$B$13,MATCH(C1486,Daftar_Menu!$A$2:$A$13,0))</f>
        <v>Minuman</v>
      </c>
      <c r="I1486" s="2" t="str">
        <f aca="false">CHOOSE(WEEKDAY(B1486,2),"Senin","Selasa","Rabu","Kamis","Jumat","Sabtu","Minggu")</f>
        <v>Sabtu</v>
      </c>
      <c r="J1486" s="2" t="n">
        <f aca="false">HOUR(E1486)</f>
        <v>19</v>
      </c>
      <c r="K1486" s="2" t="str">
        <f aca="false">IF(J1486&lt;11,"Pagi",IF(J1486&lt;17,"Siang","Malam"))</f>
        <v>Malam</v>
      </c>
      <c r="L1486" s="2" t="n">
        <f aca="false">IF(A1486&lt;&gt;A1485,1,0)</f>
        <v>0</v>
      </c>
    </row>
    <row r="1487" customFormat="false" ht="15" hidden="false" customHeight="false" outlineLevel="0" collapsed="false">
      <c r="A1487" s="2" t="s">
        <v>1498</v>
      </c>
      <c r="B1487" s="13" t="n">
        <v>46284</v>
      </c>
      <c r="C1487" s="2" t="s">
        <v>108</v>
      </c>
      <c r="D1487" s="2" t="n">
        <v>1</v>
      </c>
      <c r="E1487" s="15" t="n">
        <v>0.834722222222222</v>
      </c>
      <c r="F1487" s="7" t="n">
        <v>20000</v>
      </c>
      <c r="G1487" s="7" t="n">
        <f aca="false">D1487*F1487</f>
        <v>20000</v>
      </c>
      <c r="H1487" s="2" t="str">
        <f aca="false">INDEX(Daftar_Menu!$B$2:$B$13,MATCH(C1487,Daftar_Menu!$A$2:$A$13,0))</f>
        <v>Makanan</v>
      </c>
      <c r="I1487" s="2" t="str">
        <f aca="false">CHOOSE(WEEKDAY(B1487,2),"Senin","Selasa","Rabu","Kamis","Jumat","Sabtu","Minggu")</f>
        <v>Sabtu</v>
      </c>
      <c r="J1487" s="2" t="n">
        <f aca="false">HOUR(E1487)</f>
        <v>20</v>
      </c>
      <c r="K1487" s="2" t="str">
        <f aca="false">IF(J1487&lt;11,"Pagi",IF(J1487&lt;17,"Siang","Malam"))</f>
        <v>Malam</v>
      </c>
      <c r="L1487" s="2" t="n">
        <f aca="false">IF(A1487&lt;&gt;A1486,1,0)</f>
        <v>1</v>
      </c>
    </row>
    <row r="1488" customFormat="false" ht="15" hidden="false" customHeight="false" outlineLevel="0" collapsed="false">
      <c r="A1488" s="2" t="s">
        <v>1500</v>
      </c>
      <c r="B1488" s="13" t="n">
        <v>46284</v>
      </c>
      <c r="C1488" s="2" t="s">
        <v>84</v>
      </c>
      <c r="D1488" s="2" t="n">
        <v>1</v>
      </c>
      <c r="E1488" s="15" t="n">
        <v>0.850694444444444</v>
      </c>
      <c r="F1488" s="7" t="n">
        <v>5000</v>
      </c>
      <c r="G1488" s="7" t="n">
        <f aca="false">D1488*F1488</f>
        <v>5000</v>
      </c>
      <c r="H1488" s="2" t="str">
        <f aca="false">INDEX(Daftar_Menu!$B$2:$B$13,MATCH(C1488,Daftar_Menu!$A$2:$A$13,0))</f>
        <v>Minuman</v>
      </c>
      <c r="I1488" s="2" t="str">
        <f aca="false">CHOOSE(WEEKDAY(B1488,2),"Senin","Selasa","Rabu","Kamis","Jumat","Sabtu","Minggu")</f>
        <v>Sabtu</v>
      </c>
      <c r="J1488" s="2" t="n">
        <f aca="false">HOUR(E1488)</f>
        <v>20</v>
      </c>
      <c r="K1488" s="2" t="str">
        <f aca="false">IF(J1488&lt;11,"Pagi",IF(J1488&lt;17,"Siang","Malam"))</f>
        <v>Malam</v>
      </c>
      <c r="L1488" s="2" t="n">
        <f aca="false">IF(A1488&lt;&gt;A1487,1,0)</f>
        <v>1</v>
      </c>
    </row>
    <row r="1489" customFormat="false" ht="15" hidden="false" customHeight="false" outlineLevel="0" collapsed="false">
      <c r="A1489" s="2" t="s">
        <v>1502</v>
      </c>
      <c r="B1489" s="13" t="n">
        <v>46284</v>
      </c>
      <c r="C1489" s="2" t="s">
        <v>79</v>
      </c>
      <c r="D1489" s="2" t="n">
        <v>1</v>
      </c>
      <c r="E1489" s="15" t="n">
        <v>0.852777777777778</v>
      </c>
      <c r="F1489" s="7" t="n">
        <v>16000</v>
      </c>
      <c r="G1489" s="7" t="n">
        <f aca="false">D1489*F1489</f>
        <v>16000</v>
      </c>
      <c r="H1489" s="2" t="str">
        <f aca="false">INDEX(Daftar_Menu!$B$2:$B$13,MATCH(C1489,Daftar_Menu!$A$2:$A$13,0))</f>
        <v>Makanan</v>
      </c>
      <c r="I1489" s="2" t="str">
        <f aca="false">CHOOSE(WEEKDAY(B1489,2),"Senin","Selasa","Rabu","Kamis","Jumat","Sabtu","Minggu")</f>
        <v>Sabtu</v>
      </c>
      <c r="J1489" s="2" t="n">
        <f aca="false">HOUR(E1489)</f>
        <v>20</v>
      </c>
      <c r="K1489" s="2" t="str">
        <f aca="false">IF(J1489&lt;11,"Pagi",IF(J1489&lt;17,"Siang","Malam"))</f>
        <v>Malam</v>
      </c>
      <c r="L1489" s="2" t="n">
        <f aca="false">IF(A1489&lt;&gt;A1488,1,0)</f>
        <v>1</v>
      </c>
    </row>
    <row r="1490" customFormat="false" ht="15" hidden="false" customHeight="false" outlineLevel="0" collapsed="false">
      <c r="A1490" s="2" t="s">
        <v>1502</v>
      </c>
      <c r="B1490" s="13" t="n">
        <v>46284</v>
      </c>
      <c r="C1490" s="2" t="s">
        <v>81</v>
      </c>
      <c r="D1490" s="2" t="n">
        <v>1</v>
      </c>
      <c r="E1490" s="15" t="n">
        <v>0.852777777777778</v>
      </c>
      <c r="F1490" s="7" t="n">
        <v>15000</v>
      </c>
      <c r="G1490" s="7" t="n">
        <f aca="false">D1490*F1490</f>
        <v>15000</v>
      </c>
      <c r="H1490" s="2" t="str">
        <f aca="false">INDEX(Daftar_Menu!$B$2:$B$13,MATCH(C1490,Daftar_Menu!$A$2:$A$13,0))</f>
        <v>Makanan</v>
      </c>
      <c r="I1490" s="2" t="str">
        <f aca="false">CHOOSE(WEEKDAY(B1490,2),"Senin","Selasa","Rabu","Kamis","Jumat","Sabtu","Minggu")</f>
        <v>Sabtu</v>
      </c>
      <c r="J1490" s="2" t="n">
        <f aca="false">HOUR(E1490)</f>
        <v>20</v>
      </c>
      <c r="K1490" s="2" t="str">
        <f aca="false">IF(J1490&lt;11,"Pagi",IF(J1490&lt;17,"Siang","Malam"))</f>
        <v>Malam</v>
      </c>
      <c r="L1490" s="2" t="n">
        <f aca="false">IF(A1490&lt;&gt;A1489,1,0)</f>
        <v>0</v>
      </c>
    </row>
    <row r="1491" customFormat="false" ht="15" hidden="false" customHeight="false" outlineLevel="0" collapsed="false">
      <c r="A1491" s="2" t="s">
        <v>1504</v>
      </c>
      <c r="B1491" s="13" t="n">
        <v>46285</v>
      </c>
      <c r="C1491" s="2" t="s">
        <v>81</v>
      </c>
      <c r="D1491" s="2" t="n">
        <v>1</v>
      </c>
      <c r="E1491" s="15" t="n">
        <v>0.380555555555556</v>
      </c>
      <c r="F1491" s="7" t="n">
        <v>15000</v>
      </c>
      <c r="G1491" s="7" t="n">
        <f aca="false">D1491*F1491</f>
        <v>15000</v>
      </c>
      <c r="H1491" s="2" t="str">
        <f aca="false">INDEX(Daftar_Menu!$B$2:$B$13,MATCH(C1491,Daftar_Menu!$A$2:$A$13,0))</f>
        <v>Makanan</v>
      </c>
      <c r="I1491" s="2" t="str">
        <f aca="false">CHOOSE(WEEKDAY(B1491,2),"Senin","Selasa","Rabu","Kamis","Jumat","Sabtu","Minggu")</f>
        <v>Minggu</v>
      </c>
      <c r="J1491" s="2" t="n">
        <f aca="false">HOUR(E1491)</f>
        <v>9</v>
      </c>
      <c r="K1491" s="2" t="str">
        <f aca="false">IF(J1491&lt;11,"Pagi",IF(J1491&lt;17,"Siang","Malam"))</f>
        <v>Pagi</v>
      </c>
      <c r="L1491" s="2" t="n">
        <f aca="false">IF(A1491&lt;&gt;A1490,1,0)</f>
        <v>1</v>
      </c>
    </row>
    <row r="1492" customFormat="false" ht="15" hidden="false" customHeight="false" outlineLevel="0" collapsed="false">
      <c r="A1492" s="2" t="s">
        <v>1505</v>
      </c>
      <c r="B1492" s="13" t="n">
        <v>46285</v>
      </c>
      <c r="C1492" s="2" t="s">
        <v>132</v>
      </c>
      <c r="D1492" s="2" t="n">
        <v>2</v>
      </c>
      <c r="E1492" s="15" t="n">
        <v>0.392361111111111</v>
      </c>
      <c r="F1492" s="7" t="n">
        <v>15000</v>
      </c>
      <c r="G1492" s="7" t="n">
        <f aca="false">D1492*F1492</f>
        <v>30000</v>
      </c>
      <c r="H1492" s="2" t="str">
        <f aca="false">INDEX(Daftar_Menu!$B$2:$B$13,MATCH(C1492,Daftar_Menu!$A$2:$A$13,0))</f>
        <v>Makanan</v>
      </c>
      <c r="I1492" s="2" t="str">
        <f aca="false">CHOOSE(WEEKDAY(B1492,2),"Senin","Selasa","Rabu","Kamis","Jumat","Sabtu","Minggu")</f>
        <v>Minggu</v>
      </c>
      <c r="J1492" s="2" t="n">
        <f aca="false">HOUR(E1492)</f>
        <v>9</v>
      </c>
      <c r="K1492" s="2" t="str">
        <f aca="false">IF(J1492&lt;11,"Pagi",IF(J1492&lt;17,"Siang","Malam"))</f>
        <v>Pagi</v>
      </c>
      <c r="L1492" s="2" t="n">
        <f aca="false">IF(A1492&lt;&gt;A1491,1,0)</f>
        <v>1</v>
      </c>
    </row>
    <row r="1493" customFormat="false" ht="15" hidden="false" customHeight="false" outlineLevel="0" collapsed="false">
      <c r="A1493" s="2" t="s">
        <v>1505</v>
      </c>
      <c r="B1493" s="13" t="n">
        <v>46285</v>
      </c>
      <c r="C1493" s="2" t="s">
        <v>79</v>
      </c>
      <c r="D1493" s="2" t="n">
        <v>1</v>
      </c>
      <c r="E1493" s="15" t="n">
        <v>0.392361111111111</v>
      </c>
      <c r="F1493" s="7" t="n">
        <v>16000</v>
      </c>
      <c r="G1493" s="7" t="n">
        <f aca="false">D1493*F1493</f>
        <v>16000</v>
      </c>
      <c r="H1493" s="2" t="str">
        <f aca="false">INDEX(Daftar_Menu!$B$2:$B$13,MATCH(C1493,Daftar_Menu!$A$2:$A$13,0))</f>
        <v>Makanan</v>
      </c>
      <c r="I1493" s="2" t="str">
        <f aca="false">CHOOSE(WEEKDAY(B1493,2),"Senin","Selasa","Rabu","Kamis","Jumat","Sabtu","Minggu")</f>
        <v>Minggu</v>
      </c>
      <c r="J1493" s="2" t="n">
        <f aca="false">HOUR(E1493)</f>
        <v>9</v>
      </c>
      <c r="K1493" s="2" t="str">
        <f aca="false">IF(J1493&lt;11,"Pagi",IF(J1493&lt;17,"Siang","Malam"))</f>
        <v>Pagi</v>
      </c>
      <c r="L1493" s="2" t="n">
        <f aca="false">IF(A1493&lt;&gt;A1492,1,0)</f>
        <v>0</v>
      </c>
    </row>
    <row r="1494" customFormat="false" ht="15" hidden="false" customHeight="false" outlineLevel="0" collapsed="false">
      <c r="A1494" s="2" t="s">
        <v>1505</v>
      </c>
      <c r="B1494" s="13" t="n">
        <v>46285</v>
      </c>
      <c r="C1494" s="2" t="s">
        <v>101</v>
      </c>
      <c r="D1494" s="2" t="n">
        <v>1</v>
      </c>
      <c r="E1494" s="15" t="n">
        <v>0.392361111111111</v>
      </c>
      <c r="F1494" s="7" t="n">
        <v>18000</v>
      </c>
      <c r="G1494" s="7" t="n">
        <f aca="false">D1494*F1494</f>
        <v>18000</v>
      </c>
      <c r="H1494" s="2" t="str">
        <f aca="false">INDEX(Daftar_Menu!$B$2:$B$13,MATCH(C1494,Daftar_Menu!$A$2:$A$13,0))</f>
        <v>Makanan</v>
      </c>
      <c r="I1494" s="2" t="str">
        <f aca="false">CHOOSE(WEEKDAY(B1494,2),"Senin","Selasa","Rabu","Kamis","Jumat","Sabtu","Minggu")</f>
        <v>Minggu</v>
      </c>
      <c r="J1494" s="2" t="n">
        <f aca="false">HOUR(E1494)</f>
        <v>9</v>
      </c>
      <c r="K1494" s="2" t="str">
        <f aca="false">IF(J1494&lt;11,"Pagi",IF(J1494&lt;17,"Siang","Malam"))</f>
        <v>Pagi</v>
      </c>
      <c r="L1494" s="2" t="n">
        <f aca="false">IF(A1494&lt;&gt;A1493,1,0)</f>
        <v>0</v>
      </c>
    </row>
    <row r="1495" customFormat="false" ht="15" hidden="false" customHeight="false" outlineLevel="0" collapsed="false">
      <c r="A1495" s="2" t="s">
        <v>1506</v>
      </c>
      <c r="B1495" s="13" t="n">
        <v>46285</v>
      </c>
      <c r="C1495" s="2" t="s">
        <v>186</v>
      </c>
      <c r="D1495" s="2" t="n">
        <v>1</v>
      </c>
      <c r="E1495" s="15" t="n">
        <v>0.413888888888889</v>
      </c>
      <c r="F1495" s="7" t="n">
        <v>7000</v>
      </c>
      <c r="G1495" s="7" t="n">
        <f aca="false">D1495*F1495</f>
        <v>7000</v>
      </c>
      <c r="H1495" s="2" t="str">
        <f aca="false">INDEX(Daftar_Menu!$B$2:$B$13,MATCH(C1495,Daftar_Menu!$A$2:$A$13,0))</f>
        <v>Minuman</v>
      </c>
      <c r="I1495" s="2" t="str">
        <f aca="false">CHOOSE(WEEKDAY(B1495,2),"Senin","Selasa","Rabu","Kamis","Jumat","Sabtu","Minggu")</f>
        <v>Minggu</v>
      </c>
      <c r="J1495" s="2" t="n">
        <f aca="false">HOUR(E1495)</f>
        <v>9</v>
      </c>
      <c r="K1495" s="2" t="str">
        <f aca="false">IF(J1495&lt;11,"Pagi",IF(J1495&lt;17,"Siang","Malam"))</f>
        <v>Pagi</v>
      </c>
      <c r="L1495" s="2" t="n">
        <f aca="false">IF(A1495&lt;&gt;A1494,1,0)</f>
        <v>1</v>
      </c>
    </row>
    <row r="1496" customFormat="false" ht="15" hidden="false" customHeight="false" outlineLevel="0" collapsed="false">
      <c r="A1496" s="2" t="s">
        <v>1508</v>
      </c>
      <c r="B1496" s="13" t="n">
        <v>46285</v>
      </c>
      <c r="C1496" s="2" t="s">
        <v>112</v>
      </c>
      <c r="D1496" s="2" t="n">
        <v>1</v>
      </c>
      <c r="E1496" s="15" t="n">
        <v>0.456944444444444</v>
      </c>
      <c r="F1496" s="7" t="n">
        <v>10000</v>
      </c>
      <c r="G1496" s="7" t="n">
        <f aca="false">D1496*F1496</f>
        <v>10000</v>
      </c>
      <c r="H1496" s="2" t="str">
        <f aca="false">INDEX(Daftar_Menu!$B$2:$B$13,MATCH(C1496,Daftar_Menu!$A$2:$A$13,0))</f>
        <v>Minuman</v>
      </c>
      <c r="I1496" s="2" t="str">
        <f aca="false">CHOOSE(WEEKDAY(B1496,2),"Senin","Selasa","Rabu","Kamis","Jumat","Sabtu","Minggu")</f>
        <v>Minggu</v>
      </c>
      <c r="J1496" s="2" t="n">
        <f aca="false">HOUR(E1496)</f>
        <v>10</v>
      </c>
      <c r="K1496" s="2" t="str">
        <f aca="false">IF(J1496&lt;11,"Pagi",IF(J1496&lt;17,"Siang","Malam"))</f>
        <v>Pagi</v>
      </c>
      <c r="L1496" s="2" t="n">
        <f aca="false">IF(A1496&lt;&gt;A1495,1,0)</f>
        <v>1</v>
      </c>
    </row>
    <row r="1497" customFormat="false" ht="15" hidden="false" customHeight="false" outlineLevel="0" collapsed="false">
      <c r="A1497" s="2" t="s">
        <v>1508</v>
      </c>
      <c r="B1497" s="13" t="n">
        <v>46285</v>
      </c>
      <c r="C1497" s="2" t="s">
        <v>92</v>
      </c>
      <c r="D1497" s="2" t="n">
        <v>1</v>
      </c>
      <c r="E1497" s="15" t="n">
        <v>0.456944444444444</v>
      </c>
      <c r="F1497" s="7" t="n">
        <v>4000</v>
      </c>
      <c r="G1497" s="7" t="n">
        <f aca="false">D1497*F1497</f>
        <v>4000</v>
      </c>
      <c r="H1497" s="2" t="str">
        <f aca="false">INDEX(Daftar_Menu!$B$2:$B$13,MATCH(C1497,Daftar_Menu!$A$2:$A$13,0))</f>
        <v>Minuman</v>
      </c>
      <c r="I1497" s="2" t="str">
        <f aca="false">CHOOSE(WEEKDAY(B1497,2),"Senin","Selasa","Rabu","Kamis","Jumat","Sabtu","Minggu")</f>
        <v>Minggu</v>
      </c>
      <c r="J1497" s="2" t="n">
        <f aca="false">HOUR(E1497)</f>
        <v>10</v>
      </c>
      <c r="K1497" s="2" t="str">
        <f aca="false">IF(J1497&lt;11,"Pagi",IF(J1497&lt;17,"Siang","Malam"))</f>
        <v>Pagi</v>
      </c>
      <c r="L1497" s="2" t="n">
        <f aca="false">IF(A1497&lt;&gt;A1496,1,0)</f>
        <v>0</v>
      </c>
    </row>
    <row r="1498" customFormat="false" ht="15" hidden="false" customHeight="false" outlineLevel="0" collapsed="false">
      <c r="A1498" s="2" t="s">
        <v>1510</v>
      </c>
      <c r="B1498" s="13" t="n">
        <v>46285</v>
      </c>
      <c r="C1498" s="2" t="s">
        <v>92</v>
      </c>
      <c r="D1498" s="2" t="n">
        <v>1</v>
      </c>
      <c r="E1498" s="15" t="n">
        <v>0.463194444444445</v>
      </c>
      <c r="F1498" s="7" t="n">
        <v>4000</v>
      </c>
      <c r="G1498" s="7" t="n">
        <f aca="false">D1498*F1498</f>
        <v>4000</v>
      </c>
      <c r="H1498" s="2" t="str">
        <f aca="false">INDEX(Daftar_Menu!$B$2:$B$13,MATCH(C1498,Daftar_Menu!$A$2:$A$13,0))</f>
        <v>Minuman</v>
      </c>
      <c r="I1498" s="2" t="str">
        <f aca="false">CHOOSE(WEEKDAY(B1498,2),"Senin","Selasa","Rabu","Kamis","Jumat","Sabtu","Minggu")</f>
        <v>Minggu</v>
      </c>
      <c r="J1498" s="2" t="n">
        <f aca="false">HOUR(E1498)</f>
        <v>11</v>
      </c>
      <c r="K1498" s="2" t="str">
        <f aca="false">IF(J1498&lt;11,"Pagi",IF(J1498&lt;17,"Siang","Malam"))</f>
        <v>Siang</v>
      </c>
      <c r="L1498" s="2" t="n">
        <f aca="false">IF(A1498&lt;&gt;A1497,1,0)</f>
        <v>1</v>
      </c>
    </row>
    <row r="1499" customFormat="false" ht="15" hidden="false" customHeight="false" outlineLevel="0" collapsed="false">
      <c r="A1499" s="2" t="s">
        <v>1510</v>
      </c>
      <c r="B1499" s="13" t="n">
        <v>46285</v>
      </c>
      <c r="C1499" s="2" t="s">
        <v>84</v>
      </c>
      <c r="D1499" s="2" t="n">
        <v>3</v>
      </c>
      <c r="E1499" s="15" t="n">
        <v>0.463194444444445</v>
      </c>
      <c r="F1499" s="7" t="n">
        <v>5000</v>
      </c>
      <c r="G1499" s="7" t="n">
        <f aca="false">D1499*F1499</f>
        <v>15000</v>
      </c>
      <c r="H1499" s="2" t="str">
        <f aca="false">INDEX(Daftar_Menu!$B$2:$B$13,MATCH(C1499,Daftar_Menu!$A$2:$A$13,0))</f>
        <v>Minuman</v>
      </c>
      <c r="I1499" s="2" t="str">
        <f aca="false">CHOOSE(WEEKDAY(B1499,2),"Senin","Selasa","Rabu","Kamis","Jumat","Sabtu","Minggu")</f>
        <v>Minggu</v>
      </c>
      <c r="J1499" s="2" t="n">
        <f aca="false">HOUR(E1499)</f>
        <v>11</v>
      </c>
      <c r="K1499" s="2" t="str">
        <f aca="false">IF(J1499&lt;11,"Pagi",IF(J1499&lt;17,"Siang","Malam"))</f>
        <v>Siang</v>
      </c>
      <c r="L1499" s="2" t="n">
        <f aca="false">IF(A1499&lt;&gt;A1498,1,0)</f>
        <v>0</v>
      </c>
    </row>
    <row r="1500" customFormat="false" ht="15" hidden="false" customHeight="false" outlineLevel="0" collapsed="false">
      <c r="A1500" s="2" t="s">
        <v>1511</v>
      </c>
      <c r="B1500" s="13" t="n">
        <v>46285</v>
      </c>
      <c r="C1500" s="2" t="s">
        <v>79</v>
      </c>
      <c r="D1500" s="2" t="n">
        <v>2</v>
      </c>
      <c r="E1500" s="15" t="n">
        <v>0.466666666666667</v>
      </c>
      <c r="F1500" s="7" t="n">
        <v>16000</v>
      </c>
      <c r="G1500" s="7" t="n">
        <f aca="false">D1500*F1500</f>
        <v>32000</v>
      </c>
      <c r="H1500" s="2" t="str">
        <f aca="false">INDEX(Daftar_Menu!$B$2:$B$13,MATCH(C1500,Daftar_Menu!$A$2:$A$13,0))</f>
        <v>Makanan</v>
      </c>
      <c r="I1500" s="2" t="str">
        <f aca="false">CHOOSE(WEEKDAY(B1500,2),"Senin","Selasa","Rabu","Kamis","Jumat","Sabtu","Minggu")</f>
        <v>Minggu</v>
      </c>
      <c r="J1500" s="2" t="n">
        <f aca="false">HOUR(E1500)</f>
        <v>11</v>
      </c>
      <c r="K1500" s="2" t="str">
        <f aca="false">IF(J1500&lt;11,"Pagi",IF(J1500&lt;17,"Siang","Malam"))</f>
        <v>Siang</v>
      </c>
      <c r="L1500" s="2" t="n">
        <f aca="false">IF(A1500&lt;&gt;A1499,1,0)</f>
        <v>1</v>
      </c>
    </row>
    <row r="1501" customFormat="false" ht="15" hidden="false" customHeight="false" outlineLevel="0" collapsed="false">
      <c r="A1501" s="2" t="s">
        <v>1512</v>
      </c>
      <c r="B1501" s="13" t="n">
        <v>46285</v>
      </c>
      <c r="C1501" s="2" t="s">
        <v>89</v>
      </c>
      <c r="D1501" s="2" t="n">
        <v>1</v>
      </c>
      <c r="E1501" s="15" t="n">
        <v>0.479861111111111</v>
      </c>
      <c r="F1501" s="7" t="n">
        <v>14000</v>
      </c>
      <c r="G1501" s="7" t="n">
        <f aca="false">D1501*F1501</f>
        <v>14000</v>
      </c>
      <c r="H1501" s="2" t="str">
        <f aca="false">INDEX(Daftar_Menu!$B$2:$B$13,MATCH(C1501,Daftar_Menu!$A$2:$A$13,0))</f>
        <v>Makanan</v>
      </c>
      <c r="I1501" s="2" t="str">
        <f aca="false">CHOOSE(WEEKDAY(B1501,2),"Senin","Selasa","Rabu","Kamis","Jumat","Sabtu","Minggu")</f>
        <v>Minggu</v>
      </c>
      <c r="J1501" s="2" t="n">
        <f aca="false">HOUR(E1501)</f>
        <v>11</v>
      </c>
      <c r="K1501" s="2" t="str">
        <f aca="false">IF(J1501&lt;11,"Pagi",IF(J1501&lt;17,"Siang","Malam"))</f>
        <v>Siang</v>
      </c>
      <c r="L1501" s="2" t="n">
        <f aca="false">IF(A1501&lt;&gt;A1500,1,0)</f>
        <v>1</v>
      </c>
    </row>
    <row r="1502" customFormat="false" ht="15" hidden="false" customHeight="false" outlineLevel="0" collapsed="false">
      <c r="A1502" s="2" t="s">
        <v>1512</v>
      </c>
      <c r="B1502" s="13" t="n">
        <v>46285</v>
      </c>
      <c r="C1502" s="2" t="s">
        <v>84</v>
      </c>
      <c r="D1502" s="2" t="n">
        <v>1</v>
      </c>
      <c r="E1502" s="15" t="n">
        <v>0.479861111111111</v>
      </c>
      <c r="F1502" s="7" t="n">
        <v>5000</v>
      </c>
      <c r="G1502" s="7" t="n">
        <f aca="false">D1502*F1502</f>
        <v>5000</v>
      </c>
      <c r="H1502" s="2" t="str">
        <f aca="false">INDEX(Daftar_Menu!$B$2:$B$13,MATCH(C1502,Daftar_Menu!$A$2:$A$13,0))</f>
        <v>Minuman</v>
      </c>
      <c r="I1502" s="2" t="str">
        <f aca="false">CHOOSE(WEEKDAY(B1502,2),"Senin","Selasa","Rabu","Kamis","Jumat","Sabtu","Minggu")</f>
        <v>Minggu</v>
      </c>
      <c r="J1502" s="2" t="n">
        <f aca="false">HOUR(E1502)</f>
        <v>11</v>
      </c>
      <c r="K1502" s="2" t="str">
        <f aca="false">IF(J1502&lt;11,"Pagi",IF(J1502&lt;17,"Siang","Malam"))</f>
        <v>Siang</v>
      </c>
      <c r="L1502" s="2" t="n">
        <f aca="false">IF(A1502&lt;&gt;A1501,1,0)</f>
        <v>0</v>
      </c>
    </row>
    <row r="1503" customFormat="false" ht="15" hidden="false" customHeight="false" outlineLevel="0" collapsed="false">
      <c r="A1503" s="2" t="s">
        <v>1514</v>
      </c>
      <c r="B1503" s="13" t="n">
        <v>46285</v>
      </c>
      <c r="C1503" s="2" t="s">
        <v>101</v>
      </c>
      <c r="D1503" s="2" t="n">
        <v>1</v>
      </c>
      <c r="E1503" s="15" t="n">
        <v>0.484027777777778</v>
      </c>
      <c r="F1503" s="7" t="n">
        <v>18000</v>
      </c>
      <c r="G1503" s="7" t="n">
        <f aca="false">D1503*F1503</f>
        <v>18000</v>
      </c>
      <c r="H1503" s="2" t="str">
        <f aca="false">INDEX(Daftar_Menu!$B$2:$B$13,MATCH(C1503,Daftar_Menu!$A$2:$A$13,0))</f>
        <v>Makanan</v>
      </c>
      <c r="I1503" s="2" t="str">
        <f aca="false">CHOOSE(WEEKDAY(B1503,2),"Senin","Selasa","Rabu","Kamis","Jumat","Sabtu","Minggu")</f>
        <v>Minggu</v>
      </c>
      <c r="J1503" s="2" t="n">
        <f aca="false">HOUR(E1503)</f>
        <v>11</v>
      </c>
      <c r="K1503" s="2" t="str">
        <f aca="false">IF(J1503&lt;11,"Pagi",IF(J1503&lt;17,"Siang","Malam"))</f>
        <v>Siang</v>
      </c>
      <c r="L1503" s="2" t="n">
        <f aca="false">IF(A1503&lt;&gt;A1502,1,0)</f>
        <v>1</v>
      </c>
    </row>
    <row r="1504" customFormat="false" ht="15" hidden="false" customHeight="false" outlineLevel="0" collapsed="false">
      <c r="A1504" s="2" t="s">
        <v>1514</v>
      </c>
      <c r="B1504" s="13" t="n">
        <v>46285</v>
      </c>
      <c r="C1504" s="2" t="s">
        <v>81</v>
      </c>
      <c r="D1504" s="2" t="n">
        <v>1</v>
      </c>
      <c r="E1504" s="15" t="n">
        <v>0.484027777777778</v>
      </c>
      <c r="F1504" s="7" t="n">
        <v>15000</v>
      </c>
      <c r="G1504" s="7" t="n">
        <f aca="false">D1504*F1504</f>
        <v>15000</v>
      </c>
      <c r="H1504" s="2" t="str">
        <f aca="false">INDEX(Daftar_Menu!$B$2:$B$13,MATCH(C1504,Daftar_Menu!$A$2:$A$13,0))</f>
        <v>Makanan</v>
      </c>
      <c r="I1504" s="2" t="str">
        <f aca="false">CHOOSE(WEEKDAY(B1504,2),"Senin","Selasa","Rabu","Kamis","Jumat","Sabtu","Minggu")</f>
        <v>Minggu</v>
      </c>
      <c r="J1504" s="2" t="n">
        <f aca="false">HOUR(E1504)</f>
        <v>11</v>
      </c>
      <c r="K1504" s="2" t="str">
        <f aca="false">IF(J1504&lt;11,"Pagi",IF(J1504&lt;17,"Siang","Malam"))</f>
        <v>Siang</v>
      </c>
      <c r="L1504" s="2" t="n">
        <f aca="false">IF(A1504&lt;&gt;A1503,1,0)</f>
        <v>0</v>
      </c>
    </row>
    <row r="1505" customFormat="false" ht="15" hidden="false" customHeight="false" outlineLevel="0" collapsed="false">
      <c r="A1505" s="2" t="s">
        <v>1514</v>
      </c>
      <c r="B1505" s="13" t="n">
        <v>46285</v>
      </c>
      <c r="C1505" s="2" t="s">
        <v>186</v>
      </c>
      <c r="D1505" s="2" t="n">
        <v>1</v>
      </c>
      <c r="E1505" s="15" t="n">
        <v>0.484027777777778</v>
      </c>
      <c r="F1505" s="7" t="n">
        <v>7000</v>
      </c>
      <c r="G1505" s="7" t="n">
        <f aca="false">D1505*F1505</f>
        <v>7000</v>
      </c>
      <c r="H1505" s="2" t="str">
        <f aca="false">INDEX(Daftar_Menu!$B$2:$B$13,MATCH(C1505,Daftar_Menu!$A$2:$A$13,0))</f>
        <v>Minuman</v>
      </c>
      <c r="I1505" s="2" t="str">
        <f aca="false">CHOOSE(WEEKDAY(B1505,2),"Senin","Selasa","Rabu","Kamis","Jumat","Sabtu","Minggu")</f>
        <v>Minggu</v>
      </c>
      <c r="J1505" s="2" t="n">
        <f aca="false">HOUR(E1505)</f>
        <v>11</v>
      </c>
      <c r="K1505" s="2" t="str">
        <f aca="false">IF(J1505&lt;11,"Pagi",IF(J1505&lt;17,"Siang","Malam"))</f>
        <v>Siang</v>
      </c>
      <c r="L1505" s="2" t="n">
        <f aca="false">IF(A1505&lt;&gt;A1504,1,0)</f>
        <v>0</v>
      </c>
    </row>
    <row r="1506" customFormat="false" ht="15" hidden="false" customHeight="false" outlineLevel="0" collapsed="false">
      <c r="A1506" s="2" t="s">
        <v>1515</v>
      </c>
      <c r="B1506" s="13" t="n">
        <v>46285</v>
      </c>
      <c r="C1506" s="2" t="s">
        <v>132</v>
      </c>
      <c r="D1506" s="2" t="n">
        <v>1</v>
      </c>
      <c r="E1506" s="15" t="n">
        <v>0.484722222222222</v>
      </c>
      <c r="F1506" s="7" t="n">
        <v>15000</v>
      </c>
      <c r="G1506" s="7" t="n">
        <f aca="false">D1506*F1506</f>
        <v>15000</v>
      </c>
      <c r="H1506" s="2" t="str">
        <f aca="false">INDEX(Daftar_Menu!$B$2:$B$13,MATCH(C1506,Daftar_Menu!$A$2:$A$13,0))</f>
        <v>Makanan</v>
      </c>
      <c r="I1506" s="2" t="str">
        <f aca="false">CHOOSE(WEEKDAY(B1506,2),"Senin","Selasa","Rabu","Kamis","Jumat","Sabtu","Minggu")</f>
        <v>Minggu</v>
      </c>
      <c r="J1506" s="2" t="n">
        <f aca="false">HOUR(E1506)</f>
        <v>11</v>
      </c>
      <c r="K1506" s="2" t="str">
        <f aca="false">IF(J1506&lt;11,"Pagi",IF(J1506&lt;17,"Siang","Malam"))</f>
        <v>Siang</v>
      </c>
      <c r="L1506" s="2" t="n">
        <f aca="false">IF(A1506&lt;&gt;A1505,1,0)</f>
        <v>1</v>
      </c>
    </row>
    <row r="1507" customFormat="false" ht="15" hidden="false" customHeight="false" outlineLevel="0" collapsed="false">
      <c r="A1507" s="2" t="s">
        <v>1516</v>
      </c>
      <c r="B1507" s="13" t="n">
        <v>46285</v>
      </c>
      <c r="C1507" s="2" t="s">
        <v>82</v>
      </c>
      <c r="D1507" s="2" t="n">
        <v>1</v>
      </c>
      <c r="E1507" s="15" t="n">
        <v>0.484722222222222</v>
      </c>
      <c r="F1507" s="7" t="n">
        <v>13000</v>
      </c>
      <c r="G1507" s="7" t="n">
        <f aca="false">D1507*F1507</f>
        <v>13000</v>
      </c>
      <c r="H1507" s="2" t="str">
        <f aca="false">INDEX(Daftar_Menu!$B$2:$B$13,MATCH(C1507,Daftar_Menu!$A$2:$A$13,0))</f>
        <v>Makanan</v>
      </c>
      <c r="I1507" s="2" t="str">
        <f aca="false">CHOOSE(WEEKDAY(B1507,2),"Senin","Selasa","Rabu","Kamis","Jumat","Sabtu","Minggu")</f>
        <v>Minggu</v>
      </c>
      <c r="J1507" s="2" t="n">
        <f aca="false">HOUR(E1507)</f>
        <v>11</v>
      </c>
      <c r="K1507" s="2" t="str">
        <f aca="false">IF(J1507&lt;11,"Pagi",IF(J1507&lt;17,"Siang","Malam"))</f>
        <v>Siang</v>
      </c>
      <c r="L1507" s="2" t="n">
        <f aca="false">IF(A1507&lt;&gt;A1506,1,0)</f>
        <v>1</v>
      </c>
    </row>
    <row r="1508" customFormat="false" ht="15" hidden="false" customHeight="false" outlineLevel="0" collapsed="false">
      <c r="A1508" s="2" t="s">
        <v>1517</v>
      </c>
      <c r="B1508" s="13" t="n">
        <v>46285</v>
      </c>
      <c r="C1508" s="2" t="s">
        <v>101</v>
      </c>
      <c r="D1508" s="2" t="n">
        <v>2</v>
      </c>
      <c r="E1508" s="15" t="n">
        <v>0.497916666666667</v>
      </c>
      <c r="F1508" s="7" t="n">
        <v>18000</v>
      </c>
      <c r="G1508" s="7" t="n">
        <f aca="false">D1508*F1508</f>
        <v>36000</v>
      </c>
      <c r="H1508" s="2" t="str">
        <f aca="false">INDEX(Daftar_Menu!$B$2:$B$13,MATCH(C1508,Daftar_Menu!$A$2:$A$13,0))</f>
        <v>Makanan</v>
      </c>
      <c r="I1508" s="2" t="str">
        <f aca="false">CHOOSE(WEEKDAY(B1508,2),"Senin","Selasa","Rabu","Kamis","Jumat","Sabtu","Minggu")</f>
        <v>Minggu</v>
      </c>
      <c r="J1508" s="2" t="n">
        <f aca="false">HOUR(E1508)</f>
        <v>11</v>
      </c>
      <c r="K1508" s="2" t="str">
        <f aca="false">IF(J1508&lt;11,"Pagi",IF(J1508&lt;17,"Siang","Malam"))</f>
        <v>Siang</v>
      </c>
      <c r="L1508" s="2" t="n">
        <f aca="false">IF(A1508&lt;&gt;A1507,1,0)</f>
        <v>1</v>
      </c>
    </row>
    <row r="1509" customFormat="false" ht="15" hidden="false" customHeight="false" outlineLevel="0" collapsed="false">
      <c r="A1509" s="2" t="s">
        <v>1517</v>
      </c>
      <c r="B1509" s="13" t="n">
        <v>46285</v>
      </c>
      <c r="C1509" s="2" t="s">
        <v>84</v>
      </c>
      <c r="D1509" s="2" t="n">
        <v>2</v>
      </c>
      <c r="E1509" s="15" t="n">
        <v>0.497916666666667</v>
      </c>
      <c r="F1509" s="7" t="n">
        <v>5000</v>
      </c>
      <c r="G1509" s="7" t="n">
        <f aca="false">D1509*F1509</f>
        <v>10000</v>
      </c>
      <c r="H1509" s="2" t="str">
        <f aca="false">INDEX(Daftar_Menu!$B$2:$B$13,MATCH(C1509,Daftar_Menu!$A$2:$A$13,0))</f>
        <v>Minuman</v>
      </c>
      <c r="I1509" s="2" t="str">
        <f aca="false">CHOOSE(WEEKDAY(B1509,2),"Senin","Selasa","Rabu","Kamis","Jumat","Sabtu","Minggu")</f>
        <v>Minggu</v>
      </c>
      <c r="J1509" s="2" t="n">
        <f aca="false">HOUR(E1509)</f>
        <v>11</v>
      </c>
      <c r="K1509" s="2" t="str">
        <f aca="false">IF(J1509&lt;11,"Pagi",IF(J1509&lt;17,"Siang","Malam"))</f>
        <v>Siang</v>
      </c>
      <c r="L1509" s="2" t="n">
        <f aca="false">IF(A1509&lt;&gt;A1508,1,0)</f>
        <v>0</v>
      </c>
    </row>
    <row r="1510" customFormat="false" ht="15" hidden="false" customHeight="false" outlineLevel="0" collapsed="false">
      <c r="A1510" s="2" t="s">
        <v>1517</v>
      </c>
      <c r="B1510" s="13" t="n">
        <v>46285</v>
      </c>
      <c r="C1510" s="2" t="s">
        <v>79</v>
      </c>
      <c r="D1510" s="2" t="n">
        <v>1</v>
      </c>
      <c r="E1510" s="15" t="n">
        <v>0.497916666666667</v>
      </c>
      <c r="F1510" s="7" t="n">
        <v>16000</v>
      </c>
      <c r="G1510" s="7" t="n">
        <f aca="false">D1510*F1510</f>
        <v>16000</v>
      </c>
      <c r="H1510" s="2" t="str">
        <f aca="false">INDEX(Daftar_Menu!$B$2:$B$13,MATCH(C1510,Daftar_Menu!$A$2:$A$13,0))</f>
        <v>Makanan</v>
      </c>
      <c r="I1510" s="2" t="str">
        <f aca="false">CHOOSE(WEEKDAY(B1510,2),"Senin","Selasa","Rabu","Kamis","Jumat","Sabtu","Minggu")</f>
        <v>Minggu</v>
      </c>
      <c r="J1510" s="2" t="n">
        <f aca="false">HOUR(E1510)</f>
        <v>11</v>
      </c>
      <c r="K1510" s="2" t="str">
        <f aca="false">IF(J1510&lt;11,"Pagi",IF(J1510&lt;17,"Siang","Malam"))</f>
        <v>Siang</v>
      </c>
      <c r="L1510" s="2" t="n">
        <f aca="false">IF(A1510&lt;&gt;A1509,1,0)</f>
        <v>0</v>
      </c>
    </row>
    <row r="1511" customFormat="false" ht="15" hidden="false" customHeight="false" outlineLevel="0" collapsed="false">
      <c r="A1511" s="2" t="s">
        <v>1519</v>
      </c>
      <c r="B1511" s="13" t="n">
        <v>46285</v>
      </c>
      <c r="C1511" s="2" t="s">
        <v>89</v>
      </c>
      <c r="D1511" s="2" t="n">
        <v>1</v>
      </c>
      <c r="E1511" s="15" t="n">
        <v>0.511111111111111</v>
      </c>
      <c r="F1511" s="7" t="n">
        <v>14000</v>
      </c>
      <c r="G1511" s="7" t="n">
        <f aca="false">D1511*F1511</f>
        <v>14000</v>
      </c>
      <c r="H1511" s="2" t="str">
        <f aca="false">INDEX(Daftar_Menu!$B$2:$B$13,MATCH(C1511,Daftar_Menu!$A$2:$A$13,0))</f>
        <v>Makanan</v>
      </c>
      <c r="I1511" s="2" t="str">
        <f aca="false">CHOOSE(WEEKDAY(B1511,2),"Senin","Selasa","Rabu","Kamis","Jumat","Sabtu","Minggu")</f>
        <v>Minggu</v>
      </c>
      <c r="J1511" s="2" t="n">
        <f aca="false">HOUR(E1511)</f>
        <v>12</v>
      </c>
      <c r="K1511" s="2" t="str">
        <f aca="false">IF(J1511&lt;11,"Pagi",IF(J1511&lt;17,"Siang","Malam"))</f>
        <v>Siang</v>
      </c>
      <c r="L1511" s="2" t="n">
        <f aca="false">IF(A1511&lt;&gt;A1510,1,0)</f>
        <v>1</v>
      </c>
    </row>
    <row r="1512" customFormat="false" ht="15" hidden="false" customHeight="false" outlineLevel="0" collapsed="false">
      <c r="A1512" s="2" t="s">
        <v>1520</v>
      </c>
      <c r="B1512" s="13" t="n">
        <v>46285</v>
      </c>
      <c r="C1512" s="2" t="s">
        <v>101</v>
      </c>
      <c r="D1512" s="2" t="n">
        <v>1</v>
      </c>
      <c r="E1512" s="15" t="n">
        <v>0.521527777777778</v>
      </c>
      <c r="F1512" s="7" t="n">
        <v>18000</v>
      </c>
      <c r="G1512" s="7" t="n">
        <f aca="false">D1512*F1512</f>
        <v>18000</v>
      </c>
      <c r="H1512" s="2" t="str">
        <f aca="false">INDEX(Daftar_Menu!$B$2:$B$13,MATCH(C1512,Daftar_Menu!$A$2:$A$13,0))</f>
        <v>Makanan</v>
      </c>
      <c r="I1512" s="2" t="str">
        <f aca="false">CHOOSE(WEEKDAY(B1512,2),"Senin","Selasa","Rabu","Kamis","Jumat","Sabtu","Minggu")</f>
        <v>Minggu</v>
      </c>
      <c r="J1512" s="2" t="n">
        <f aca="false">HOUR(E1512)</f>
        <v>12</v>
      </c>
      <c r="K1512" s="2" t="str">
        <f aca="false">IF(J1512&lt;11,"Pagi",IF(J1512&lt;17,"Siang","Malam"))</f>
        <v>Siang</v>
      </c>
      <c r="L1512" s="2" t="n">
        <f aca="false">IF(A1512&lt;&gt;A1511,1,0)</f>
        <v>1</v>
      </c>
    </row>
    <row r="1513" customFormat="false" ht="15" hidden="false" customHeight="false" outlineLevel="0" collapsed="false">
      <c r="A1513" s="2" t="s">
        <v>1521</v>
      </c>
      <c r="B1513" s="13" t="n">
        <v>46285</v>
      </c>
      <c r="C1513" s="2" t="s">
        <v>82</v>
      </c>
      <c r="D1513" s="2" t="n">
        <v>1</v>
      </c>
      <c r="E1513" s="15" t="n">
        <v>0.521527777777778</v>
      </c>
      <c r="F1513" s="7" t="n">
        <v>13000</v>
      </c>
      <c r="G1513" s="7" t="n">
        <f aca="false">D1513*F1513</f>
        <v>13000</v>
      </c>
      <c r="H1513" s="2" t="str">
        <f aca="false">INDEX(Daftar_Menu!$B$2:$B$13,MATCH(C1513,Daftar_Menu!$A$2:$A$13,0))</f>
        <v>Makanan</v>
      </c>
      <c r="I1513" s="2" t="str">
        <f aca="false">CHOOSE(WEEKDAY(B1513,2),"Senin","Selasa","Rabu","Kamis","Jumat","Sabtu","Minggu")</f>
        <v>Minggu</v>
      </c>
      <c r="J1513" s="2" t="n">
        <f aca="false">HOUR(E1513)</f>
        <v>12</v>
      </c>
      <c r="K1513" s="2" t="str">
        <f aca="false">IF(J1513&lt;11,"Pagi",IF(J1513&lt;17,"Siang","Malam"))</f>
        <v>Siang</v>
      </c>
      <c r="L1513" s="2" t="n">
        <f aca="false">IF(A1513&lt;&gt;A1512,1,0)</f>
        <v>1</v>
      </c>
    </row>
    <row r="1514" customFormat="false" ht="15" hidden="false" customHeight="false" outlineLevel="0" collapsed="false">
      <c r="A1514" s="2" t="s">
        <v>1521</v>
      </c>
      <c r="B1514" s="13" t="n">
        <v>46285</v>
      </c>
      <c r="C1514" s="2" t="s">
        <v>186</v>
      </c>
      <c r="D1514" s="2" t="n">
        <v>1</v>
      </c>
      <c r="E1514" s="15" t="n">
        <v>0.521527777777778</v>
      </c>
      <c r="F1514" s="7" t="n">
        <v>7000</v>
      </c>
      <c r="G1514" s="7" t="n">
        <f aca="false">D1514*F1514</f>
        <v>7000</v>
      </c>
      <c r="H1514" s="2" t="str">
        <f aca="false">INDEX(Daftar_Menu!$B$2:$B$13,MATCH(C1514,Daftar_Menu!$A$2:$A$13,0))</f>
        <v>Minuman</v>
      </c>
      <c r="I1514" s="2" t="str">
        <f aca="false">CHOOSE(WEEKDAY(B1514,2),"Senin","Selasa","Rabu","Kamis","Jumat","Sabtu","Minggu")</f>
        <v>Minggu</v>
      </c>
      <c r="J1514" s="2" t="n">
        <f aca="false">HOUR(E1514)</f>
        <v>12</v>
      </c>
      <c r="K1514" s="2" t="str">
        <f aca="false">IF(J1514&lt;11,"Pagi",IF(J1514&lt;17,"Siang","Malam"))</f>
        <v>Siang</v>
      </c>
      <c r="L1514" s="2" t="n">
        <f aca="false">IF(A1514&lt;&gt;A1513,1,0)</f>
        <v>0</v>
      </c>
    </row>
    <row r="1515" customFormat="false" ht="15" hidden="false" customHeight="false" outlineLevel="0" collapsed="false">
      <c r="A1515" s="2" t="s">
        <v>1522</v>
      </c>
      <c r="B1515" s="13" t="n">
        <v>46285</v>
      </c>
      <c r="C1515" s="2" t="s">
        <v>101</v>
      </c>
      <c r="D1515" s="2" t="n">
        <v>1</v>
      </c>
      <c r="E1515" s="15" t="n">
        <v>0.536111111111111</v>
      </c>
      <c r="F1515" s="7" t="n">
        <v>18000</v>
      </c>
      <c r="G1515" s="7" t="n">
        <f aca="false">D1515*F1515</f>
        <v>18000</v>
      </c>
      <c r="H1515" s="2" t="str">
        <f aca="false">INDEX(Daftar_Menu!$B$2:$B$13,MATCH(C1515,Daftar_Menu!$A$2:$A$13,0))</f>
        <v>Makanan</v>
      </c>
      <c r="I1515" s="2" t="str">
        <f aca="false">CHOOSE(WEEKDAY(B1515,2),"Senin","Selasa","Rabu","Kamis","Jumat","Sabtu","Minggu")</f>
        <v>Minggu</v>
      </c>
      <c r="J1515" s="2" t="n">
        <f aca="false">HOUR(E1515)</f>
        <v>12</v>
      </c>
      <c r="K1515" s="2" t="str">
        <f aca="false">IF(J1515&lt;11,"Pagi",IF(J1515&lt;17,"Siang","Malam"))</f>
        <v>Siang</v>
      </c>
      <c r="L1515" s="2" t="n">
        <f aca="false">IF(A1515&lt;&gt;A1514,1,0)</f>
        <v>1</v>
      </c>
    </row>
    <row r="1516" customFormat="false" ht="15" hidden="false" customHeight="false" outlineLevel="0" collapsed="false">
      <c r="A1516" s="2" t="s">
        <v>1522</v>
      </c>
      <c r="B1516" s="13" t="n">
        <v>46285</v>
      </c>
      <c r="C1516" s="2" t="s">
        <v>81</v>
      </c>
      <c r="D1516" s="2" t="n">
        <v>2</v>
      </c>
      <c r="E1516" s="15" t="n">
        <v>0.536111111111111</v>
      </c>
      <c r="F1516" s="7" t="n">
        <v>15000</v>
      </c>
      <c r="G1516" s="7" t="n">
        <f aca="false">D1516*F1516</f>
        <v>30000</v>
      </c>
      <c r="H1516" s="2" t="str">
        <f aca="false">INDEX(Daftar_Menu!$B$2:$B$13,MATCH(C1516,Daftar_Menu!$A$2:$A$13,0))</f>
        <v>Makanan</v>
      </c>
      <c r="I1516" s="2" t="str">
        <f aca="false">CHOOSE(WEEKDAY(B1516,2),"Senin","Selasa","Rabu","Kamis","Jumat","Sabtu","Minggu")</f>
        <v>Minggu</v>
      </c>
      <c r="J1516" s="2" t="n">
        <f aca="false">HOUR(E1516)</f>
        <v>12</v>
      </c>
      <c r="K1516" s="2" t="str">
        <f aca="false">IF(J1516&lt;11,"Pagi",IF(J1516&lt;17,"Siang","Malam"))</f>
        <v>Siang</v>
      </c>
      <c r="L1516" s="2" t="n">
        <f aca="false">IF(A1516&lt;&gt;A1515,1,0)</f>
        <v>0</v>
      </c>
    </row>
    <row r="1517" customFormat="false" ht="15" hidden="false" customHeight="false" outlineLevel="0" collapsed="false">
      <c r="A1517" s="2" t="s">
        <v>1522</v>
      </c>
      <c r="B1517" s="13" t="n">
        <v>46285</v>
      </c>
      <c r="C1517" s="2" t="s">
        <v>126</v>
      </c>
      <c r="D1517" s="2" t="n">
        <v>2</v>
      </c>
      <c r="E1517" s="15" t="n">
        <v>0.536111111111111</v>
      </c>
      <c r="F1517" s="7" t="n">
        <v>3000</v>
      </c>
      <c r="G1517" s="7" t="n">
        <f aca="false">D1517*F1517</f>
        <v>6000</v>
      </c>
      <c r="H1517" s="2" t="str">
        <f aca="false">INDEX(Daftar_Menu!$B$2:$B$13,MATCH(C1517,Daftar_Menu!$A$2:$A$13,0))</f>
        <v>Minuman</v>
      </c>
      <c r="I1517" s="2" t="str">
        <f aca="false">CHOOSE(WEEKDAY(B1517,2),"Senin","Selasa","Rabu","Kamis","Jumat","Sabtu","Minggu")</f>
        <v>Minggu</v>
      </c>
      <c r="J1517" s="2" t="n">
        <f aca="false">HOUR(E1517)</f>
        <v>12</v>
      </c>
      <c r="K1517" s="2" t="str">
        <f aca="false">IF(J1517&lt;11,"Pagi",IF(J1517&lt;17,"Siang","Malam"))</f>
        <v>Siang</v>
      </c>
      <c r="L1517" s="2" t="n">
        <f aca="false">IF(A1517&lt;&gt;A1516,1,0)</f>
        <v>0</v>
      </c>
    </row>
    <row r="1518" customFormat="false" ht="15" hidden="false" customHeight="false" outlineLevel="0" collapsed="false">
      <c r="A1518" s="2" t="s">
        <v>1523</v>
      </c>
      <c r="B1518" s="13" t="n">
        <v>46285</v>
      </c>
      <c r="C1518" s="2" t="s">
        <v>84</v>
      </c>
      <c r="D1518" s="2" t="n">
        <v>1</v>
      </c>
      <c r="E1518" s="15" t="n">
        <v>0.557638888888889</v>
      </c>
      <c r="F1518" s="7" t="n">
        <v>5000</v>
      </c>
      <c r="G1518" s="7" t="n">
        <f aca="false">D1518*F1518</f>
        <v>5000</v>
      </c>
      <c r="H1518" s="2" t="str">
        <f aca="false">INDEX(Daftar_Menu!$B$2:$B$13,MATCH(C1518,Daftar_Menu!$A$2:$A$13,0))</f>
        <v>Minuman</v>
      </c>
      <c r="I1518" s="2" t="str">
        <f aca="false">CHOOSE(WEEKDAY(B1518,2),"Senin","Selasa","Rabu","Kamis","Jumat","Sabtu","Minggu")</f>
        <v>Minggu</v>
      </c>
      <c r="J1518" s="2" t="n">
        <f aca="false">HOUR(E1518)</f>
        <v>13</v>
      </c>
      <c r="K1518" s="2" t="str">
        <f aca="false">IF(J1518&lt;11,"Pagi",IF(J1518&lt;17,"Siang","Malam"))</f>
        <v>Siang</v>
      </c>
      <c r="L1518" s="2" t="n">
        <f aca="false">IF(A1518&lt;&gt;A1517,1,0)</f>
        <v>1</v>
      </c>
    </row>
    <row r="1519" customFormat="false" ht="15" hidden="false" customHeight="false" outlineLevel="0" collapsed="false">
      <c r="A1519" s="2" t="s">
        <v>1524</v>
      </c>
      <c r="B1519" s="13" t="n">
        <v>46285</v>
      </c>
      <c r="C1519" s="2" t="s">
        <v>112</v>
      </c>
      <c r="D1519" s="2" t="n">
        <v>1</v>
      </c>
      <c r="E1519" s="15" t="n">
        <v>0.559722222222222</v>
      </c>
      <c r="F1519" s="7" t="n">
        <v>10000</v>
      </c>
      <c r="G1519" s="7" t="n">
        <f aca="false">D1519*F1519</f>
        <v>10000</v>
      </c>
      <c r="H1519" s="2" t="str">
        <f aca="false">INDEX(Daftar_Menu!$B$2:$B$13,MATCH(C1519,Daftar_Menu!$A$2:$A$13,0))</f>
        <v>Minuman</v>
      </c>
      <c r="I1519" s="2" t="str">
        <f aca="false">CHOOSE(WEEKDAY(B1519,2),"Senin","Selasa","Rabu","Kamis","Jumat","Sabtu","Minggu")</f>
        <v>Minggu</v>
      </c>
      <c r="J1519" s="2" t="n">
        <f aca="false">HOUR(E1519)</f>
        <v>13</v>
      </c>
      <c r="K1519" s="2" t="str">
        <f aca="false">IF(J1519&lt;11,"Pagi",IF(J1519&lt;17,"Siang","Malam"))</f>
        <v>Siang</v>
      </c>
      <c r="L1519" s="2" t="n">
        <f aca="false">IF(A1519&lt;&gt;A1518,1,0)</f>
        <v>1</v>
      </c>
    </row>
    <row r="1520" customFormat="false" ht="15" hidden="false" customHeight="false" outlineLevel="0" collapsed="false">
      <c r="A1520" s="2" t="s">
        <v>1524</v>
      </c>
      <c r="B1520" s="13" t="n">
        <v>46285</v>
      </c>
      <c r="C1520" s="2" t="s">
        <v>84</v>
      </c>
      <c r="D1520" s="2" t="n">
        <v>1</v>
      </c>
      <c r="E1520" s="15" t="n">
        <v>0.559722222222222</v>
      </c>
      <c r="F1520" s="7" t="n">
        <v>5000</v>
      </c>
      <c r="G1520" s="7" t="n">
        <f aca="false">D1520*F1520</f>
        <v>5000</v>
      </c>
      <c r="H1520" s="2" t="str">
        <f aca="false">INDEX(Daftar_Menu!$B$2:$B$13,MATCH(C1520,Daftar_Menu!$A$2:$A$13,0))</f>
        <v>Minuman</v>
      </c>
      <c r="I1520" s="2" t="str">
        <f aca="false">CHOOSE(WEEKDAY(B1520,2),"Senin","Selasa","Rabu","Kamis","Jumat","Sabtu","Minggu")</f>
        <v>Minggu</v>
      </c>
      <c r="J1520" s="2" t="n">
        <f aca="false">HOUR(E1520)</f>
        <v>13</v>
      </c>
      <c r="K1520" s="2" t="str">
        <f aca="false">IF(J1520&lt;11,"Pagi",IF(J1520&lt;17,"Siang","Malam"))</f>
        <v>Siang</v>
      </c>
      <c r="L1520" s="2" t="n">
        <f aca="false">IF(A1520&lt;&gt;A1519,1,0)</f>
        <v>0</v>
      </c>
    </row>
    <row r="1521" customFormat="false" ht="15" hidden="false" customHeight="false" outlineLevel="0" collapsed="false">
      <c r="A1521" s="2" t="s">
        <v>1526</v>
      </c>
      <c r="B1521" s="13" t="n">
        <v>46285</v>
      </c>
      <c r="C1521" s="2" t="s">
        <v>89</v>
      </c>
      <c r="D1521" s="2" t="n">
        <v>1</v>
      </c>
      <c r="E1521" s="15" t="n">
        <v>0.563888888888889</v>
      </c>
      <c r="F1521" s="7" t="n">
        <v>14000</v>
      </c>
      <c r="G1521" s="7" t="n">
        <f aca="false">D1521*F1521</f>
        <v>14000</v>
      </c>
      <c r="H1521" s="2" t="str">
        <f aca="false">INDEX(Daftar_Menu!$B$2:$B$13,MATCH(C1521,Daftar_Menu!$A$2:$A$13,0))</f>
        <v>Makanan</v>
      </c>
      <c r="I1521" s="2" t="str">
        <f aca="false">CHOOSE(WEEKDAY(B1521,2),"Senin","Selasa","Rabu","Kamis","Jumat","Sabtu","Minggu")</f>
        <v>Minggu</v>
      </c>
      <c r="J1521" s="2" t="n">
        <f aca="false">HOUR(E1521)</f>
        <v>13</v>
      </c>
      <c r="K1521" s="2" t="str">
        <f aca="false">IF(J1521&lt;11,"Pagi",IF(J1521&lt;17,"Siang","Malam"))</f>
        <v>Siang</v>
      </c>
      <c r="L1521" s="2" t="n">
        <f aca="false">IF(A1521&lt;&gt;A1520,1,0)</f>
        <v>1</v>
      </c>
    </row>
    <row r="1522" customFormat="false" ht="15" hidden="false" customHeight="false" outlineLevel="0" collapsed="false">
      <c r="A1522" s="2" t="s">
        <v>1528</v>
      </c>
      <c r="B1522" s="13" t="n">
        <v>46285</v>
      </c>
      <c r="C1522" s="2" t="s">
        <v>108</v>
      </c>
      <c r="D1522" s="2" t="n">
        <v>1</v>
      </c>
      <c r="E1522" s="15" t="n">
        <v>0.577777777777778</v>
      </c>
      <c r="F1522" s="7" t="n">
        <v>20000</v>
      </c>
      <c r="G1522" s="7" t="n">
        <f aca="false">D1522*F1522</f>
        <v>20000</v>
      </c>
      <c r="H1522" s="2" t="str">
        <f aca="false">INDEX(Daftar_Menu!$B$2:$B$13,MATCH(C1522,Daftar_Menu!$A$2:$A$13,0))</f>
        <v>Makanan</v>
      </c>
      <c r="I1522" s="2" t="str">
        <f aca="false">CHOOSE(WEEKDAY(B1522,2),"Senin","Selasa","Rabu","Kamis","Jumat","Sabtu","Minggu")</f>
        <v>Minggu</v>
      </c>
      <c r="J1522" s="2" t="n">
        <f aca="false">HOUR(E1522)</f>
        <v>13</v>
      </c>
      <c r="K1522" s="2" t="str">
        <f aca="false">IF(J1522&lt;11,"Pagi",IF(J1522&lt;17,"Siang","Malam"))</f>
        <v>Siang</v>
      </c>
      <c r="L1522" s="2" t="n">
        <f aca="false">IF(A1522&lt;&gt;A1521,1,0)</f>
        <v>1</v>
      </c>
    </row>
    <row r="1523" customFormat="false" ht="15" hidden="false" customHeight="false" outlineLevel="0" collapsed="false">
      <c r="A1523" s="2" t="s">
        <v>1529</v>
      </c>
      <c r="B1523" s="13" t="n">
        <v>46285</v>
      </c>
      <c r="C1523" s="2" t="s">
        <v>89</v>
      </c>
      <c r="D1523" s="2" t="n">
        <v>1</v>
      </c>
      <c r="E1523" s="15" t="n">
        <v>0.577777777777778</v>
      </c>
      <c r="F1523" s="7" t="n">
        <v>14000</v>
      </c>
      <c r="G1523" s="7" t="n">
        <f aca="false">D1523*F1523</f>
        <v>14000</v>
      </c>
      <c r="H1523" s="2" t="str">
        <f aca="false">INDEX(Daftar_Menu!$B$2:$B$13,MATCH(C1523,Daftar_Menu!$A$2:$A$13,0))</f>
        <v>Makanan</v>
      </c>
      <c r="I1523" s="2" t="str">
        <f aca="false">CHOOSE(WEEKDAY(B1523,2),"Senin","Selasa","Rabu","Kamis","Jumat","Sabtu","Minggu")</f>
        <v>Minggu</v>
      </c>
      <c r="J1523" s="2" t="n">
        <f aca="false">HOUR(E1523)</f>
        <v>13</v>
      </c>
      <c r="K1523" s="2" t="str">
        <f aca="false">IF(J1523&lt;11,"Pagi",IF(J1523&lt;17,"Siang","Malam"))</f>
        <v>Siang</v>
      </c>
      <c r="L1523" s="2" t="n">
        <f aca="false">IF(A1523&lt;&gt;A1522,1,0)</f>
        <v>1</v>
      </c>
    </row>
    <row r="1524" customFormat="false" ht="15" hidden="false" customHeight="false" outlineLevel="0" collapsed="false">
      <c r="A1524" s="2" t="s">
        <v>1529</v>
      </c>
      <c r="B1524" s="13" t="n">
        <v>46285</v>
      </c>
      <c r="C1524" s="2" t="s">
        <v>84</v>
      </c>
      <c r="D1524" s="2" t="n">
        <v>1</v>
      </c>
      <c r="E1524" s="15" t="n">
        <v>0.577777777777778</v>
      </c>
      <c r="F1524" s="7" t="n">
        <v>5000</v>
      </c>
      <c r="G1524" s="7" t="n">
        <f aca="false">D1524*F1524</f>
        <v>5000</v>
      </c>
      <c r="H1524" s="2" t="str">
        <f aca="false">INDEX(Daftar_Menu!$B$2:$B$13,MATCH(C1524,Daftar_Menu!$A$2:$A$13,0))</f>
        <v>Minuman</v>
      </c>
      <c r="I1524" s="2" t="str">
        <f aca="false">CHOOSE(WEEKDAY(B1524,2),"Senin","Selasa","Rabu","Kamis","Jumat","Sabtu","Minggu")</f>
        <v>Minggu</v>
      </c>
      <c r="J1524" s="2" t="n">
        <f aca="false">HOUR(E1524)</f>
        <v>13</v>
      </c>
      <c r="K1524" s="2" t="str">
        <f aca="false">IF(J1524&lt;11,"Pagi",IF(J1524&lt;17,"Siang","Malam"))</f>
        <v>Siang</v>
      </c>
      <c r="L1524" s="2" t="n">
        <f aca="false">IF(A1524&lt;&gt;A1523,1,0)</f>
        <v>0</v>
      </c>
    </row>
    <row r="1525" customFormat="false" ht="15" hidden="false" customHeight="false" outlineLevel="0" collapsed="false">
      <c r="A1525" s="2" t="s">
        <v>1530</v>
      </c>
      <c r="B1525" s="13" t="n">
        <v>46285</v>
      </c>
      <c r="C1525" s="2" t="s">
        <v>132</v>
      </c>
      <c r="D1525" s="2" t="n">
        <v>2</v>
      </c>
      <c r="E1525" s="15" t="n">
        <v>0.594444444444444</v>
      </c>
      <c r="F1525" s="7" t="n">
        <v>15000</v>
      </c>
      <c r="G1525" s="7" t="n">
        <f aca="false">D1525*F1525</f>
        <v>30000</v>
      </c>
      <c r="H1525" s="2" t="str">
        <f aca="false">INDEX(Daftar_Menu!$B$2:$B$13,MATCH(C1525,Daftar_Menu!$A$2:$A$13,0))</f>
        <v>Makanan</v>
      </c>
      <c r="I1525" s="2" t="str">
        <f aca="false">CHOOSE(WEEKDAY(B1525,2),"Senin","Selasa","Rabu","Kamis","Jumat","Sabtu","Minggu")</f>
        <v>Minggu</v>
      </c>
      <c r="J1525" s="2" t="n">
        <f aca="false">HOUR(E1525)</f>
        <v>14</v>
      </c>
      <c r="K1525" s="2" t="str">
        <f aca="false">IF(J1525&lt;11,"Pagi",IF(J1525&lt;17,"Siang","Malam"))</f>
        <v>Siang</v>
      </c>
      <c r="L1525" s="2" t="n">
        <f aca="false">IF(A1525&lt;&gt;A1524,1,0)</f>
        <v>1</v>
      </c>
    </row>
    <row r="1526" customFormat="false" ht="15" hidden="false" customHeight="false" outlineLevel="0" collapsed="false">
      <c r="A1526" s="2" t="s">
        <v>1530</v>
      </c>
      <c r="B1526" s="13" t="n">
        <v>46285</v>
      </c>
      <c r="C1526" s="2" t="s">
        <v>108</v>
      </c>
      <c r="D1526" s="2" t="n">
        <v>1</v>
      </c>
      <c r="E1526" s="15" t="n">
        <v>0.594444444444444</v>
      </c>
      <c r="F1526" s="7" t="n">
        <v>20000</v>
      </c>
      <c r="G1526" s="7" t="n">
        <f aca="false">D1526*F1526</f>
        <v>20000</v>
      </c>
      <c r="H1526" s="2" t="str">
        <f aca="false">INDEX(Daftar_Menu!$B$2:$B$13,MATCH(C1526,Daftar_Menu!$A$2:$A$13,0))</f>
        <v>Makanan</v>
      </c>
      <c r="I1526" s="2" t="str">
        <f aca="false">CHOOSE(WEEKDAY(B1526,2),"Senin","Selasa","Rabu","Kamis","Jumat","Sabtu","Minggu")</f>
        <v>Minggu</v>
      </c>
      <c r="J1526" s="2" t="n">
        <f aca="false">HOUR(E1526)</f>
        <v>14</v>
      </c>
      <c r="K1526" s="2" t="str">
        <f aca="false">IF(J1526&lt;11,"Pagi",IF(J1526&lt;17,"Siang","Malam"))</f>
        <v>Siang</v>
      </c>
      <c r="L1526" s="2" t="n">
        <f aca="false">IF(A1526&lt;&gt;A1525,1,0)</f>
        <v>0</v>
      </c>
    </row>
    <row r="1527" customFormat="false" ht="15" hidden="false" customHeight="false" outlineLevel="0" collapsed="false">
      <c r="A1527" s="2" t="s">
        <v>1532</v>
      </c>
      <c r="B1527" s="13" t="n">
        <v>46285</v>
      </c>
      <c r="C1527" s="2" t="s">
        <v>101</v>
      </c>
      <c r="D1527" s="2" t="n">
        <v>1</v>
      </c>
      <c r="E1527" s="15" t="n">
        <v>0.621527777777778</v>
      </c>
      <c r="F1527" s="7" t="n">
        <v>18000</v>
      </c>
      <c r="G1527" s="7" t="n">
        <f aca="false">D1527*F1527</f>
        <v>18000</v>
      </c>
      <c r="H1527" s="2" t="str">
        <f aca="false">INDEX(Daftar_Menu!$B$2:$B$13,MATCH(C1527,Daftar_Menu!$A$2:$A$13,0))</f>
        <v>Makanan</v>
      </c>
      <c r="I1527" s="2" t="str">
        <f aca="false">CHOOSE(WEEKDAY(B1527,2),"Senin","Selasa","Rabu","Kamis","Jumat","Sabtu","Minggu")</f>
        <v>Minggu</v>
      </c>
      <c r="J1527" s="2" t="n">
        <f aca="false">HOUR(E1527)</f>
        <v>14</v>
      </c>
      <c r="K1527" s="2" t="str">
        <f aca="false">IF(J1527&lt;11,"Pagi",IF(J1527&lt;17,"Siang","Malam"))</f>
        <v>Siang</v>
      </c>
      <c r="L1527" s="2" t="n">
        <f aca="false">IF(A1527&lt;&gt;A1526,1,0)</f>
        <v>1</v>
      </c>
    </row>
    <row r="1528" customFormat="false" ht="15" hidden="false" customHeight="false" outlineLevel="0" collapsed="false">
      <c r="A1528" s="2" t="s">
        <v>1533</v>
      </c>
      <c r="B1528" s="13" t="n">
        <v>46285</v>
      </c>
      <c r="C1528" s="2" t="s">
        <v>82</v>
      </c>
      <c r="D1528" s="2" t="n">
        <v>1</v>
      </c>
      <c r="E1528" s="15" t="n">
        <v>0.622916666666667</v>
      </c>
      <c r="F1528" s="7" t="n">
        <v>13000</v>
      </c>
      <c r="G1528" s="7" t="n">
        <f aca="false">D1528*F1528</f>
        <v>13000</v>
      </c>
      <c r="H1528" s="2" t="str">
        <f aca="false">INDEX(Daftar_Menu!$B$2:$B$13,MATCH(C1528,Daftar_Menu!$A$2:$A$13,0))</f>
        <v>Makanan</v>
      </c>
      <c r="I1528" s="2" t="str">
        <f aca="false">CHOOSE(WEEKDAY(B1528,2),"Senin","Selasa","Rabu","Kamis","Jumat","Sabtu","Minggu")</f>
        <v>Minggu</v>
      </c>
      <c r="J1528" s="2" t="n">
        <f aca="false">HOUR(E1528)</f>
        <v>14</v>
      </c>
      <c r="K1528" s="2" t="str">
        <f aca="false">IF(J1528&lt;11,"Pagi",IF(J1528&lt;17,"Siang","Malam"))</f>
        <v>Siang</v>
      </c>
      <c r="L1528" s="2" t="n">
        <f aca="false">IF(A1528&lt;&gt;A1527,1,0)</f>
        <v>1</v>
      </c>
    </row>
    <row r="1529" customFormat="false" ht="15" hidden="false" customHeight="false" outlineLevel="0" collapsed="false">
      <c r="A1529" s="2" t="s">
        <v>1533</v>
      </c>
      <c r="B1529" s="13" t="n">
        <v>46285</v>
      </c>
      <c r="C1529" s="2" t="s">
        <v>84</v>
      </c>
      <c r="D1529" s="2" t="n">
        <v>1</v>
      </c>
      <c r="E1529" s="15" t="n">
        <v>0.622916666666667</v>
      </c>
      <c r="F1529" s="7" t="n">
        <v>5000</v>
      </c>
      <c r="G1529" s="7" t="n">
        <f aca="false">D1529*F1529</f>
        <v>5000</v>
      </c>
      <c r="H1529" s="2" t="str">
        <f aca="false">INDEX(Daftar_Menu!$B$2:$B$13,MATCH(C1529,Daftar_Menu!$A$2:$A$13,0))</f>
        <v>Minuman</v>
      </c>
      <c r="I1529" s="2" t="str">
        <f aca="false">CHOOSE(WEEKDAY(B1529,2),"Senin","Selasa","Rabu","Kamis","Jumat","Sabtu","Minggu")</f>
        <v>Minggu</v>
      </c>
      <c r="J1529" s="2" t="n">
        <f aca="false">HOUR(E1529)</f>
        <v>14</v>
      </c>
      <c r="K1529" s="2" t="str">
        <f aca="false">IF(J1529&lt;11,"Pagi",IF(J1529&lt;17,"Siang","Malam"))</f>
        <v>Siang</v>
      </c>
      <c r="L1529" s="2" t="n">
        <f aca="false">IF(A1529&lt;&gt;A1528,1,0)</f>
        <v>0</v>
      </c>
    </row>
    <row r="1530" customFormat="false" ht="15" hidden="false" customHeight="false" outlineLevel="0" collapsed="false">
      <c r="A1530" s="2" t="s">
        <v>1535</v>
      </c>
      <c r="B1530" s="13" t="n">
        <v>46285</v>
      </c>
      <c r="C1530" s="2" t="s">
        <v>112</v>
      </c>
      <c r="D1530" s="2" t="n">
        <v>1</v>
      </c>
      <c r="E1530" s="15" t="n">
        <v>0.638888888888889</v>
      </c>
      <c r="F1530" s="7" t="n">
        <v>10000</v>
      </c>
      <c r="G1530" s="7" t="n">
        <f aca="false">D1530*F1530</f>
        <v>10000</v>
      </c>
      <c r="H1530" s="2" t="str">
        <f aca="false">INDEX(Daftar_Menu!$B$2:$B$13,MATCH(C1530,Daftar_Menu!$A$2:$A$13,0))</f>
        <v>Minuman</v>
      </c>
      <c r="I1530" s="2" t="str">
        <f aca="false">CHOOSE(WEEKDAY(B1530,2),"Senin","Selasa","Rabu","Kamis","Jumat","Sabtu","Minggu")</f>
        <v>Minggu</v>
      </c>
      <c r="J1530" s="2" t="n">
        <f aca="false">HOUR(E1530)</f>
        <v>15</v>
      </c>
      <c r="K1530" s="2" t="str">
        <f aca="false">IF(J1530&lt;11,"Pagi",IF(J1530&lt;17,"Siang","Malam"))</f>
        <v>Siang</v>
      </c>
      <c r="L1530" s="2" t="n">
        <f aca="false">IF(A1530&lt;&gt;A1529,1,0)</f>
        <v>1</v>
      </c>
    </row>
    <row r="1531" customFormat="false" ht="15" hidden="false" customHeight="false" outlineLevel="0" collapsed="false">
      <c r="A1531" s="2" t="s">
        <v>1536</v>
      </c>
      <c r="B1531" s="13" t="n">
        <v>46285</v>
      </c>
      <c r="C1531" s="2" t="s">
        <v>79</v>
      </c>
      <c r="D1531" s="2" t="n">
        <v>2</v>
      </c>
      <c r="E1531" s="15" t="n">
        <v>0.670138888888889</v>
      </c>
      <c r="F1531" s="7" t="n">
        <v>16000</v>
      </c>
      <c r="G1531" s="7" t="n">
        <f aca="false">D1531*F1531</f>
        <v>32000</v>
      </c>
      <c r="H1531" s="2" t="str">
        <f aca="false">INDEX(Daftar_Menu!$B$2:$B$13,MATCH(C1531,Daftar_Menu!$A$2:$A$13,0))</f>
        <v>Makanan</v>
      </c>
      <c r="I1531" s="2" t="str">
        <f aca="false">CHOOSE(WEEKDAY(B1531,2),"Senin","Selasa","Rabu","Kamis","Jumat","Sabtu","Minggu")</f>
        <v>Minggu</v>
      </c>
      <c r="J1531" s="2" t="n">
        <f aca="false">HOUR(E1531)</f>
        <v>16</v>
      </c>
      <c r="K1531" s="2" t="str">
        <f aca="false">IF(J1531&lt;11,"Pagi",IF(J1531&lt;17,"Siang","Malam"))</f>
        <v>Siang</v>
      </c>
      <c r="L1531" s="2" t="n">
        <f aca="false">IF(A1531&lt;&gt;A1530,1,0)</f>
        <v>1</v>
      </c>
    </row>
    <row r="1532" customFormat="false" ht="15" hidden="false" customHeight="false" outlineLevel="0" collapsed="false">
      <c r="A1532" s="2" t="s">
        <v>1538</v>
      </c>
      <c r="B1532" s="13" t="n">
        <v>46285</v>
      </c>
      <c r="C1532" s="2" t="s">
        <v>84</v>
      </c>
      <c r="D1532" s="2" t="n">
        <v>1</v>
      </c>
      <c r="E1532" s="15" t="n">
        <v>0.671527777777778</v>
      </c>
      <c r="F1532" s="7" t="n">
        <v>5000</v>
      </c>
      <c r="G1532" s="7" t="n">
        <f aca="false">D1532*F1532</f>
        <v>5000</v>
      </c>
      <c r="H1532" s="2" t="str">
        <f aca="false">INDEX(Daftar_Menu!$B$2:$B$13,MATCH(C1532,Daftar_Menu!$A$2:$A$13,0))</f>
        <v>Minuman</v>
      </c>
      <c r="I1532" s="2" t="str">
        <f aca="false">CHOOSE(WEEKDAY(B1532,2),"Senin","Selasa","Rabu","Kamis","Jumat","Sabtu","Minggu")</f>
        <v>Minggu</v>
      </c>
      <c r="J1532" s="2" t="n">
        <f aca="false">HOUR(E1532)</f>
        <v>16</v>
      </c>
      <c r="K1532" s="2" t="str">
        <f aca="false">IF(J1532&lt;11,"Pagi",IF(J1532&lt;17,"Siang","Malam"))</f>
        <v>Siang</v>
      </c>
      <c r="L1532" s="2" t="n">
        <f aca="false">IF(A1532&lt;&gt;A1531,1,0)</f>
        <v>1</v>
      </c>
    </row>
    <row r="1533" customFormat="false" ht="15" hidden="false" customHeight="false" outlineLevel="0" collapsed="false">
      <c r="A1533" s="2" t="s">
        <v>1538</v>
      </c>
      <c r="B1533" s="13" t="n">
        <v>46285</v>
      </c>
      <c r="C1533" s="2" t="s">
        <v>81</v>
      </c>
      <c r="D1533" s="2" t="n">
        <v>1</v>
      </c>
      <c r="E1533" s="15" t="n">
        <v>0.671527777777778</v>
      </c>
      <c r="F1533" s="7" t="n">
        <v>15000</v>
      </c>
      <c r="G1533" s="7" t="n">
        <f aca="false">D1533*F1533</f>
        <v>15000</v>
      </c>
      <c r="H1533" s="2" t="str">
        <f aca="false">INDEX(Daftar_Menu!$B$2:$B$13,MATCH(C1533,Daftar_Menu!$A$2:$A$13,0))</f>
        <v>Makanan</v>
      </c>
      <c r="I1533" s="2" t="str">
        <f aca="false">CHOOSE(WEEKDAY(B1533,2),"Senin","Selasa","Rabu","Kamis","Jumat","Sabtu","Minggu")</f>
        <v>Minggu</v>
      </c>
      <c r="J1533" s="2" t="n">
        <f aca="false">HOUR(E1533)</f>
        <v>16</v>
      </c>
      <c r="K1533" s="2" t="str">
        <f aca="false">IF(J1533&lt;11,"Pagi",IF(J1533&lt;17,"Siang","Malam"))</f>
        <v>Siang</v>
      </c>
      <c r="L1533" s="2" t="n">
        <f aca="false">IF(A1533&lt;&gt;A1532,1,0)</f>
        <v>0</v>
      </c>
    </row>
    <row r="1534" customFormat="false" ht="15" hidden="false" customHeight="false" outlineLevel="0" collapsed="false">
      <c r="A1534" s="2" t="s">
        <v>1539</v>
      </c>
      <c r="B1534" s="13" t="n">
        <v>46285</v>
      </c>
      <c r="C1534" s="2" t="s">
        <v>126</v>
      </c>
      <c r="D1534" s="2" t="n">
        <v>1</v>
      </c>
      <c r="E1534" s="15" t="n">
        <v>0.69375</v>
      </c>
      <c r="F1534" s="7" t="n">
        <v>3000</v>
      </c>
      <c r="G1534" s="7" t="n">
        <f aca="false">D1534*F1534</f>
        <v>3000</v>
      </c>
      <c r="H1534" s="2" t="str">
        <f aca="false">INDEX(Daftar_Menu!$B$2:$B$13,MATCH(C1534,Daftar_Menu!$A$2:$A$13,0))</f>
        <v>Minuman</v>
      </c>
      <c r="I1534" s="2" t="str">
        <f aca="false">CHOOSE(WEEKDAY(B1534,2),"Senin","Selasa","Rabu","Kamis","Jumat","Sabtu","Minggu")</f>
        <v>Minggu</v>
      </c>
      <c r="J1534" s="2" t="n">
        <f aca="false">HOUR(E1534)</f>
        <v>16</v>
      </c>
      <c r="K1534" s="2" t="str">
        <f aca="false">IF(J1534&lt;11,"Pagi",IF(J1534&lt;17,"Siang","Malam"))</f>
        <v>Siang</v>
      </c>
      <c r="L1534" s="2" t="n">
        <f aca="false">IF(A1534&lt;&gt;A1533,1,0)</f>
        <v>1</v>
      </c>
    </row>
    <row r="1535" customFormat="false" ht="15" hidden="false" customHeight="false" outlineLevel="0" collapsed="false">
      <c r="A1535" s="2" t="s">
        <v>1542</v>
      </c>
      <c r="B1535" s="13" t="n">
        <v>46285</v>
      </c>
      <c r="C1535" s="2" t="s">
        <v>79</v>
      </c>
      <c r="D1535" s="2" t="n">
        <v>2</v>
      </c>
      <c r="E1535" s="15" t="n">
        <v>0.706944444444445</v>
      </c>
      <c r="F1535" s="7" t="n">
        <v>16000</v>
      </c>
      <c r="G1535" s="7" t="n">
        <f aca="false">D1535*F1535</f>
        <v>32000</v>
      </c>
      <c r="H1535" s="2" t="str">
        <f aca="false">INDEX(Daftar_Menu!$B$2:$B$13,MATCH(C1535,Daftar_Menu!$A$2:$A$13,0))</f>
        <v>Makanan</v>
      </c>
      <c r="I1535" s="2" t="str">
        <f aca="false">CHOOSE(WEEKDAY(B1535,2),"Senin","Selasa","Rabu","Kamis","Jumat","Sabtu","Minggu")</f>
        <v>Minggu</v>
      </c>
      <c r="J1535" s="2" t="n">
        <f aca="false">HOUR(E1535)</f>
        <v>16</v>
      </c>
      <c r="K1535" s="2" t="str">
        <f aca="false">IF(J1535&lt;11,"Pagi",IF(J1535&lt;17,"Siang","Malam"))</f>
        <v>Siang</v>
      </c>
      <c r="L1535" s="2" t="n">
        <f aca="false">IF(A1535&lt;&gt;A1534,1,0)</f>
        <v>1</v>
      </c>
    </row>
    <row r="1536" customFormat="false" ht="15" hidden="false" customHeight="false" outlineLevel="0" collapsed="false">
      <c r="A1536" s="2" t="s">
        <v>1542</v>
      </c>
      <c r="B1536" s="13" t="n">
        <v>46285</v>
      </c>
      <c r="C1536" s="2" t="s">
        <v>112</v>
      </c>
      <c r="D1536" s="2" t="n">
        <v>1</v>
      </c>
      <c r="E1536" s="15" t="n">
        <v>0.706944444444445</v>
      </c>
      <c r="F1536" s="7" t="n">
        <v>10000</v>
      </c>
      <c r="G1536" s="7" t="n">
        <f aca="false">D1536*F1536</f>
        <v>10000</v>
      </c>
      <c r="H1536" s="2" t="str">
        <f aca="false">INDEX(Daftar_Menu!$B$2:$B$13,MATCH(C1536,Daftar_Menu!$A$2:$A$13,0))</f>
        <v>Minuman</v>
      </c>
      <c r="I1536" s="2" t="str">
        <f aca="false">CHOOSE(WEEKDAY(B1536,2),"Senin","Selasa","Rabu","Kamis","Jumat","Sabtu","Minggu")</f>
        <v>Minggu</v>
      </c>
      <c r="J1536" s="2" t="n">
        <f aca="false">HOUR(E1536)</f>
        <v>16</v>
      </c>
      <c r="K1536" s="2" t="str">
        <f aca="false">IF(J1536&lt;11,"Pagi",IF(J1536&lt;17,"Siang","Malam"))</f>
        <v>Siang</v>
      </c>
      <c r="L1536" s="2" t="n">
        <f aca="false">IF(A1536&lt;&gt;A1535,1,0)</f>
        <v>0</v>
      </c>
    </row>
    <row r="1537" customFormat="false" ht="15" hidden="false" customHeight="false" outlineLevel="0" collapsed="false">
      <c r="A1537" s="2" t="s">
        <v>1543</v>
      </c>
      <c r="B1537" s="13" t="n">
        <v>46285</v>
      </c>
      <c r="C1537" s="2" t="s">
        <v>79</v>
      </c>
      <c r="D1537" s="2" t="n">
        <v>1</v>
      </c>
      <c r="E1537" s="15" t="n">
        <v>0.708333333333333</v>
      </c>
      <c r="F1537" s="7" t="n">
        <v>16000</v>
      </c>
      <c r="G1537" s="7" t="n">
        <f aca="false">D1537*F1537</f>
        <v>16000</v>
      </c>
      <c r="H1537" s="2" t="str">
        <f aca="false">INDEX(Daftar_Menu!$B$2:$B$13,MATCH(C1537,Daftar_Menu!$A$2:$A$13,0))</f>
        <v>Makanan</v>
      </c>
      <c r="I1537" s="2" t="str">
        <f aca="false">CHOOSE(WEEKDAY(B1537,2),"Senin","Selasa","Rabu","Kamis","Jumat","Sabtu","Minggu")</f>
        <v>Minggu</v>
      </c>
      <c r="J1537" s="2" t="n">
        <f aca="false">HOUR(E1537)</f>
        <v>17</v>
      </c>
      <c r="K1537" s="2" t="str">
        <f aca="false">IF(J1537&lt;11,"Pagi",IF(J1537&lt;17,"Siang","Malam"))</f>
        <v>Malam</v>
      </c>
      <c r="L1537" s="2" t="n">
        <f aca="false">IF(A1537&lt;&gt;A1536,1,0)</f>
        <v>1</v>
      </c>
    </row>
    <row r="1538" customFormat="false" ht="15" hidden="false" customHeight="false" outlineLevel="0" collapsed="false">
      <c r="A1538" s="2" t="s">
        <v>1543</v>
      </c>
      <c r="B1538" s="13" t="n">
        <v>46285</v>
      </c>
      <c r="C1538" s="2" t="s">
        <v>89</v>
      </c>
      <c r="D1538" s="2" t="n">
        <v>1</v>
      </c>
      <c r="E1538" s="15" t="n">
        <v>0.708333333333333</v>
      </c>
      <c r="F1538" s="7" t="n">
        <v>14000</v>
      </c>
      <c r="G1538" s="7" t="n">
        <f aca="false">D1538*F1538</f>
        <v>14000</v>
      </c>
      <c r="H1538" s="2" t="str">
        <f aca="false">INDEX(Daftar_Menu!$B$2:$B$13,MATCH(C1538,Daftar_Menu!$A$2:$A$13,0))</f>
        <v>Makanan</v>
      </c>
      <c r="I1538" s="2" t="str">
        <f aca="false">CHOOSE(WEEKDAY(B1538,2),"Senin","Selasa","Rabu","Kamis","Jumat","Sabtu","Minggu")</f>
        <v>Minggu</v>
      </c>
      <c r="J1538" s="2" t="n">
        <f aca="false">HOUR(E1538)</f>
        <v>17</v>
      </c>
      <c r="K1538" s="2" t="str">
        <f aca="false">IF(J1538&lt;11,"Pagi",IF(J1538&lt;17,"Siang","Malam"))</f>
        <v>Malam</v>
      </c>
      <c r="L1538" s="2" t="n">
        <f aca="false">IF(A1538&lt;&gt;A1537,1,0)</f>
        <v>0</v>
      </c>
    </row>
    <row r="1539" customFormat="false" ht="15" hidden="false" customHeight="false" outlineLevel="0" collapsed="false">
      <c r="A1539" s="2" t="s">
        <v>1544</v>
      </c>
      <c r="B1539" s="13" t="n">
        <v>46285</v>
      </c>
      <c r="C1539" s="2" t="s">
        <v>89</v>
      </c>
      <c r="D1539" s="2" t="n">
        <v>1</v>
      </c>
      <c r="E1539" s="15" t="n">
        <v>0.715972222222222</v>
      </c>
      <c r="F1539" s="7" t="n">
        <v>14000</v>
      </c>
      <c r="G1539" s="7" t="n">
        <f aca="false">D1539*F1539</f>
        <v>14000</v>
      </c>
      <c r="H1539" s="2" t="str">
        <f aca="false">INDEX(Daftar_Menu!$B$2:$B$13,MATCH(C1539,Daftar_Menu!$A$2:$A$13,0))</f>
        <v>Makanan</v>
      </c>
      <c r="I1539" s="2" t="str">
        <f aca="false">CHOOSE(WEEKDAY(B1539,2),"Senin","Selasa","Rabu","Kamis","Jumat","Sabtu","Minggu")</f>
        <v>Minggu</v>
      </c>
      <c r="J1539" s="2" t="n">
        <f aca="false">HOUR(E1539)</f>
        <v>17</v>
      </c>
      <c r="K1539" s="2" t="str">
        <f aca="false">IF(J1539&lt;11,"Pagi",IF(J1539&lt;17,"Siang","Malam"))</f>
        <v>Malam</v>
      </c>
      <c r="L1539" s="2" t="n">
        <f aca="false">IF(A1539&lt;&gt;A1538,1,0)</f>
        <v>1</v>
      </c>
    </row>
    <row r="1540" customFormat="false" ht="15" hidden="false" customHeight="false" outlineLevel="0" collapsed="false">
      <c r="A1540" s="2" t="s">
        <v>1544</v>
      </c>
      <c r="B1540" s="13" t="n">
        <v>46285</v>
      </c>
      <c r="C1540" s="2" t="s">
        <v>186</v>
      </c>
      <c r="D1540" s="2" t="n">
        <v>1</v>
      </c>
      <c r="E1540" s="15" t="n">
        <v>0.715972222222222</v>
      </c>
      <c r="F1540" s="7" t="n">
        <v>7000</v>
      </c>
      <c r="G1540" s="7" t="n">
        <f aca="false">D1540*F1540</f>
        <v>7000</v>
      </c>
      <c r="H1540" s="2" t="str">
        <f aca="false">INDEX(Daftar_Menu!$B$2:$B$13,MATCH(C1540,Daftar_Menu!$A$2:$A$13,0))</f>
        <v>Minuman</v>
      </c>
      <c r="I1540" s="2" t="str">
        <f aca="false">CHOOSE(WEEKDAY(B1540,2),"Senin","Selasa","Rabu","Kamis","Jumat","Sabtu","Minggu")</f>
        <v>Minggu</v>
      </c>
      <c r="J1540" s="2" t="n">
        <f aca="false">HOUR(E1540)</f>
        <v>17</v>
      </c>
      <c r="K1540" s="2" t="str">
        <f aca="false">IF(J1540&lt;11,"Pagi",IF(J1540&lt;17,"Siang","Malam"))</f>
        <v>Malam</v>
      </c>
      <c r="L1540" s="2" t="n">
        <f aca="false">IF(A1540&lt;&gt;A1539,1,0)</f>
        <v>0</v>
      </c>
    </row>
    <row r="1541" customFormat="false" ht="15" hidden="false" customHeight="false" outlineLevel="0" collapsed="false">
      <c r="A1541" s="2" t="s">
        <v>1544</v>
      </c>
      <c r="B1541" s="13" t="n">
        <v>46285</v>
      </c>
      <c r="C1541" s="2" t="s">
        <v>92</v>
      </c>
      <c r="D1541" s="2" t="n">
        <v>1</v>
      </c>
      <c r="E1541" s="15" t="n">
        <v>0.715972222222222</v>
      </c>
      <c r="F1541" s="7" t="n">
        <v>4000</v>
      </c>
      <c r="G1541" s="7" t="n">
        <f aca="false">D1541*F1541</f>
        <v>4000</v>
      </c>
      <c r="H1541" s="2" t="str">
        <f aca="false">INDEX(Daftar_Menu!$B$2:$B$13,MATCH(C1541,Daftar_Menu!$A$2:$A$13,0))</f>
        <v>Minuman</v>
      </c>
      <c r="I1541" s="2" t="str">
        <f aca="false">CHOOSE(WEEKDAY(B1541,2),"Senin","Selasa","Rabu","Kamis","Jumat","Sabtu","Minggu")</f>
        <v>Minggu</v>
      </c>
      <c r="J1541" s="2" t="n">
        <f aca="false">HOUR(E1541)</f>
        <v>17</v>
      </c>
      <c r="K1541" s="2" t="str">
        <f aca="false">IF(J1541&lt;11,"Pagi",IF(J1541&lt;17,"Siang","Malam"))</f>
        <v>Malam</v>
      </c>
      <c r="L1541" s="2" t="n">
        <f aca="false">IF(A1541&lt;&gt;A1540,1,0)</f>
        <v>0</v>
      </c>
    </row>
    <row r="1542" customFormat="false" ht="15" hidden="false" customHeight="false" outlineLevel="0" collapsed="false">
      <c r="A1542" s="2" t="s">
        <v>1545</v>
      </c>
      <c r="B1542" s="13" t="n">
        <v>46285</v>
      </c>
      <c r="C1542" s="2" t="s">
        <v>81</v>
      </c>
      <c r="D1542" s="2" t="n">
        <v>1</v>
      </c>
      <c r="E1542" s="15" t="n">
        <v>0.753472222222222</v>
      </c>
      <c r="F1542" s="7" t="n">
        <v>15000</v>
      </c>
      <c r="G1542" s="7" t="n">
        <f aca="false">D1542*F1542</f>
        <v>15000</v>
      </c>
      <c r="H1542" s="2" t="str">
        <f aca="false">INDEX(Daftar_Menu!$B$2:$B$13,MATCH(C1542,Daftar_Menu!$A$2:$A$13,0))</f>
        <v>Makanan</v>
      </c>
      <c r="I1542" s="2" t="str">
        <f aca="false">CHOOSE(WEEKDAY(B1542,2),"Senin","Selasa","Rabu","Kamis","Jumat","Sabtu","Minggu")</f>
        <v>Minggu</v>
      </c>
      <c r="J1542" s="2" t="n">
        <f aca="false">HOUR(E1542)</f>
        <v>18</v>
      </c>
      <c r="K1542" s="2" t="str">
        <f aca="false">IF(J1542&lt;11,"Pagi",IF(J1542&lt;17,"Siang","Malam"))</f>
        <v>Malam</v>
      </c>
      <c r="L1542" s="2" t="n">
        <f aca="false">IF(A1542&lt;&gt;A1541,1,0)</f>
        <v>1</v>
      </c>
    </row>
    <row r="1543" customFormat="false" ht="15" hidden="false" customHeight="false" outlineLevel="0" collapsed="false">
      <c r="A1543" s="2" t="s">
        <v>1545</v>
      </c>
      <c r="B1543" s="13" t="n">
        <v>46285</v>
      </c>
      <c r="C1543" s="2" t="s">
        <v>89</v>
      </c>
      <c r="D1543" s="2" t="n">
        <v>1</v>
      </c>
      <c r="E1543" s="15" t="n">
        <v>0.753472222222222</v>
      </c>
      <c r="F1543" s="7" t="n">
        <v>14000</v>
      </c>
      <c r="G1543" s="7" t="n">
        <f aca="false">D1543*F1543</f>
        <v>14000</v>
      </c>
      <c r="H1543" s="2" t="str">
        <f aca="false">INDEX(Daftar_Menu!$B$2:$B$13,MATCH(C1543,Daftar_Menu!$A$2:$A$13,0))</f>
        <v>Makanan</v>
      </c>
      <c r="I1543" s="2" t="str">
        <f aca="false">CHOOSE(WEEKDAY(B1543,2),"Senin","Selasa","Rabu","Kamis","Jumat","Sabtu","Minggu")</f>
        <v>Minggu</v>
      </c>
      <c r="J1543" s="2" t="n">
        <f aca="false">HOUR(E1543)</f>
        <v>18</v>
      </c>
      <c r="K1543" s="2" t="str">
        <f aca="false">IF(J1543&lt;11,"Pagi",IF(J1543&lt;17,"Siang","Malam"))</f>
        <v>Malam</v>
      </c>
      <c r="L1543" s="2" t="n">
        <f aca="false">IF(A1543&lt;&gt;A1542,1,0)</f>
        <v>0</v>
      </c>
    </row>
    <row r="1544" customFormat="false" ht="15" hidden="false" customHeight="false" outlineLevel="0" collapsed="false">
      <c r="A1544" s="2" t="s">
        <v>1545</v>
      </c>
      <c r="B1544" s="13" t="n">
        <v>46285</v>
      </c>
      <c r="C1544" s="2" t="s">
        <v>101</v>
      </c>
      <c r="D1544" s="2" t="n">
        <v>1</v>
      </c>
      <c r="E1544" s="15" t="n">
        <v>0.753472222222222</v>
      </c>
      <c r="F1544" s="7" t="n">
        <v>18000</v>
      </c>
      <c r="G1544" s="7" t="n">
        <f aca="false">D1544*F1544</f>
        <v>18000</v>
      </c>
      <c r="H1544" s="2" t="str">
        <f aca="false">INDEX(Daftar_Menu!$B$2:$B$13,MATCH(C1544,Daftar_Menu!$A$2:$A$13,0))</f>
        <v>Makanan</v>
      </c>
      <c r="I1544" s="2" t="str">
        <f aca="false">CHOOSE(WEEKDAY(B1544,2),"Senin","Selasa","Rabu","Kamis","Jumat","Sabtu","Minggu")</f>
        <v>Minggu</v>
      </c>
      <c r="J1544" s="2" t="n">
        <f aca="false">HOUR(E1544)</f>
        <v>18</v>
      </c>
      <c r="K1544" s="2" t="str">
        <f aca="false">IF(J1544&lt;11,"Pagi",IF(J1544&lt;17,"Siang","Malam"))</f>
        <v>Malam</v>
      </c>
      <c r="L1544" s="2" t="n">
        <f aca="false">IF(A1544&lt;&gt;A1543,1,0)</f>
        <v>0</v>
      </c>
    </row>
    <row r="1545" customFormat="false" ht="15" hidden="false" customHeight="false" outlineLevel="0" collapsed="false">
      <c r="A1545" s="2" t="s">
        <v>1546</v>
      </c>
      <c r="B1545" s="13" t="n">
        <v>46285</v>
      </c>
      <c r="C1545" s="2" t="s">
        <v>81</v>
      </c>
      <c r="D1545" s="2" t="n">
        <v>1</v>
      </c>
      <c r="E1545" s="15" t="n">
        <v>0.766666666666667</v>
      </c>
      <c r="F1545" s="7" t="n">
        <v>15000</v>
      </c>
      <c r="G1545" s="7" t="n">
        <f aca="false">D1545*F1545</f>
        <v>15000</v>
      </c>
      <c r="H1545" s="2" t="str">
        <f aca="false">INDEX(Daftar_Menu!$B$2:$B$13,MATCH(C1545,Daftar_Menu!$A$2:$A$13,0))</f>
        <v>Makanan</v>
      </c>
      <c r="I1545" s="2" t="str">
        <f aca="false">CHOOSE(WEEKDAY(B1545,2),"Senin","Selasa","Rabu","Kamis","Jumat","Sabtu","Minggu")</f>
        <v>Minggu</v>
      </c>
      <c r="J1545" s="2" t="n">
        <f aca="false">HOUR(E1545)</f>
        <v>18</v>
      </c>
      <c r="K1545" s="2" t="str">
        <f aca="false">IF(J1545&lt;11,"Pagi",IF(J1545&lt;17,"Siang","Malam"))</f>
        <v>Malam</v>
      </c>
      <c r="L1545" s="2" t="n">
        <f aca="false">IF(A1545&lt;&gt;A1544,1,0)</f>
        <v>1</v>
      </c>
    </row>
    <row r="1546" customFormat="false" ht="15" hidden="false" customHeight="false" outlineLevel="0" collapsed="false">
      <c r="A1546" s="2" t="s">
        <v>1546</v>
      </c>
      <c r="B1546" s="13" t="n">
        <v>46285</v>
      </c>
      <c r="C1546" s="2" t="s">
        <v>132</v>
      </c>
      <c r="D1546" s="2" t="n">
        <v>2</v>
      </c>
      <c r="E1546" s="15" t="n">
        <v>0.766666666666667</v>
      </c>
      <c r="F1546" s="7" t="n">
        <v>15000</v>
      </c>
      <c r="G1546" s="7" t="n">
        <f aca="false">D1546*F1546</f>
        <v>30000</v>
      </c>
      <c r="H1546" s="2" t="str">
        <f aca="false">INDEX(Daftar_Menu!$B$2:$B$13,MATCH(C1546,Daftar_Menu!$A$2:$A$13,0))</f>
        <v>Makanan</v>
      </c>
      <c r="I1546" s="2" t="str">
        <f aca="false">CHOOSE(WEEKDAY(B1546,2),"Senin","Selasa","Rabu","Kamis","Jumat","Sabtu","Minggu")</f>
        <v>Minggu</v>
      </c>
      <c r="J1546" s="2" t="n">
        <f aca="false">HOUR(E1546)</f>
        <v>18</v>
      </c>
      <c r="K1546" s="2" t="str">
        <f aca="false">IF(J1546&lt;11,"Pagi",IF(J1546&lt;17,"Siang","Malam"))</f>
        <v>Malam</v>
      </c>
      <c r="L1546" s="2" t="n">
        <f aca="false">IF(A1546&lt;&gt;A1545,1,0)</f>
        <v>0</v>
      </c>
    </row>
    <row r="1547" customFormat="false" ht="15" hidden="false" customHeight="false" outlineLevel="0" collapsed="false">
      <c r="A1547" s="2" t="s">
        <v>1547</v>
      </c>
      <c r="B1547" s="13" t="n">
        <v>46285</v>
      </c>
      <c r="C1547" s="2" t="s">
        <v>186</v>
      </c>
      <c r="D1547" s="2" t="n">
        <v>1</v>
      </c>
      <c r="E1547" s="15" t="n">
        <v>0.772916666666667</v>
      </c>
      <c r="F1547" s="7" t="n">
        <v>7000</v>
      </c>
      <c r="G1547" s="7" t="n">
        <f aca="false">D1547*F1547</f>
        <v>7000</v>
      </c>
      <c r="H1547" s="2" t="str">
        <f aca="false">INDEX(Daftar_Menu!$B$2:$B$13,MATCH(C1547,Daftar_Menu!$A$2:$A$13,0))</f>
        <v>Minuman</v>
      </c>
      <c r="I1547" s="2" t="str">
        <f aca="false">CHOOSE(WEEKDAY(B1547,2),"Senin","Selasa","Rabu","Kamis","Jumat","Sabtu","Minggu")</f>
        <v>Minggu</v>
      </c>
      <c r="J1547" s="2" t="n">
        <f aca="false">HOUR(E1547)</f>
        <v>18</v>
      </c>
      <c r="K1547" s="2" t="str">
        <f aca="false">IF(J1547&lt;11,"Pagi",IF(J1547&lt;17,"Siang","Malam"))</f>
        <v>Malam</v>
      </c>
      <c r="L1547" s="2" t="n">
        <f aca="false">IF(A1547&lt;&gt;A1546,1,0)</f>
        <v>1</v>
      </c>
    </row>
    <row r="1548" customFormat="false" ht="15" hidden="false" customHeight="false" outlineLevel="0" collapsed="false">
      <c r="A1548" s="2" t="s">
        <v>1547</v>
      </c>
      <c r="B1548" s="13" t="n">
        <v>46285</v>
      </c>
      <c r="C1548" s="2" t="s">
        <v>84</v>
      </c>
      <c r="D1548" s="2" t="n">
        <v>2</v>
      </c>
      <c r="E1548" s="15" t="n">
        <v>0.772916666666667</v>
      </c>
      <c r="F1548" s="7" t="n">
        <v>5000</v>
      </c>
      <c r="G1548" s="7" t="n">
        <f aca="false">D1548*F1548</f>
        <v>10000</v>
      </c>
      <c r="H1548" s="2" t="str">
        <f aca="false">INDEX(Daftar_Menu!$B$2:$B$13,MATCH(C1548,Daftar_Menu!$A$2:$A$13,0))</f>
        <v>Minuman</v>
      </c>
      <c r="I1548" s="2" t="str">
        <f aca="false">CHOOSE(WEEKDAY(B1548,2),"Senin","Selasa","Rabu","Kamis","Jumat","Sabtu","Minggu")</f>
        <v>Minggu</v>
      </c>
      <c r="J1548" s="2" t="n">
        <f aca="false">HOUR(E1548)</f>
        <v>18</v>
      </c>
      <c r="K1548" s="2" t="str">
        <f aca="false">IF(J1548&lt;11,"Pagi",IF(J1548&lt;17,"Siang","Malam"))</f>
        <v>Malam</v>
      </c>
      <c r="L1548" s="2" t="n">
        <f aca="false">IF(A1548&lt;&gt;A1547,1,0)</f>
        <v>0</v>
      </c>
    </row>
    <row r="1549" customFormat="false" ht="15" hidden="false" customHeight="false" outlineLevel="0" collapsed="false">
      <c r="A1549" s="2" t="s">
        <v>1548</v>
      </c>
      <c r="B1549" s="13" t="n">
        <v>46285</v>
      </c>
      <c r="C1549" s="2" t="s">
        <v>186</v>
      </c>
      <c r="D1549" s="2" t="n">
        <v>1</v>
      </c>
      <c r="E1549" s="15" t="n">
        <v>0.775694444444445</v>
      </c>
      <c r="F1549" s="7" t="n">
        <v>7000</v>
      </c>
      <c r="G1549" s="7" t="n">
        <f aca="false">D1549*F1549</f>
        <v>7000</v>
      </c>
      <c r="H1549" s="2" t="str">
        <f aca="false">INDEX(Daftar_Menu!$B$2:$B$13,MATCH(C1549,Daftar_Menu!$A$2:$A$13,0))</f>
        <v>Minuman</v>
      </c>
      <c r="I1549" s="2" t="str">
        <f aca="false">CHOOSE(WEEKDAY(B1549,2),"Senin","Selasa","Rabu","Kamis","Jumat","Sabtu","Minggu")</f>
        <v>Minggu</v>
      </c>
      <c r="J1549" s="2" t="n">
        <f aca="false">HOUR(E1549)</f>
        <v>18</v>
      </c>
      <c r="K1549" s="2" t="str">
        <f aca="false">IF(J1549&lt;11,"Pagi",IF(J1549&lt;17,"Siang","Malam"))</f>
        <v>Malam</v>
      </c>
      <c r="L1549" s="2" t="n">
        <f aca="false">IF(A1549&lt;&gt;A1548,1,0)</f>
        <v>1</v>
      </c>
    </row>
    <row r="1550" customFormat="false" ht="15" hidden="false" customHeight="false" outlineLevel="0" collapsed="false">
      <c r="A1550" s="2" t="s">
        <v>1549</v>
      </c>
      <c r="B1550" s="13" t="n">
        <v>46285</v>
      </c>
      <c r="C1550" s="2" t="s">
        <v>101</v>
      </c>
      <c r="D1550" s="2" t="n">
        <v>1</v>
      </c>
      <c r="E1550" s="15" t="n">
        <v>0.779861111111111</v>
      </c>
      <c r="F1550" s="7" t="n">
        <v>18000</v>
      </c>
      <c r="G1550" s="7" t="n">
        <f aca="false">D1550*F1550</f>
        <v>18000</v>
      </c>
      <c r="H1550" s="2" t="str">
        <f aca="false">INDEX(Daftar_Menu!$B$2:$B$13,MATCH(C1550,Daftar_Menu!$A$2:$A$13,0))</f>
        <v>Makanan</v>
      </c>
      <c r="I1550" s="2" t="str">
        <f aca="false">CHOOSE(WEEKDAY(B1550,2),"Senin","Selasa","Rabu","Kamis","Jumat","Sabtu","Minggu")</f>
        <v>Minggu</v>
      </c>
      <c r="J1550" s="2" t="n">
        <f aca="false">HOUR(E1550)</f>
        <v>18</v>
      </c>
      <c r="K1550" s="2" t="str">
        <f aca="false">IF(J1550&lt;11,"Pagi",IF(J1550&lt;17,"Siang","Malam"))</f>
        <v>Malam</v>
      </c>
      <c r="L1550" s="2" t="n">
        <f aca="false">IF(A1550&lt;&gt;A1549,1,0)</f>
        <v>1</v>
      </c>
    </row>
    <row r="1551" customFormat="false" ht="15" hidden="false" customHeight="false" outlineLevel="0" collapsed="false">
      <c r="A1551" s="2" t="s">
        <v>1549</v>
      </c>
      <c r="B1551" s="13" t="n">
        <v>46285</v>
      </c>
      <c r="C1551" s="2" t="s">
        <v>81</v>
      </c>
      <c r="D1551" s="2" t="n">
        <v>1</v>
      </c>
      <c r="E1551" s="15" t="n">
        <v>0.779861111111111</v>
      </c>
      <c r="F1551" s="7" t="n">
        <v>15000</v>
      </c>
      <c r="G1551" s="7" t="n">
        <f aca="false">D1551*F1551</f>
        <v>15000</v>
      </c>
      <c r="H1551" s="2" t="str">
        <f aca="false">INDEX(Daftar_Menu!$B$2:$B$13,MATCH(C1551,Daftar_Menu!$A$2:$A$13,0))</f>
        <v>Makanan</v>
      </c>
      <c r="I1551" s="2" t="str">
        <f aca="false">CHOOSE(WEEKDAY(B1551,2),"Senin","Selasa","Rabu","Kamis","Jumat","Sabtu","Minggu")</f>
        <v>Minggu</v>
      </c>
      <c r="J1551" s="2" t="n">
        <f aca="false">HOUR(E1551)</f>
        <v>18</v>
      </c>
      <c r="K1551" s="2" t="str">
        <f aca="false">IF(J1551&lt;11,"Pagi",IF(J1551&lt;17,"Siang","Malam"))</f>
        <v>Malam</v>
      </c>
      <c r="L1551" s="2" t="n">
        <f aca="false">IF(A1551&lt;&gt;A1550,1,0)</f>
        <v>0</v>
      </c>
    </row>
    <row r="1552" customFormat="false" ht="15" hidden="false" customHeight="false" outlineLevel="0" collapsed="false">
      <c r="A1552" s="2" t="s">
        <v>1550</v>
      </c>
      <c r="B1552" s="13" t="n">
        <v>46285</v>
      </c>
      <c r="C1552" s="2" t="s">
        <v>84</v>
      </c>
      <c r="D1552" s="2" t="n">
        <v>1</v>
      </c>
      <c r="E1552" s="15" t="n">
        <v>0.784722222222222</v>
      </c>
      <c r="F1552" s="7" t="n">
        <v>5000</v>
      </c>
      <c r="G1552" s="7" t="n">
        <f aca="false">D1552*F1552</f>
        <v>5000</v>
      </c>
      <c r="H1552" s="2" t="str">
        <f aca="false">INDEX(Daftar_Menu!$B$2:$B$13,MATCH(C1552,Daftar_Menu!$A$2:$A$13,0))</f>
        <v>Minuman</v>
      </c>
      <c r="I1552" s="2" t="str">
        <f aca="false">CHOOSE(WEEKDAY(B1552,2),"Senin","Selasa","Rabu","Kamis","Jumat","Sabtu","Minggu")</f>
        <v>Minggu</v>
      </c>
      <c r="J1552" s="2" t="n">
        <f aca="false">HOUR(E1552)</f>
        <v>18</v>
      </c>
      <c r="K1552" s="2" t="str">
        <f aca="false">IF(J1552&lt;11,"Pagi",IF(J1552&lt;17,"Siang","Malam"))</f>
        <v>Malam</v>
      </c>
      <c r="L1552" s="2" t="n">
        <f aca="false">IF(A1552&lt;&gt;A1551,1,0)</f>
        <v>1</v>
      </c>
    </row>
    <row r="1553" customFormat="false" ht="15" hidden="false" customHeight="false" outlineLevel="0" collapsed="false">
      <c r="A1553" s="2" t="s">
        <v>1551</v>
      </c>
      <c r="B1553" s="13" t="n">
        <v>46285</v>
      </c>
      <c r="C1553" s="2" t="s">
        <v>101</v>
      </c>
      <c r="D1553" s="2" t="n">
        <v>1</v>
      </c>
      <c r="E1553" s="15" t="n">
        <v>0.789583333333333</v>
      </c>
      <c r="F1553" s="7" t="n">
        <v>18000</v>
      </c>
      <c r="G1553" s="7" t="n">
        <f aca="false">D1553*F1553</f>
        <v>18000</v>
      </c>
      <c r="H1553" s="2" t="str">
        <f aca="false">INDEX(Daftar_Menu!$B$2:$B$13,MATCH(C1553,Daftar_Menu!$A$2:$A$13,0))</f>
        <v>Makanan</v>
      </c>
      <c r="I1553" s="2" t="str">
        <f aca="false">CHOOSE(WEEKDAY(B1553,2),"Senin","Selasa","Rabu","Kamis","Jumat","Sabtu","Minggu")</f>
        <v>Minggu</v>
      </c>
      <c r="J1553" s="2" t="n">
        <f aca="false">HOUR(E1553)</f>
        <v>18</v>
      </c>
      <c r="K1553" s="2" t="str">
        <f aca="false">IF(J1553&lt;11,"Pagi",IF(J1553&lt;17,"Siang","Malam"))</f>
        <v>Malam</v>
      </c>
      <c r="L1553" s="2" t="n">
        <f aca="false">IF(A1553&lt;&gt;A1552,1,0)</f>
        <v>1</v>
      </c>
    </row>
    <row r="1554" customFormat="false" ht="15" hidden="false" customHeight="false" outlineLevel="0" collapsed="false">
      <c r="A1554" s="2" t="s">
        <v>1551</v>
      </c>
      <c r="B1554" s="13" t="n">
        <v>46285</v>
      </c>
      <c r="C1554" s="2" t="s">
        <v>186</v>
      </c>
      <c r="D1554" s="2" t="n">
        <v>1</v>
      </c>
      <c r="E1554" s="15" t="n">
        <v>0.789583333333333</v>
      </c>
      <c r="F1554" s="7" t="n">
        <v>7000</v>
      </c>
      <c r="G1554" s="7" t="n">
        <f aca="false">D1554*F1554</f>
        <v>7000</v>
      </c>
      <c r="H1554" s="2" t="str">
        <f aca="false">INDEX(Daftar_Menu!$B$2:$B$13,MATCH(C1554,Daftar_Menu!$A$2:$A$13,0))</f>
        <v>Minuman</v>
      </c>
      <c r="I1554" s="2" t="str">
        <f aca="false">CHOOSE(WEEKDAY(B1554,2),"Senin","Selasa","Rabu","Kamis","Jumat","Sabtu","Minggu")</f>
        <v>Minggu</v>
      </c>
      <c r="J1554" s="2" t="n">
        <f aca="false">HOUR(E1554)</f>
        <v>18</v>
      </c>
      <c r="K1554" s="2" t="str">
        <f aca="false">IF(J1554&lt;11,"Pagi",IF(J1554&lt;17,"Siang","Malam"))</f>
        <v>Malam</v>
      </c>
      <c r="L1554" s="2" t="n">
        <f aca="false">IF(A1554&lt;&gt;A1553,1,0)</f>
        <v>0</v>
      </c>
    </row>
    <row r="1555" customFormat="false" ht="15" hidden="false" customHeight="false" outlineLevel="0" collapsed="false">
      <c r="A1555" s="2" t="s">
        <v>1552</v>
      </c>
      <c r="B1555" s="13" t="n">
        <v>46285</v>
      </c>
      <c r="C1555" s="2" t="s">
        <v>81</v>
      </c>
      <c r="D1555" s="2" t="n">
        <v>1</v>
      </c>
      <c r="E1555" s="15" t="n">
        <v>0.791666666666667</v>
      </c>
      <c r="F1555" s="7" t="n">
        <v>15000</v>
      </c>
      <c r="G1555" s="7" t="n">
        <f aca="false">D1555*F1555</f>
        <v>15000</v>
      </c>
      <c r="H1555" s="2" t="str">
        <f aca="false">INDEX(Daftar_Menu!$B$2:$B$13,MATCH(C1555,Daftar_Menu!$A$2:$A$13,0))</f>
        <v>Makanan</v>
      </c>
      <c r="I1555" s="2" t="str">
        <f aca="false">CHOOSE(WEEKDAY(B1555,2),"Senin","Selasa","Rabu","Kamis","Jumat","Sabtu","Minggu")</f>
        <v>Minggu</v>
      </c>
      <c r="J1555" s="2" t="n">
        <f aca="false">HOUR(E1555)</f>
        <v>19</v>
      </c>
      <c r="K1555" s="2" t="str">
        <f aca="false">IF(J1555&lt;11,"Pagi",IF(J1555&lt;17,"Siang","Malam"))</f>
        <v>Malam</v>
      </c>
      <c r="L1555" s="2" t="n">
        <f aca="false">IF(A1555&lt;&gt;A1554,1,0)</f>
        <v>1</v>
      </c>
    </row>
    <row r="1556" customFormat="false" ht="15" hidden="false" customHeight="false" outlineLevel="0" collapsed="false">
      <c r="A1556" s="2" t="s">
        <v>1553</v>
      </c>
      <c r="B1556" s="13" t="n">
        <v>46285</v>
      </c>
      <c r="C1556" s="2" t="s">
        <v>84</v>
      </c>
      <c r="D1556" s="2" t="n">
        <v>1</v>
      </c>
      <c r="E1556" s="15" t="n">
        <v>0.794444444444444</v>
      </c>
      <c r="F1556" s="7" t="n">
        <v>5000</v>
      </c>
      <c r="G1556" s="7" t="n">
        <f aca="false">D1556*F1556</f>
        <v>5000</v>
      </c>
      <c r="H1556" s="2" t="str">
        <f aca="false">INDEX(Daftar_Menu!$B$2:$B$13,MATCH(C1556,Daftar_Menu!$A$2:$A$13,0))</f>
        <v>Minuman</v>
      </c>
      <c r="I1556" s="2" t="str">
        <f aca="false">CHOOSE(WEEKDAY(B1556,2),"Senin","Selasa","Rabu","Kamis","Jumat","Sabtu","Minggu")</f>
        <v>Minggu</v>
      </c>
      <c r="J1556" s="2" t="n">
        <f aca="false">HOUR(E1556)</f>
        <v>19</v>
      </c>
      <c r="K1556" s="2" t="str">
        <f aca="false">IF(J1556&lt;11,"Pagi",IF(J1556&lt;17,"Siang","Malam"))</f>
        <v>Malam</v>
      </c>
      <c r="L1556" s="2" t="n">
        <f aca="false">IF(A1556&lt;&gt;A1555,1,0)</f>
        <v>1</v>
      </c>
    </row>
    <row r="1557" customFormat="false" ht="15" hidden="false" customHeight="false" outlineLevel="0" collapsed="false">
      <c r="A1557" s="2" t="s">
        <v>1553</v>
      </c>
      <c r="B1557" s="13" t="n">
        <v>46285</v>
      </c>
      <c r="C1557" s="2" t="s">
        <v>101</v>
      </c>
      <c r="D1557" s="2" t="n">
        <v>2</v>
      </c>
      <c r="E1557" s="15" t="n">
        <v>0.794444444444444</v>
      </c>
      <c r="F1557" s="7" t="n">
        <v>18000</v>
      </c>
      <c r="G1557" s="7" t="n">
        <f aca="false">D1557*F1557</f>
        <v>36000</v>
      </c>
      <c r="H1557" s="2" t="str">
        <f aca="false">INDEX(Daftar_Menu!$B$2:$B$13,MATCH(C1557,Daftar_Menu!$A$2:$A$13,0))</f>
        <v>Makanan</v>
      </c>
      <c r="I1557" s="2" t="str">
        <f aca="false">CHOOSE(WEEKDAY(B1557,2),"Senin","Selasa","Rabu","Kamis","Jumat","Sabtu","Minggu")</f>
        <v>Minggu</v>
      </c>
      <c r="J1557" s="2" t="n">
        <f aca="false">HOUR(E1557)</f>
        <v>19</v>
      </c>
      <c r="K1557" s="2" t="str">
        <f aca="false">IF(J1557&lt;11,"Pagi",IF(J1557&lt;17,"Siang","Malam"))</f>
        <v>Malam</v>
      </c>
      <c r="L1557" s="2" t="n">
        <f aca="false">IF(A1557&lt;&gt;A1556,1,0)</f>
        <v>0</v>
      </c>
    </row>
    <row r="1558" customFormat="false" ht="15" hidden="false" customHeight="false" outlineLevel="0" collapsed="false">
      <c r="A1558" s="2" t="s">
        <v>1554</v>
      </c>
      <c r="B1558" s="13" t="n">
        <v>46285</v>
      </c>
      <c r="C1558" s="2" t="s">
        <v>101</v>
      </c>
      <c r="D1558" s="2" t="n">
        <v>1</v>
      </c>
      <c r="E1558" s="15" t="n">
        <v>0.795833333333333</v>
      </c>
      <c r="F1558" s="7" t="n">
        <v>18000</v>
      </c>
      <c r="G1558" s="7" t="n">
        <f aca="false">D1558*F1558</f>
        <v>18000</v>
      </c>
      <c r="H1558" s="2" t="str">
        <f aca="false">INDEX(Daftar_Menu!$B$2:$B$13,MATCH(C1558,Daftar_Menu!$A$2:$A$13,0))</f>
        <v>Makanan</v>
      </c>
      <c r="I1558" s="2" t="str">
        <f aca="false">CHOOSE(WEEKDAY(B1558,2),"Senin","Selasa","Rabu","Kamis","Jumat","Sabtu","Minggu")</f>
        <v>Minggu</v>
      </c>
      <c r="J1558" s="2" t="n">
        <f aca="false">HOUR(E1558)</f>
        <v>19</v>
      </c>
      <c r="K1558" s="2" t="str">
        <f aca="false">IF(J1558&lt;11,"Pagi",IF(J1558&lt;17,"Siang","Malam"))</f>
        <v>Malam</v>
      </c>
      <c r="L1558" s="2" t="n">
        <f aca="false">IF(A1558&lt;&gt;A1557,1,0)</f>
        <v>1</v>
      </c>
    </row>
    <row r="1559" customFormat="false" ht="15" hidden="false" customHeight="false" outlineLevel="0" collapsed="false">
      <c r="A1559" s="2" t="s">
        <v>1555</v>
      </c>
      <c r="B1559" s="13" t="n">
        <v>46285</v>
      </c>
      <c r="C1559" s="2" t="s">
        <v>79</v>
      </c>
      <c r="D1559" s="2" t="n">
        <v>1</v>
      </c>
      <c r="E1559" s="15" t="n">
        <v>0.811111111111111</v>
      </c>
      <c r="F1559" s="7" t="n">
        <v>16000</v>
      </c>
      <c r="G1559" s="7" t="n">
        <f aca="false">D1559*F1559</f>
        <v>16000</v>
      </c>
      <c r="H1559" s="2" t="str">
        <f aca="false">INDEX(Daftar_Menu!$B$2:$B$13,MATCH(C1559,Daftar_Menu!$A$2:$A$13,0))</f>
        <v>Makanan</v>
      </c>
      <c r="I1559" s="2" t="str">
        <f aca="false">CHOOSE(WEEKDAY(B1559,2),"Senin","Selasa","Rabu","Kamis","Jumat","Sabtu","Minggu")</f>
        <v>Minggu</v>
      </c>
      <c r="J1559" s="2" t="n">
        <f aca="false">HOUR(E1559)</f>
        <v>19</v>
      </c>
      <c r="K1559" s="2" t="str">
        <f aca="false">IF(J1559&lt;11,"Pagi",IF(J1559&lt;17,"Siang","Malam"))</f>
        <v>Malam</v>
      </c>
      <c r="L1559" s="2" t="n">
        <f aca="false">IF(A1559&lt;&gt;A1558,1,0)</f>
        <v>1</v>
      </c>
    </row>
    <row r="1560" customFormat="false" ht="15" hidden="false" customHeight="false" outlineLevel="0" collapsed="false">
      <c r="A1560" s="2" t="s">
        <v>1555</v>
      </c>
      <c r="B1560" s="13" t="n">
        <v>46285</v>
      </c>
      <c r="C1560" s="2" t="s">
        <v>81</v>
      </c>
      <c r="D1560" s="2" t="n">
        <v>1</v>
      </c>
      <c r="E1560" s="15" t="n">
        <v>0.811111111111111</v>
      </c>
      <c r="F1560" s="7" t="n">
        <v>15000</v>
      </c>
      <c r="G1560" s="7" t="n">
        <f aca="false">D1560*F1560</f>
        <v>15000</v>
      </c>
      <c r="H1560" s="2" t="str">
        <f aca="false">INDEX(Daftar_Menu!$B$2:$B$13,MATCH(C1560,Daftar_Menu!$A$2:$A$13,0))</f>
        <v>Makanan</v>
      </c>
      <c r="I1560" s="2" t="str">
        <f aca="false">CHOOSE(WEEKDAY(B1560,2),"Senin","Selasa","Rabu","Kamis","Jumat","Sabtu","Minggu")</f>
        <v>Minggu</v>
      </c>
      <c r="J1560" s="2" t="n">
        <f aca="false">HOUR(E1560)</f>
        <v>19</v>
      </c>
      <c r="K1560" s="2" t="str">
        <f aca="false">IF(J1560&lt;11,"Pagi",IF(J1560&lt;17,"Siang","Malam"))</f>
        <v>Malam</v>
      </c>
      <c r="L1560" s="2" t="n">
        <f aca="false">IF(A1560&lt;&gt;A1559,1,0)</f>
        <v>0</v>
      </c>
    </row>
    <row r="1561" customFormat="false" ht="15" hidden="false" customHeight="false" outlineLevel="0" collapsed="false">
      <c r="A1561" s="2" t="s">
        <v>1556</v>
      </c>
      <c r="B1561" s="13" t="n">
        <v>46285</v>
      </c>
      <c r="C1561" s="2" t="s">
        <v>101</v>
      </c>
      <c r="D1561" s="2" t="n">
        <v>1</v>
      </c>
      <c r="E1561" s="15" t="n">
        <v>0.813194444444444</v>
      </c>
      <c r="F1561" s="7" t="n">
        <v>18000</v>
      </c>
      <c r="G1561" s="7" t="n">
        <f aca="false">D1561*F1561</f>
        <v>18000</v>
      </c>
      <c r="H1561" s="2" t="str">
        <f aca="false">INDEX(Daftar_Menu!$B$2:$B$13,MATCH(C1561,Daftar_Menu!$A$2:$A$13,0))</f>
        <v>Makanan</v>
      </c>
      <c r="I1561" s="2" t="str">
        <f aca="false">CHOOSE(WEEKDAY(B1561,2),"Senin","Selasa","Rabu","Kamis","Jumat","Sabtu","Minggu")</f>
        <v>Minggu</v>
      </c>
      <c r="J1561" s="2" t="n">
        <f aca="false">HOUR(E1561)</f>
        <v>19</v>
      </c>
      <c r="K1561" s="2" t="str">
        <f aca="false">IF(J1561&lt;11,"Pagi",IF(J1561&lt;17,"Siang","Malam"))</f>
        <v>Malam</v>
      </c>
      <c r="L1561" s="2" t="n">
        <f aca="false">IF(A1561&lt;&gt;A1560,1,0)</f>
        <v>1</v>
      </c>
    </row>
    <row r="1562" customFormat="false" ht="15" hidden="false" customHeight="false" outlineLevel="0" collapsed="false">
      <c r="A1562" s="2" t="s">
        <v>1557</v>
      </c>
      <c r="B1562" s="13" t="n">
        <v>46285</v>
      </c>
      <c r="C1562" s="2" t="s">
        <v>81</v>
      </c>
      <c r="D1562" s="2" t="n">
        <v>1</v>
      </c>
      <c r="E1562" s="15" t="n">
        <v>0.813888888888889</v>
      </c>
      <c r="F1562" s="7" t="n">
        <v>15000</v>
      </c>
      <c r="G1562" s="7" t="n">
        <f aca="false">D1562*F1562</f>
        <v>15000</v>
      </c>
      <c r="H1562" s="2" t="str">
        <f aca="false">INDEX(Daftar_Menu!$B$2:$B$13,MATCH(C1562,Daftar_Menu!$A$2:$A$13,0))</f>
        <v>Makanan</v>
      </c>
      <c r="I1562" s="2" t="str">
        <f aca="false">CHOOSE(WEEKDAY(B1562,2),"Senin","Selasa","Rabu","Kamis","Jumat","Sabtu","Minggu")</f>
        <v>Minggu</v>
      </c>
      <c r="J1562" s="2" t="n">
        <f aca="false">HOUR(E1562)</f>
        <v>19</v>
      </c>
      <c r="K1562" s="2" t="str">
        <f aca="false">IF(J1562&lt;11,"Pagi",IF(J1562&lt;17,"Siang","Malam"))</f>
        <v>Malam</v>
      </c>
      <c r="L1562" s="2" t="n">
        <f aca="false">IF(A1562&lt;&gt;A1561,1,0)</f>
        <v>1</v>
      </c>
    </row>
    <row r="1563" customFormat="false" ht="15" hidden="false" customHeight="false" outlineLevel="0" collapsed="false">
      <c r="A1563" s="2" t="s">
        <v>1558</v>
      </c>
      <c r="B1563" s="13" t="n">
        <v>46285</v>
      </c>
      <c r="C1563" s="2" t="s">
        <v>101</v>
      </c>
      <c r="D1563" s="2" t="n">
        <v>1</v>
      </c>
      <c r="E1563" s="15" t="n">
        <v>0.818055555555556</v>
      </c>
      <c r="F1563" s="7" t="n">
        <v>18000</v>
      </c>
      <c r="G1563" s="7" t="n">
        <f aca="false">D1563*F1563</f>
        <v>18000</v>
      </c>
      <c r="H1563" s="2" t="str">
        <f aca="false">INDEX(Daftar_Menu!$B$2:$B$13,MATCH(C1563,Daftar_Menu!$A$2:$A$13,0))</f>
        <v>Makanan</v>
      </c>
      <c r="I1563" s="2" t="str">
        <f aca="false">CHOOSE(WEEKDAY(B1563,2),"Senin","Selasa","Rabu","Kamis","Jumat","Sabtu","Minggu")</f>
        <v>Minggu</v>
      </c>
      <c r="J1563" s="2" t="n">
        <f aca="false">HOUR(E1563)</f>
        <v>19</v>
      </c>
      <c r="K1563" s="2" t="str">
        <f aca="false">IF(J1563&lt;11,"Pagi",IF(J1563&lt;17,"Siang","Malam"))</f>
        <v>Malam</v>
      </c>
      <c r="L1563" s="2" t="n">
        <f aca="false">IF(A1563&lt;&gt;A1562,1,0)</f>
        <v>1</v>
      </c>
    </row>
    <row r="1564" customFormat="false" ht="15" hidden="false" customHeight="false" outlineLevel="0" collapsed="false">
      <c r="A1564" s="2" t="s">
        <v>1559</v>
      </c>
      <c r="B1564" s="13" t="n">
        <v>46285</v>
      </c>
      <c r="C1564" s="2" t="s">
        <v>186</v>
      </c>
      <c r="D1564" s="2" t="n">
        <v>2</v>
      </c>
      <c r="E1564" s="15" t="n">
        <v>0.820833333333333</v>
      </c>
      <c r="F1564" s="7" t="n">
        <v>7000</v>
      </c>
      <c r="G1564" s="7" t="n">
        <f aca="false">D1564*F1564</f>
        <v>14000</v>
      </c>
      <c r="H1564" s="2" t="str">
        <f aca="false">INDEX(Daftar_Menu!$B$2:$B$13,MATCH(C1564,Daftar_Menu!$A$2:$A$13,0))</f>
        <v>Minuman</v>
      </c>
      <c r="I1564" s="2" t="str">
        <f aca="false">CHOOSE(WEEKDAY(B1564,2),"Senin","Selasa","Rabu","Kamis","Jumat","Sabtu","Minggu")</f>
        <v>Minggu</v>
      </c>
      <c r="J1564" s="2" t="n">
        <f aca="false">HOUR(E1564)</f>
        <v>19</v>
      </c>
      <c r="K1564" s="2" t="str">
        <f aca="false">IF(J1564&lt;11,"Pagi",IF(J1564&lt;17,"Siang","Malam"))</f>
        <v>Malam</v>
      </c>
      <c r="L1564" s="2" t="n">
        <f aca="false">IF(A1564&lt;&gt;A1563,1,0)</f>
        <v>1</v>
      </c>
    </row>
    <row r="1565" customFormat="false" ht="15" hidden="false" customHeight="false" outlineLevel="0" collapsed="false">
      <c r="A1565" s="2" t="s">
        <v>1559</v>
      </c>
      <c r="B1565" s="13" t="n">
        <v>46285</v>
      </c>
      <c r="C1565" s="2" t="s">
        <v>89</v>
      </c>
      <c r="D1565" s="2" t="n">
        <v>1</v>
      </c>
      <c r="E1565" s="15" t="n">
        <v>0.820833333333333</v>
      </c>
      <c r="F1565" s="7" t="n">
        <v>14000</v>
      </c>
      <c r="G1565" s="7" t="n">
        <f aca="false">D1565*F1565</f>
        <v>14000</v>
      </c>
      <c r="H1565" s="2" t="str">
        <f aca="false">INDEX(Daftar_Menu!$B$2:$B$13,MATCH(C1565,Daftar_Menu!$A$2:$A$13,0))</f>
        <v>Makanan</v>
      </c>
      <c r="I1565" s="2" t="str">
        <f aca="false">CHOOSE(WEEKDAY(B1565,2),"Senin","Selasa","Rabu","Kamis","Jumat","Sabtu","Minggu")</f>
        <v>Minggu</v>
      </c>
      <c r="J1565" s="2" t="n">
        <f aca="false">HOUR(E1565)</f>
        <v>19</v>
      </c>
      <c r="K1565" s="2" t="str">
        <f aca="false">IF(J1565&lt;11,"Pagi",IF(J1565&lt;17,"Siang","Malam"))</f>
        <v>Malam</v>
      </c>
      <c r="L1565" s="2" t="n">
        <f aca="false">IF(A1565&lt;&gt;A1564,1,0)</f>
        <v>0</v>
      </c>
    </row>
    <row r="1566" customFormat="false" ht="15" hidden="false" customHeight="false" outlineLevel="0" collapsed="false">
      <c r="A1566" s="2" t="s">
        <v>1560</v>
      </c>
      <c r="B1566" s="13" t="n">
        <v>46285</v>
      </c>
      <c r="C1566" s="2" t="s">
        <v>84</v>
      </c>
      <c r="D1566" s="2" t="n">
        <v>2</v>
      </c>
      <c r="E1566" s="15" t="n">
        <v>0.843055555555556</v>
      </c>
      <c r="F1566" s="7" t="n">
        <v>5000</v>
      </c>
      <c r="G1566" s="7" t="n">
        <f aca="false">D1566*F1566</f>
        <v>10000</v>
      </c>
      <c r="H1566" s="2" t="str">
        <f aca="false">INDEX(Daftar_Menu!$B$2:$B$13,MATCH(C1566,Daftar_Menu!$A$2:$A$13,0))</f>
        <v>Minuman</v>
      </c>
      <c r="I1566" s="2" t="str">
        <f aca="false">CHOOSE(WEEKDAY(B1566,2),"Senin","Selasa","Rabu","Kamis","Jumat","Sabtu","Minggu")</f>
        <v>Minggu</v>
      </c>
      <c r="J1566" s="2" t="n">
        <f aca="false">HOUR(E1566)</f>
        <v>20</v>
      </c>
      <c r="K1566" s="2" t="str">
        <f aca="false">IF(J1566&lt;11,"Pagi",IF(J1566&lt;17,"Siang","Malam"))</f>
        <v>Malam</v>
      </c>
      <c r="L1566" s="2" t="n">
        <f aca="false">IF(A1566&lt;&gt;A1565,1,0)</f>
        <v>1</v>
      </c>
    </row>
    <row r="1567" customFormat="false" ht="15" hidden="false" customHeight="false" outlineLevel="0" collapsed="false">
      <c r="A1567" s="2" t="s">
        <v>1560</v>
      </c>
      <c r="B1567" s="13" t="n">
        <v>46285</v>
      </c>
      <c r="C1567" s="2" t="s">
        <v>112</v>
      </c>
      <c r="D1567" s="2" t="n">
        <v>1</v>
      </c>
      <c r="E1567" s="15" t="n">
        <v>0.843055555555556</v>
      </c>
      <c r="F1567" s="7" t="n">
        <v>10000</v>
      </c>
      <c r="G1567" s="7" t="n">
        <f aca="false">D1567*F1567</f>
        <v>10000</v>
      </c>
      <c r="H1567" s="2" t="str">
        <f aca="false">INDEX(Daftar_Menu!$B$2:$B$13,MATCH(C1567,Daftar_Menu!$A$2:$A$13,0))</f>
        <v>Minuman</v>
      </c>
      <c r="I1567" s="2" t="str">
        <f aca="false">CHOOSE(WEEKDAY(B1567,2),"Senin","Selasa","Rabu","Kamis","Jumat","Sabtu","Minggu")</f>
        <v>Minggu</v>
      </c>
      <c r="J1567" s="2" t="n">
        <f aca="false">HOUR(E1567)</f>
        <v>20</v>
      </c>
      <c r="K1567" s="2" t="str">
        <f aca="false">IF(J1567&lt;11,"Pagi",IF(J1567&lt;17,"Siang","Malam"))</f>
        <v>Malam</v>
      </c>
      <c r="L1567" s="2" t="n">
        <f aca="false">IF(A1567&lt;&gt;A1566,1,0)</f>
        <v>0</v>
      </c>
    </row>
    <row r="1568" customFormat="false" ht="15" hidden="false" customHeight="false" outlineLevel="0" collapsed="false">
      <c r="A1568" s="2" t="s">
        <v>1561</v>
      </c>
      <c r="B1568" s="13" t="n">
        <v>46285</v>
      </c>
      <c r="C1568" s="2" t="s">
        <v>84</v>
      </c>
      <c r="D1568" s="2" t="n">
        <v>1</v>
      </c>
      <c r="E1568" s="15" t="n">
        <v>0.846527777777778</v>
      </c>
      <c r="F1568" s="7" t="n">
        <v>5000</v>
      </c>
      <c r="G1568" s="7" t="n">
        <f aca="false">D1568*F1568</f>
        <v>5000</v>
      </c>
      <c r="H1568" s="2" t="str">
        <f aca="false">INDEX(Daftar_Menu!$B$2:$B$13,MATCH(C1568,Daftar_Menu!$A$2:$A$13,0))</f>
        <v>Minuman</v>
      </c>
      <c r="I1568" s="2" t="str">
        <f aca="false">CHOOSE(WEEKDAY(B1568,2),"Senin","Selasa","Rabu","Kamis","Jumat","Sabtu","Minggu")</f>
        <v>Minggu</v>
      </c>
      <c r="J1568" s="2" t="n">
        <f aca="false">HOUR(E1568)</f>
        <v>20</v>
      </c>
      <c r="K1568" s="2" t="str">
        <f aca="false">IF(J1568&lt;11,"Pagi",IF(J1568&lt;17,"Siang","Malam"))</f>
        <v>Malam</v>
      </c>
      <c r="L1568" s="2" t="n">
        <f aca="false">IF(A1568&lt;&gt;A1567,1,0)</f>
        <v>1</v>
      </c>
    </row>
    <row r="1569" customFormat="false" ht="15" hidden="false" customHeight="false" outlineLevel="0" collapsed="false">
      <c r="A1569" s="2" t="s">
        <v>1561</v>
      </c>
      <c r="B1569" s="13" t="n">
        <v>46285</v>
      </c>
      <c r="C1569" s="2" t="s">
        <v>81</v>
      </c>
      <c r="D1569" s="2" t="n">
        <v>1</v>
      </c>
      <c r="E1569" s="15" t="n">
        <v>0.846527777777778</v>
      </c>
      <c r="F1569" s="7" t="n">
        <v>15000</v>
      </c>
      <c r="G1569" s="7" t="n">
        <f aca="false">D1569*F1569</f>
        <v>15000</v>
      </c>
      <c r="H1569" s="2" t="str">
        <f aca="false">INDEX(Daftar_Menu!$B$2:$B$13,MATCH(C1569,Daftar_Menu!$A$2:$A$13,0))</f>
        <v>Makanan</v>
      </c>
      <c r="I1569" s="2" t="str">
        <f aca="false">CHOOSE(WEEKDAY(B1569,2),"Senin","Selasa","Rabu","Kamis","Jumat","Sabtu","Minggu")</f>
        <v>Minggu</v>
      </c>
      <c r="J1569" s="2" t="n">
        <f aca="false">HOUR(E1569)</f>
        <v>20</v>
      </c>
      <c r="K1569" s="2" t="str">
        <f aca="false">IF(J1569&lt;11,"Pagi",IF(J1569&lt;17,"Siang","Malam"))</f>
        <v>Malam</v>
      </c>
      <c r="L1569" s="2" t="n">
        <f aca="false">IF(A1569&lt;&gt;A1568,1,0)</f>
        <v>0</v>
      </c>
    </row>
    <row r="1570" customFormat="false" ht="15" hidden="false" customHeight="false" outlineLevel="0" collapsed="false">
      <c r="A1570" s="2" t="s">
        <v>1561</v>
      </c>
      <c r="B1570" s="13" t="n">
        <v>46285</v>
      </c>
      <c r="C1570" s="2" t="s">
        <v>79</v>
      </c>
      <c r="D1570" s="2" t="n">
        <v>1</v>
      </c>
      <c r="E1570" s="15" t="n">
        <v>0.846527777777778</v>
      </c>
      <c r="F1570" s="7" t="n">
        <v>16000</v>
      </c>
      <c r="G1570" s="7" t="n">
        <f aca="false">D1570*F1570</f>
        <v>16000</v>
      </c>
      <c r="H1570" s="2" t="str">
        <f aca="false">INDEX(Daftar_Menu!$B$2:$B$13,MATCH(C1570,Daftar_Menu!$A$2:$A$13,0))</f>
        <v>Makanan</v>
      </c>
      <c r="I1570" s="2" t="str">
        <f aca="false">CHOOSE(WEEKDAY(B1570,2),"Senin","Selasa","Rabu","Kamis","Jumat","Sabtu","Minggu")</f>
        <v>Minggu</v>
      </c>
      <c r="J1570" s="2" t="n">
        <f aca="false">HOUR(E1570)</f>
        <v>20</v>
      </c>
      <c r="K1570" s="2" t="str">
        <f aca="false">IF(J1570&lt;11,"Pagi",IF(J1570&lt;17,"Siang","Malam"))</f>
        <v>Malam</v>
      </c>
      <c r="L1570" s="2" t="n">
        <f aca="false">IF(A1570&lt;&gt;A1569,1,0)</f>
        <v>0</v>
      </c>
    </row>
    <row r="1571" customFormat="false" ht="15" hidden="false" customHeight="false" outlineLevel="0" collapsed="false">
      <c r="A1571" s="2" t="s">
        <v>1562</v>
      </c>
      <c r="B1571" s="13" t="n">
        <v>46285</v>
      </c>
      <c r="C1571" s="2" t="s">
        <v>101</v>
      </c>
      <c r="D1571" s="2" t="n">
        <v>1</v>
      </c>
      <c r="E1571" s="15" t="n">
        <v>0.851388888888889</v>
      </c>
      <c r="F1571" s="7" t="n">
        <v>18000</v>
      </c>
      <c r="G1571" s="7" t="n">
        <f aca="false">D1571*F1571</f>
        <v>18000</v>
      </c>
      <c r="H1571" s="2" t="str">
        <f aca="false">INDEX(Daftar_Menu!$B$2:$B$13,MATCH(C1571,Daftar_Menu!$A$2:$A$13,0))</f>
        <v>Makanan</v>
      </c>
      <c r="I1571" s="2" t="str">
        <f aca="false">CHOOSE(WEEKDAY(B1571,2),"Senin","Selasa","Rabu","Kamis","Jumat","Sabtu","Minggu")</f>
        <v>Minggu</v>
      </c>
      <c r="J1571" s="2" t="n">
        <f aca="false">HOUR(E1571)</f>
        <v>20</v>
      </c>
      <c r="K1571" s="2" t="str">
        <f aca="false">IF(J1571&lt;11,"Pagi",IF(J1571&lt;17,"Siang","Malam"))</f>
        <v>Malam</v>
      </c>
      <c r="L1571" s="2" t="n">
        <f aca="false">IF(A1571&lt;&gt;A1570,1,0)</f>
        <v>1</v>
      </c>
    </row>
    <row r="1572" customFormat="false" ht="15" hidden="false" customHeight="false" outlineLevel="0" collapsed="false">
      <c r="A1572" s="2" t="s">
        <v>1563</v>
      </c>
      <c r="B1572" s="13" t="n">
        <v>46285</v>
      </c>
      <c r="C1572" s="2" t="s">
        <v>126</v>
      </c>
      <c r="D1572" s="2" t="n">
        <v>1</v>
      </c>
      <c r="E1572" s="15" t="n">
        <v>0.863194444444445</v>
      </c>
      <c r="F1572" s="7" t="n">
        <v>3000</v>
      </c>
      <c r="G1572" s="7" t="n">
        <f aca="false">D1572*F1572</f>
        <v>3000</v>
      </c>
      <c r="H1572" s="2" t="str">
        <f aca="false">INDEX(Daftar_Menu!$B$2:$B$13,MATCH(C1572,Daftar_Menu!$A$2:$A$13,0))</f>
        <v>Minuman</v>
      </c>
      <c r="I1572" s="2" t="str">
        <f aca="false">CHOOSE(WEEKDAY(B1572,2),"Senin","Selasa","Rabu","Kamis","Jumat","Sabtu","Minggu")</f>
        <v>Minggu</v>
      </c>
      <c r="J1572" s="2" t="n">
        <f aca="false">HOUR(E1572)</f>
        <v>20</v>
      </c>
      <c r="K1572" s="2" t="str">
        <f aca="false">IF(J1572&lt;11,"Pagi",IF(J1572&lt;17,"Siang","Malam"))</f>
        <v>Malam</v>
      </c>
      <c r="L1572" s="2" t="n">
        <f aca="false">IF(A1572&lt;&gt;A1571,1,0)</f>
        <v>1</v>
      </c>
    </row>
    <row r="1573" customFormat="false" ht="15" hidden="false" customHeight="false" outlineLevel="0" collapsed="false">
      <c r="A1573" s="2" t="s">
        <v>1565</v>
      </c>
      <c r="B1573" s="13" t="n">
        <v>46286</v>
      </c>
      <c r="C1573" s="2" t="s">
        <v>132</v>
      </c>
      <c r="D1573" s="2" t="n">
        <v>1</v>
      </c>
      <c r="E1573" s="15" t="n">
        <v>0.338888888888889</v>
      </c>
      <c r="F1573" s="7" t="n">
        <v>15000</v>
      </c>
      <c r="G1573" s="7" t="n">
        <f aca="false">D1573*F1573</f>
        <v>15000</v>
      </c>
      <c r="H1573" s="2" t="str">
        <f aca="false">INDEX(Daftar_Menu!$B$2:$B$13,MATCH(C1573,Daftar_Menu!$A$2:$A$13,0))</f>
        <v>Makanan</v>
      </c>
      <c r="I1573" s="2" t="str">
        <f aca="false">CHOOSE(WEEKDAY(B1573,2),"Senin","Selasa","Rabu","Kamis","Jumat","Sabtu","Minggu")</f>
        <v>Senin</v>
      </c>
      <c r="J1573" s="2" t="n">
        <f aca="false">HOUR(E1573)</f>
        <v>8</v>
      </c>
      <c r="K1573" s="2" t="str">
        <f aca="false">IF(J1573&lt;11,"Pagi",IF(J1573&lt;17,"Siang","Malam"))</f>
        <v>Pagi</v>
      </c>
      <c r="L1573" s="2" t="n">
        <f aca="false">IF(A1573&lt;&gt;A1572,1,0)</f>
        <v>1</v>
      </c>
    </row>
    <row r="1574" customFormat="false" ht="15" hidden="false" customHeight="false" outlineLevel="0" collapsed="false">
      <c r="A1574" s="2" t="s">
        <v>1565</v>
      </c>
      <c r="B1574" s="13" t="n">
        <v>46286</v>
      </c>
      <c r="C1574" s="2" t="s">
        <v>89</v>
      </c>
      <c r="D1574" s="2" t="n">
        <v>1</v>
      </c>
      <c r="E1574" s="15" t="n">
        <v>0.338888888888889</v>
      </c>
      <c r="F1574" s="7" t="n">
        <v>14000</v>
      </c>
      <c r="G1574" s="7" t="n">
        <f aca="false">D1574*F1574</f>
        <v>14000</v>
      </c>
      <c r="H1574" s="2" t="str">
        <f aca="false">INDEX(Daftar_Menu!$B$2:$B$13,MATCH(C1574,Daftar_Menu!$A$2:$A$13,0))</f>
        <v>Makanan</v>
      </c>
      <c r="I1574" s="2" t="str">
        <f aca="false">CHOOSE(WEEKDAY(B1574,2),"Senin","Selasa","Rabu","Kamis","Jumat","Sabtu","Minggu")</f>
        <v>Senin</v>
      </c>
      <c r="J1574" s="2" t="n">
        <f aca="false">HOUR(E1574)</f>
        <v>8</v>
      </c>
      <c r="K1574" s="2" t="str">
        <f aca="false">IF(J1574&lt;11,"Pagi",IF(J1574&lt;17,"Siang","Malam"))</f>
        <v>Pagi</v>
      </c>
      <c r="L1574" s="2" t="n">
        <f aca="false">IF(A1574&lt;&gt;A1573,1,0)</f>
        <v>0</v>
      </c>
    </row>
    <row r="1575" customFormat="false" ht="15" hidden="false" customHeight="false" outlineLevel="0" collapsed="false">
      <c r="A1575" s="2" t="s">
        <v>1567</v>
      </c>
      <c r="B1575" s="13" t="n">
        <v>46286</v>
      </c>
      <c r="C1575" s="2" t="s">
        <v>81</v>
      </c>
      <c r="D1575" s="2" t="n">
        <v>2</v>
      </c>
      <c r="E1575" s="15" t="n">
        <v>0.3625</v>
      </c>
      <c r="F1575" s="7" t="n">
        <v>15000</v>
      </c>
      <c r="G1575" s="7" t="n">
        <f aca="false">D1575*F1575</f>
        <v>30000</v>
      </c>
      <c r="H1575" s="2" t="str">
        <f aca="false">INDEX(Daftar_Menu!$B$2:$B$13,MATCH(C1575,Daftar_Menu!$A$2:$A$13,0))</f>
        <v>Makanan</v>
      </c>
      <c r="I1575" s="2" t="str">
        <f aca="false">CHOOSE(WEEKDAY(B1575,2),"Senin","Selasa","Rabu","Kamis","Jumat","Sabtu","Minggu")</f>
        <v>Senin</v>
      </c>
      <c r="J1575" s="2" t="n">
        <f aca="false">HOUR(E1575)</f>
        <v>8</v>
      </c>
      <c r="K1575" s="2" t="str">
        <f aca="false">IF(J1575&lt;11,"Pagi",IF(J1575&lt;17,"Siang","Malam"))</f>
        <v>Pagi</v>
      </c>
      <c r="L1575" s="2" t="n">
        <f aca="false">IF(A1575&lt;&gt;A1574,1,0)</f>
        <v>1</v>
      </c>
    </row>
    <row r="1576" customFormat="false" ht="15" hidden="false" customHeight="false" outlineLevel="0" collapsed="false">
      <c r="A1576" s="2" t="s">
        <v>1567</v>
      </c>
      <c r="B1576" s="13" t="n">
        <v>46286</v>
      </c>
      <c r="C1576" s="2" t="s">
        <v>132</v>
      </c>
      <c r="D1576" s="2" t="n">
        <v>1</v>
      </c>
      <c r="E1576" s="15" t="n">
        <v>0.3625</v>
      </c>
      <c r="F1576" s="7" t="n">
        <v>15000</v>
      </c>
      <c r="G1576" s="7" t="n">
        <f aca="false">D1576*F1576</f>
        <v>15000</v>
      </c>
      <c r="H1576" s="2" t="str">
        <f aca="false">INDEX(Daftar_Menu!$B$2:$B$13,MATCH(C1576,Daftar_Menu!$A$2:$A$13,0))</f>
        <v>Makanan</v>
      </c>
      <c r="I1576" s="2" t="str">
        <f aca="false">CHOOSE(WEEKDAY(B1576,2),"Senin","Selasa","Rabu","Kamis","Jumat","Sabtu","Minggu")</f>
        <v>Senin</v>
      </c>
      <c r="J1576" s="2" t="n">
        <f aca="false">HOUR(E1576)</f>
        <v>8</v>
      </c>
      <c r="K1576" s="2" t="str">
        <f aca="false">IF(J1576&lt;11,"Pagi",IF(J1576&lt;17,"Siang","Malam"))</f>
        <v>Pagi</v>
      </c>
      <c r="L1576" s="2" t="n">
        <f aca="false">IF(A1576&lt;&gt;A1575,1,0)</f>
        <v>0</v>
      </c>
    </row>
    <row r="1577" customFormat="false" ht="15" hidden="false" customHeight="false" outlineLevel="0" collapsed="false">
      <c r="A1577" s="2" t="s">
        <v>1569</v>
      </c>
      <c r="B1577" s="13" t="n">
        <v>46286</v>
      </c>
      <c r="C1577" s="2" t="s">
        <v>126</v>
      </c>
      <c r="D1577" s="2" t="n">
        <v>2</v>
      </c>
      <c r="E1577" s="15" t="n">
        <v>0.376388888888889</v>
      </c>
      <c r="F1577" s="7" t="n">
        <v>3000</v>
      </c>
      <c r="G1577" s="7" t="n">
        <f aca="false">D1577*F1577</f>
        <v>6000</v>
      </c>
      <c r="H1577" s="2" t="str">
        <f aca="false">INDEX(Daftar_Menu!$B$2:$B$13,MATCH(C1577,Daftar_Menu!$A$2:$A$13,0))</f>
        <v>Minuman</v>
      </c>
      <c r="I1577" s="2" t="str">
        <f aca="false">CHOOSE(WEEKDAY(B1577,2),"Senin","Selasa","Rabu","Kamis","Jumat","Sabtu","Minggu")</f>
        <v>Senin</v>
      </c>
      <c r="J1577" s="2" t="n">
        <f aca="false">HOUR(E1577)</f>
        <v>9</v>
      </c>
      <c r="K1577" s="2" t="str">
        <f aca="false">IF(J1577&lt;11,"Pagi",IF(J1577&lt;17,"Siang","Malam"))</f>
        <v>Pagi</v>
      </c>
      <c r="L1577" s="2" t="n">
        <f aca="false">IF(A1577&lt;&gt;A1576,1,0)</f>
        <v>1</v>
      </c>
    </row>
    <row r="1578" customFormat="false" ht="15" hidden="false" customHeight="false" outlineLevel="0" collapsed="false">
      <c r="A1578" s="2" t="s">
        <v>1571</v>
      </c>
      <c r="B1578" s="13" t="n">
        <v>46286</v>
      </c>
      <c r="C1578" s="2" t="s">
        <v>84</v>
      </c>
      <c r="D1578" s="2" t="n">
        <v>2</v>
      </c>
      <c r="E1578" s="15" t="n">
        <v>0.379166666666667</v>
      </c>
      <c r="F1578" s="7" t="n">
        <v>5000</v>
      </c>
      <c r="G1578" s="7" t="n">
        <f aca="false">D1578*F1578</f>
        <v>10000</v>
      </c>
      <c r="H1578" s="2" t="str">
        <f aca="false">INDEX(Daftar_Menu!$B$2:$B$13,MATCH(C1578,Daftar_Menu!$A$2:$A$13,0))</f>
        <v>Minuman</v>
      </c>
      <c r="I1578" s="2" t="str">
        <f aca="false">CHOOSE(WEEKDAY(B1578,2),"Senin","Selasa","Rabu","Kamis","Jumat","Sabtu","Minggu")</f>
        <v>Senin</v>
      </c>
      <c r="J1578" s="2" t="n">
        <f aca="false">HOUR(E1578)</f>
        <v>9</v>
      </c>
      <c r="K1578" s="2" t="str">
        <f aca="false">IF(J1578&lt;11,"Pagi",IF(J1578&lt;17,"Siang","Malam"))</f>
        <v>Pagi</v>
      </c>
      <c r="L1578" s="2" t="n">
        <f aca="false">IF(A1578&lt;&gt;A1577,1,0)</f>
        <v>1</v>
      </c>
    </row>
    <row r="1579" customFormat="false" ht="15" hidden="false" customHeight="false" outlineLevel="0" collapsed="false">
      <c r="A1579" s="2" t="s">
        <v>1573</v>
      </c>
      <c r="B1579" s="13" t="n">
        <v>46286</v>
      </c>
      <c r="C1579" s="2" t="s">
        <v>101</v>
      </c>
      <c r="D1579" s="2" t="n">
        <v>1</v>
      </c>
      <c r="E1579" s="15" t="n">
        <v>0.3875</v>
      </c>
      <c r="F1579" s="7" t="n">
        <v>18000</v>
      </c>
      <c r="G1579" s="7" t="n">
        <f aca="false">D1579*F1579</f>
        <v>18000</v>
      </c>
      <c r="H1579" s="2" t="str">
        <f aca="false">INDEX(Daftar_Menu!$B$2:$B$13,MATCH(C1579,Daftar_Menu!$A$2:$A$13,0))</f>
        <v>Makanan</v>
      </c>
      <c r="I1579" s="2" t="str">
        <f aca="false">CHOOSE(WEEKDAY(B1579,2),"Senin","Selasa","Rabu","Kamis","Jumat","Sabtu","Minggu")</f>
        <v>Senin</v>
      </c>
      <c r="J1579" s="2" t="n">
        <f aca="false">HOUR(E1579)</f>
        <v>9</v>
      </c>
      <c r="K1579" s="2" t="str">
        <f aca="false">IF(J1579&lt;11,"Pagi",IF(J1579&lt;17,"Siang","Malam"))</f>
        <v>Pagi</v>
      </c>
      <c r="L1579" s="2" t="n">
        <f aca="false">IF(A1579&lt;&gt;A1578,1,0)</f>
        <v>1</v>
      </c>
    </row>
    <row r="1580" customFormat="false" ht="15" hidden="false" customHeight="false" outlineLevel="0" collapsed="false">
      <c r="A1580" s="2" t="s">
        <v>1573</v>
      </c>
      <c r="B1580" s="13" t="n">
        <v>46286</v>
      </c>
      <c r="C1580" s="2" t="s">
        <v>89</v>
      </c>
      <c r="D1580" s="2" t="n">
        <v>3</v>
      </c>
      <c r="E1580" s="15" t="n">
        <v>0.3875</v>
      </c>
      <c r="F1580" s="7" t="n">
        <v>14000</v>
      </c>
      <c r="G1580" s="7" t="n">
        <f aca="false">D1580*F1580</f>
        <v>42000</v>
      </c>
      <c r="H1580" s="2" t="str">
        <f aca="false">INDEX(Daftar_Menu!$B$2:$B$13,MATCH(C1580,Daftar_Menu!$A$2:$A$13,0))</f>
        <v>Makanan</v>
      </c>
      <c r="I1580" s="2" t="str">
        <f aca="false">CHOOSE(WEEKDAY(B1580,2),"Senin","Selasa","Rabu","Kamis","Jumat","Sabtu","Minggu")</f>
        <v>Senin</v>
      </c>
      <c r="J1580" s="2" t="n">
        <f aca="false">HOUR(E1580)</f>
        <v>9</v>
      </c>
      <c r="K1580" s="2" t="str">
        <f aca="false">IF(J1580&lt;11,"Pagi",IF(J1580&lt;17,"Siang","Malam"))</f>
        <v>Pagi</v>
      </c>
      <c r="L1580" s="2" t="n">
        <f aca="false">IF(A1580&lt;&gt;A1579,1,0)</f>
        <v>0</v>
      </c>
    </row>
    <row r="1581" customFormat="false" ht="15" hidden="false" customHeight="false" outlineLevel="0" collapsed="false">
      <c r="A1581" s="2" t="s">
        <v>1576</v>
      </c>
      <c r="B1581" s="13" t="n">
        <v>46286</v>
      </c>
      <c r="C1581" s="2" t="s">
        <v>84</v>
      </c>
      <c r="D1581" s="2" t="n">
        <v>1</v>
      </c>
      <c r="E1581" s="15" t="n">
        <v>0.397222222222222</v>
      </c>
      <c r="F1581" s="7" t="n">
        <v>5000</v>
      </c>
      <c r="G1581" s="7" t="n">
        <f aca="false">D1581*F1581</f>
        <v>5000</v>
      </c>
      <c r="H1581" s="2" t="str">
        <f aca="false">INDEX(Daftar_Menu!$B$2:$B$13,MATCH(C1581,Daftar_Menu!$A$2:$A$13,0))</f>
        <v>Minuman</v>
      </c>
      <c r="I1581" s="2" t="str">
        <f aca="false">CHOOSE(WEEKDAY(B1581,2),"Senin","Selasa","Rabu","Kamis","Jumat","Sabtu","Minggu")</f>
        <v>Senin</v>
      </c>
      <c r="J1581" s="2" t="n">
        <f aca="false">HOUR(E1581)</f>
        <v>9</v>
      </c>
      <c r="K1581" s="2" t="str">
        <f aca="false">IF(J1581&lt;11,"Pagi",IF(J1581&lt;17,"Siang","Malam"))</f>
        <v>Pagi</v>
      </c>
      <c r="L1581" s="2" t="n">
        <f aca="false">IF(A1581&lt;&gt;A1580,1,0)</f>
        <v>1</v>
      </c>
    </row>
    <row r="1582" customFormat="false" ht="15" hidden="false" customHeight="false" outlineLevel="0" collapsed="false">
      <c r="A1582" s="2" t="s">
        <v>1577</v>
      </c>
      <c r="B1582" s="13" t="n">
        <v>46286</v>
      </c>
      <c r="C1582" s="2" t="s">
        <v>81</v>
      </c>
      <c r="D1582" s="2" t="n">
        <v>1</v>
      </c>
      <c r="E1582" s="15" t="n">
        <v>0.439583333333333</v>
      </c>
      <c r="F1582" s="7" t="n">
        <v>15000</v>
      </c>
      <c r="G1582" s="7" t="n">
        <f aca="false">D1582*F1582</f>
        <v>15000</v>
      </c>
      <c r="H1582" s="2" t="str">
        <f aca="false">INDEX(Daftar_Menu!$B$2:$B$13,MATCH(C1582,Daftar_Menu!$A$2:$A$13,0))</f>
        <v>Makanan</v>
      </c>
      <c r="I1582" s="2" t="str">
        <f aca="false">CHOOSE(WEEKDAY(B1582,2),"Senin","Selasa","Rabu","Kamis","Jumat","Sabtu","Minggu")</f>
        <v>Senin</v>
      </c>
      <c r="J1582" s="2" t="n">
        <f aca="false">HOUR(E1582)</f>
        <v>10</v>
      </c>
      <c r="K1582" s="2" t="str">
        <f aca="false">IF(J1582&lt;11,"Pagi",IF(J1582&lt;17,"Siang","Malam"))</f>
        <v>Pagi</v>
      </c>
      <c r="L1582" s="2" t="n">
        <f aca="false">IF(A1582&lt;&gt;A1581,1,0)</f>
        <v>1</v>
      </c>
    </row>
    <row r="1583" customFormat="false" ht="15" hidden="false" customHeight="false" outlineLevel="0" collapsed="false">
      <c r="A1583" s="2" t="s">
        <v>1577</v>
      </c>
      <c r="B1583" s="13" t="n">
        <v>46286</v>
      </c>
      <c r="C1583" s="2" t="s">
        <v>132</v>
      </c>
      <c r="D1583" s="2" t="n">
        <v>1</v>
      </c>
      <c r="E1583" s="15" t="n">
        <v>0.439583333333333</v>
      </c>
      <c r="F1583" s="7" t="n">
        <v>15000</v>
      </c>
      <c r="G1583" s="7" t="n">
        <f aca="false">D1583*F1583</f>
        <v>15000</v>
      </c>
      <c r="H1583" s="2" t="str">
        <f aca="false">INDEX(Daftar_Menu!$B$2:$B$13,MATCH(C1583,Daftar_Menu!$A$2:$A$13,0))</f>
        <v>Makanan</v>
      </c>
      <c r="I1583" s="2" t="str">
        <f aca="false">CHOOSE(WEEKDAY(B1583,2),"Senin","Selasa","Rabu","Kamis","Jumat","Sabtu","Minggu")</f>
        <v>Senin</v>
      </c>
      <c r="J1583" s="2" t="n">
        <f aca="false">HOUR(E1583)</f>
        <v>10</v>
      </c>
      <c r="K1583" s="2" t="str">
        <f aca="false">IF(J1583&lt;11,"Pagi",IF(J1583&lt;17,"Siang","Malam"))</f>
        <v>Pagi</v>
      </c>
      <c r="L1583" s="2" t="n">
        <f aca="false">IF(A1583&lt;&gt;A1582,1,0)</f>
        <v>0</v>
      </c>
    </row>
    <row r="1584" customFormat="false" ht="15" hidden="false" customHeight="false" outlineLevel="0" collapsed="false">
      <c r="A1584" s="2" t="s">
        <v>1579</v>
      </c>
      <c r="B1584" s="13" t="n">
        <v>46286</v>
      </c>
      <c r="C1584" s="2" t="s">
        <v>89</v>
      </c>
      <c r="D1584" s="2" t="n">
        <v>1</v>
      </c>
      <c r="E1584" s="15" t="n">
        <v>0.454861111111111</v>
      </c>
      <c r="F1584" s="7" t="n">
        <v>14000</v>
      </c>
      <c r="G1584" s="7" t="n">
        <f aca="false">D1584*F1584</f>
        <v>14000</v>
      </c>
      <c r="H1584" s="2" t="str">
        <f aca="false">INDEX(Daftar_Menu!$B$2:$B$13,MATCH(C1584,Daftar_Menu!$A$2:$A$13,0))</f>
        <v>Makanan</v>
      </c>
      <c r="I1584" s="2" t="str">
        <f aca="false">CHOOSE(WEEKDAY(B1584,2),"Senin","Selasa","Rabu","Kamis","Jumat","Sabtu","Minggu")</f>
        <v>Senin</v>
      </c>
      <c r="J1584" s="2" t="n">
        <f aca="false">HOUR(E1584)</f>
        <v>10</v>
      </c>
      <c r="K1584" s="2" t="str">
        <f aca="false">IF(J1584&lt;11,"Pagi",IF(J1584&lt;17,"Siang","Malam"))</f>
        <v>Pagi</v>
      </c>
      <c r="L1584" s="2" t="n">
        <f aca="false">IF(A1584&lt;&gt;A1583,1,0)</f>
        <v>1</v>
      </c>
    </row>
    <row r="1585" customFormat="false" ht="15" hidden="false" customHeight="false" outlineLevel="0" collapsed="false">
      <c r="A1585" s="2" t="s">
        <v>1581</v>
      </c>
      <c r="B1585" s="13" t="n">
        <v>46286</v>
      </c>
      <c r="C1585" s="2" t="s">
        <v>79</v>
      </c>
      <c r="D1585" s="2" t="n">
        <v>1</v>
      </c>
      <c r="E1585" s="15" t="n">
        <v>0.463194444444445</v>
      </c>
      <c r="F1585" s="7" t="n">
        <v>16000</v>
      </c>
      <c r="G1585" s="7" t="n">
        <f aca="false">D1585*F1585</f>
        <v>16000</v>
      </c>
      <c r="H1585" s="2" t="str">
        <f aca="false">INDEX(Daftar_Menu!$B$2:$B$13,MATCH(C1585,Daftar_Menu!$A$2:$A$13,0))</f>
        <v>Makanan</v>
      </c>
      <c r="I1585" s="2" t="str">
        <f aca="false">CHOOSE(WEEKDAY(B1585,2),"Senin","Selasa","Rabu","Kamis","Jumat","Sabtu","Minggu")</f>
        <v>Senin</v>
      </c>
      <c r="J1585" s="2" t="n">
        <f aca="false">HOUR(E1585)</f>
        <v>11</v>
      </c>
      <c r="K1585" s="2" t="str">
        <f aca="false">IF(J1585&lt;11,"Pagi",IF(J1585&lt;17,"Siang","Malam"))</f>
        <v>Siang</v>
      </c>
      <c r="L1585" s="2" t="n">
        <f aca="false">IF(A1585&lt;&gt;A1584,1,0)</f>
        <v>1</v>
      </c>
    </row>
    <row r="1586" customFormat="false" ht="15" hidden="false" customHeight="false" outlineLevel="0" collapsed="false">
      <c r="A1586" s="2" t="s">
        <v>1581</v>
      </c>
      <c r="B1586" s="13" t="n">
        <v>46286</v>
      </c>
      <c r="C1586" s="2" t="s">
        <v>132</v>
      </c>
      <c r="D1586" s="2" t="n">
        <v>3</v>
      </c>
      <c r="E1586" s="15" t="n">
        <v>0.463194444444445</v>
      </c>
      <c r="F1586" s="7" t="n">
        <v>15000</v>
      </c>
      <c r="G1586" s="7" t="n">
        <f aca="false">D1586*F1586</f>
        <v>45000</v>
      </c>
      <c r="H1586" s="2" t="str">
        <f aca="false">INDEX(Daftar_Menu!$B$2:$B$13,MATCH(C1586,Daftar_Menu!$A$2:$A$13,0))</f>
        <v>Makanan</v>
      </c>
      <c r="I1586" s="2" t="str">
        <f aca="false">CHOOSE(WEEKDAY(B1586,2),"Senin","Selasa","Rabu","Kamis","Jumat","Sabtu","Minggu")</f>
        <v>Senin</v>
      </c>
      <c r="J1586" s="2" t="n">
        <f aca="false">HOUR(E1586)</f>
        <v>11</v>
      </c>
      <c r="K1586" s="2" t="str">
        <f aca="false">IF(J1586&lt;11,"Pagi",IF(J1586&lt;17,"Siang","Malam"))</f>
        <v>Siang</v>
      </c>
      <c r="L1586" s="2" t="n">
        <f aca="false">IF(A1586&lt;&gt;A1585,1,0)</f>
        <v>0</v>
      </c>
    </row>
    <row r="1587" customFormat="false" ht="15" hidden="false" customHeight="false" outlineLevel="0" collapsed="false">
      <c r="A1587" s="2" t="s">
        <v>1581</v>
      </c>
      <c r="B1587" s="13" t="n">
        <v>46286</v>
      </c>
      <c r="C1587" s="2" t="s">
        <v>81</v>
      </c>
      <c r="D1587" s="2" t="n">
        <v>2</v>
      </c>
      <c r="E1587" s="15" t="n">
        <v>0.463194444444445</v>
      </c>
      <c r="F1587" s="7" t="n">
        <v>15000</v>
      </c>
      <c r="G1587" s="7" t="n">
        <f aca="false">D1587*F1587</f>
        <v>30000</v>
      </c>
      <c r="H1587" s="2" t="str">
        <f aca="false">INDEX(Daftar_Menu!$B$2:$B$13,MATCH(C1587,Daftar_Menu!$A$2:$A$13,0))</f>
        <v>Makanan</v>
      </c>
      <c r="I1587" s="2" t="str">
        <f aca="false">CHOOSE(WEEKDAY(B1587,2),"Senin","Selasa","Rabu","Kamis","Jumat","Sabtu","Minggu")</f>
        <v>Senin</v>
      </c>
      <c r="J1587" s="2" t="n">
        <f aca="false">HOUR(E1587)</f>
        <v>11</v>
      </c>
      <c r="K1587" s="2" t="str">
        <f aca="false">IF(J1587&lt;11,"Pagi",IF(J1587&lt;17,"Siang","Malam"))</f>
        <v>Siang</v>
      </c>
      <c r="L1587" s="2" t="n">
        <f aca="false">IF(A1587&lt;&gt;A1586,1,0)</f>
        <v>0</v>
      </c>
    </row>
    <row r="1588" customFormat="false" ht="15" hidden="false" customHeight="false" outlineLevel="0" collapsed="false">
      <c r="A1588" s="2" t="s">
        <v>1582</v>
      </c>
      <c r="B1588" s="13" t="n">
        <v>46286</v>
      </c>
      <c r="C1588" s="2" t="s">
        <v>132</v>
      </c>
      <c r="D1588" s="2" t="n">
        <v>1</v>
      </c>
      <c r="E1588" s="15" t="n">
        <v>0.464583333333333</v>
      </c>
      <c r="F1588" s="7" t="n">
        <v>15000</v>
      </c>
      <c r="G1588" s="7" t="n">
        <f aca="false">D1588*F1588</f>
        <v>15000</v>
      </c>
      <c r="H1588" s="2" t="str">
        <f aca="false">INDEX(Daftar_Menu!$B$2:$B$13,MATCH(C1588,Daftar_Menu!$A$2:$A$13,0))</f>
        <v>Makanan</v>
      </c>
      <c r="I1588" s="2" t="str">
        <f aca="false">CHOOSE(WEEKDAY(B1588,2),"Senin","Selasa","Rabu","Kamis","Jumat","Sabtu","Minggu")</f>
        <v>Senin</v>
      </c>
      <c r="J1588" s="2" t="n">
        <f aca="false">HOUR(E1588)</f>
        <v>11</v>
      </c>
      <c r="K1588" s="2" t="str">
        <f aca="false">IF(J1588&lt;11,"Pagi",IF(J1588&lt;17,"Siang","Malam"))</f>
        <v>Siang</v>
      </c>
      <c r="L1588" s="2" t="n">
        <f aca="false">IF(A1588&lt;&gt;A1587,1,0)</f>
        <v>1</v>
      </c>
    </row>
    <row r="1589" customFormat="false" ht="15" hidden="false" customHeight="false" outlineLevel="0" collapsed="false">
      <c r="A1589" s="2" t="s">
        <v>1582</v>
      </c>
      <c r="B1589" s="13" t="n">
        <v>46286</v>
      </c>
      <c r="C1589" s="2" t="s">
        <v>79</v>
      </c>
      <c r="D1589" s="2" t="n">
        <v>1</v>
      </c>
      <c r="E1589" s="15" t="n">
        <v>0.464583333333333</v>
      </c>
      <c r="F1589" s="7" t="n">
        <v>16000</v>
      </c>
      <c r="G1589" s="7" t="n">
        <f aca="false">D1589*F1589</f>
        <v>16000</v>
      </c>
      <c r="H1589" s="2" t="str">
        <f aca="false">INDEX(Daftar_Menu!$B$2:$B$13,MATCH(C1589,Daftar_Menu!$A$2:$A$13,0))</f>
        <v>Makanan</v>
      </c>
      <c r="I1589" s="2" t="str">
        <f aca="false">CHOOSE(WEEKDAY(B1589,2),"Senin","Selasa","Rabu","Kamis","Jumat","Sabtu","Minggu")</f>
        <v>Senin</v>
      </c>
      <c r="J1589" s="2" t="n">
        <f aca="false">HOUR(E1589)</f>
        <v>11</v>
      </c>
      <c r="K1589" s="2" t="str">
        <f aca="false">IF(J1589&lt;11,"Pagi",IF(J1589&lt;17,"Siang","Malam"))</f>
        <v>Siang</v>
      </c>
      <c r="L1589" s="2" t="n">
        <f aca="false">IF(A1589&lt;&gt;A1588,1,0)</f>
        <v>0</v>
      </c>
    </row>
    <row r="1590" customFormat="false" ht="15" hidden="false" customHeight="false" outlineLevel="0" collapsed="false">
      <c r="A1590" s="2" t="s">
        <v>1583</v>
      </c>
      <c r="B1590" s="13" t="n">
        <v>46286</v>
      </c>
      <c r="C1590" s="2" t="s">
        <v>101</v>
      </c>
      <c r="D1590" s="2" t="n">
        <v>2</v>
      </c>
      <c r="E1590" s="15" t="n">
        <v>0.465277777777778</v>
      </c>
      <c r="F1590" s="7" t="n">
        <v>18000</v>
      </c>
      <c r="G1590" s="7" t="n">
        <f aca="false">D1590*F1590</f>
        <v>36000</v>
      </c>
      <c r="H1590" s="2" t="str">
        <f aca="false">INDEX(Daftar_Menu!$B$2:$B$13,MATCH(C1590,Daftar_Menu!$A$2:$A$13,0))</f>
        <v>Makanan</v>
      </c>
      <c r="I1590" s="2" t="str">
        <f aca="false">CHOOSE(WEEKDAY(B1590,2),"Senin","Selasa","Rabu","Kamis","Jumat","Sabtu","Minggu")</f>
        <v>Senin</v>
      </c>
      <c r="J1590" s="2" t="n">
        <f aca="false">HOUR(E1590)</f>
        <v>11</v>
      </c>
      <c r="K1590" s="2" t="str">
        <f aca="false">IF(J1590&lt;11,"Pagi",IF(J1590&lt;17,"Siang","Malam"))</f>
        <v>Siang</v>
      </c>
      <c r="L1590" s="2" t="n">
        <f aca="false">IF(A1590&lt;&gt;A1589,1,0)</f>
        <v>1</v>
      </c>
    </row>
    <row r="1591" customFormat="false" ht="15" hidden="false" customHeight="false" outlineLevel="0" collapsed="false">
      <c r="A1591" s="2" t="s">
        <v>1584</v>
      </c>
      <c r="B1591" s="13" t="n">
        <v>46286</v>
      </c>
      <c r="C1591" s="2" t="s">
        <v>186</v>
      </c>
      <c r="D1591" s="2" t="n">
        <v>1</v>
      </c>
      <c r="E1591" s="15" t="n">
        <v>0.488888888888889</v>
      </c>
      <c r="F1591" s="7" t="n">
        <v>7000</v>
      </c>
      <c r="G1591" s="7" t="n">
        <f aca="false">D1591*F1591</f>
        <v>7000</v>
      </c>
      <c r="H1591" s="2" t="str">
        <f aca="false">INDEX(Daftar_Menu!$B$2:$B$13,MATCH(C1591,Daftar_Menu!$A$2:$A$13,0))</f>
        <v>Minuman</v>
      </c>
      <c r="I1591" s="2" t="str">
        <f aca="false">CHOOSE(WEEKDAY(B1591,2),"Senin","Selasa","Rabu","Kamis","Jumat","Sabtu","Minggu")</f>
        <v>Senin</v>
      </c>
      <c r="J1591" s="2" t="n">
        <f aca="false">HOUR(E1591)</f>
        <v>11</v>
      </c>
      <c r="K1591" s="2" t="str">
        <f aca="false">IF(J1591&lt;11,"Pagi",IF(J1591&lt;17,"Siang","Malam"))</f>
        <v>Siang</v>
      </c>
      <c r="L1591" s="2" t="n">
        <f aca="false">IF(A1591&lt;&gt;A1590,1,0)</f>
        <v>1</v>
      </c>
    </row>
    <row r="1592" customFormat="false" ht="15" hidden="false" customHeight="false" outlineLevel="0" collapsed="false">
      <c r="A1592" s="2" t="s">
        <v>1585</v>
      </c>
      <c r="B1592" s="13" t="n">
        <v>46286</v>
      </c>
      <c r="C1592" s="2" t="s">
        <v>81</v>
      </c>
      <c r="D1592" s="2" t="n">
        <v>2</v>
      </c>
      <c r="E1592" s="15" t="n">
        <v>0.505555555555556</v>
      </c>
      <c r="F1592" s="7" t="n">
        <v>15000</v>
      </c>
      <c r="G1592" s="7" t="n">
        <f aca="false">D1592*F1592</f>
        <v>30000</v>
      </c>
      <c r="H1592" s="2" t="str">
        <f aca="false">INDEX(Daftar_Menu!$B$2:$B$13,MATCH(C1592,Daftar_Menu!$A$2:$A$13,0))</f>
        <v>Makanan</v>
      </c>
      <c r="I1592" s="2" t="str">
        <f aca="false">CHOOSE(WEEKDAY(B1592,2),"Senin","Selasa","Rabu","Kamis","Jumat","Sabtu","Minggu")</f>
        <v>Senin</v>
      </c>
      <c r="J1592" s="2" t="n">
        <f aca="false">HOUR(E1592)</f>
        <v>12</v>
      </c>
      <c r="K1592" s="2" t="str">
        <f aca="false">IF(J1592&lt;11,"Pagi",IF(J1592&lt;17,"Siang","Malam"))</f>
        <v>Siang</v>
      </c>
      <c r="L1592" s="2" t="n">
        <f aca="false">IF(A1592&lt;&gt;A1591,1,0)</f>
        <v>1</v>
      </c>
    </row>
    <row r="1593" customFormat="false" ht="15" hidden="false" customHeight="false" outlineLevel="0" collapsed="false">
      <c r="A1593" s="2" t="s">
        <v>1585</v>
      </c>
      <c r="B1593" s="13" t="n">
        <v>46286</v>
      </c>
      <c r="C1593" s="2" t="s">
        <v>79</v>
      </c>
      <c r="D1593" s="2" t="n">
        <v>2</v>
      </c>
      <c r="E1593" s="15" t="n">
        <v>0.505555555555556</v>
      </c>
      <c r="F1593" s="7" t="n">
        <v>16000</v>
      </c>
      <c r="G1593" s="7" t="n">
        <f aca="false">D1593*F1593</f>
        <v>32000</v>
      </c>
      <c r="H1593" s="2" t="str">
        <f aca="false">INDEX(Daftar_Menu!$B$2:$B$13,MATCH(C1593,Daftar_Menu!$A$2:$A$13,0))</f>
        <v>Makanan</v>
      </c>
      <c r="I1593" s="2" t="str">
        <f aca="false">CHOOSE(WEEKDAY(B1593,2),"Senin","Selasa","Rabu","Kamis","Jumat","Sabtu","Minggu")</f>
        <v>Senin</v>
      </c>
      <c r="J1593" s="2" t="n">
        <f aca="false">HOUR(E1593)</f>
        <v>12</v>
      </c>
      <c r="K1593" s="2" t="str">
        <f aca="false">IF(J1593&lt;11,"Pagi",IF(J1593&lt;17,"Siang","Malam"))</f>
        <v>Siang</v>
      </c>
      <c r="L1593" s="2" t="n">
        <f aca="false">IF(A1593&lt;&gt;A1592,1,0)</f>
        <v>0</v>
      </c>
    </row>
    <row r="1594" customFormat="false" ht="15" hidden="false" customHeight="false" outlineLevel="0" collapsed="false">
      <c r="A1594" s="2" t="s">
        <v>1587</v>
      </c>
      <c r="B1594" s="13" t="n">
        <v>46286</v>
      </c>
      <c r="C1594" s="2" t="s">
        <v>84</v>
      </c>
      <c r="D1594" s="2" t="n">
        <v>3</v>
      </c>
      <c r="E1594" s="15" t="n">
        <v>0.517361111111111</v>
      </c>
      <c r="F1594" s="7" t="n">
        <v>5000</v>
      </c>
      <c r="G1594" s="7" t="n">
        <f aca="false">D1594*F1594</f>
        <v>15000</v>
      </c>
      <c r="H1594" s="2" t="str">
        <f aca="false">INDEX(Daftar_Menu!$B$2:$B$13,MATCH(C1594,Daftar_Menu!$A$2:$A$13,0))</f>
        <v>Minuman</v>
      </c>
      <c r="I1594" s="2" t="str">
        <f aca="false">CHOOSE(WEEKDAY(B1594,2),"Senin","Selasa","Rabu","Kamis","Jumat","Sabtu","Minggu")</f>
        <v>Senin</v>
      </c>
      <c r="J1594" s="2" t="n">
        <f aca="false">HOUR(E1594)</f>
        <v>12</v>
      </c>
      <c r="K1594" s="2" t="str">
        <f aca="false">IF(J1594&lt;11,"Pagi",IF(J1594&lt;17,"Siang","Malam"))</f>
        <v>Siang</v>
      </c>
      <c r="L1594" s="2" t="n">
        <f aca="false">IF(A1594&lt;&gt;A1593,1,0)</f>
        <v>1</v>
      </c>
    </row>
    <row r="1595" customFormat="false" ht="15" hidden="false" customHeight="false" outlineLevel="0" collapsed="false">
      <c r="A1595" s="2" t="s">
        <v>1588</v>
      </c>
      <c r="B1595" s="13" t="n">
        <v>46286</v>
      </c>
      <c r="C1595" s="2" t="s">
        <v>84</v>
      </c>
      <c r="D1595" s="2" t="n">
        <v>2</v>
      </c>
      <c r="E1595" s="15" t="n">
        <v>0.532638888888889</v>
      </c>
      <c r="F1595" s="7" t="n">
        <v>5000</v>
      </c>
      <c r="G1595" s="7" t="n">
        <f aca="false">D1595*F1595</f>
        <v>10000</v>
      </c>
      <c r="H1595" s="2" t="str">
        <f aca="false">INDEX(Daftar_Menu!$B$2:$B$13,MATCH(C1595,Daftar_Menu!$A$2:$A$13,0))</f>
        <v>Minuman</v>
      </c>
      <c r="I1595" s="2" t="str">
        <f aca="false">CHOOSE(WEEKDAY(B1595,2),"Senin","Selasa","Rabu","Kamis","Jumat","Sabtu","Minggu")</f>
        <v>Senin</v>
      </c>
      <c r="J1595" s="2" t="n">
        <f aca="false">HOUR(E1595)</f>
        <v>12</v>
      </c>
      <c r="K1595" s="2" t="str">
        <f aca="false">IF(J1595&lt;11,"Pagi",IF(J1595&lt;17,"Siang","Malam"))</f>
        <v>Siang</v>
      </c>
      <c r="L1595" s="2" t="n">
        <f aca="false">IF(A1595&lt;&gt;A1594,1,0)</f>
        <v>1</v>
      </c>
    </row>
    <row r="1596" customFormat="false" ht="15" hidden="false" customHeight="false" outlineLevel="0" collapsed="false">
      <c r="A1596" s="2" t="s">
        <v>1588</v>
      </c>
      <c r="B1596" s="13" t="n">
        <v>46286</v>
      </c>
      <c r="C1596" s="2" t="s">
        <v>101</v>
      </c>
      <c r="D1596" s="2" t="n">
        <v>1</v>
      </c>
      <c r="E1596" s="15" t="n">
        <v>0.532638888888889</v>
      </c>
      <c r="F1596" s="7" t="n">
        <v>18000</v>
      </c>
      <c r="G1596" s="7" t="n">
        <f aca="false">D1596*F1596</f>
        <v>18000</v>
      </c>
      <c r="H1596" s="2" t="str">
        <f aca="false">INDEX(Daftar_Menu!$B$2:$B$13,MATCH(C1596,Daftar_Menu!$A$2:$A$13,0))</f>
        <v>Makanan</v>
      </c>
      <c r="I1596" s="2" t="str">
        <f aca="false">CHOOSE(WEEKDAY(B1596,2),"Senin","Selasa","Rabu","Kamis","Jumat","Sabtu","Minggu")</f>
        <v>Senin</v>
      </c>
      <c r="J1596" s="2" t="n">
        <f aca="false">HOUR(E1596)</f>
        <v>12</v>
      </c>
      <c r="K1596" s="2" t="str">
        <f aca="false">IF(J1596&lt;11,"Pagi",IF(J1596&lt;17,"Siang","Malam"))</f>
        <v>Siang</v>
      </c>
      <c r="L1596" s="2" t="n">
        <f aca="false">IF(A1596&lt;&gt;A1595,1,0)</f>
        <v>0</v>
      </c>
    </row>
    <row r="1597" customFormat="false" ht="15" hidden="false" customHeight="false" outlineLevel="0" collapsed="false">
      <c r="A1597" s="2" t="s">
        <v>1588</v>
      </c>
      <c r="B1597" s="13" t="n">
        <v>46286</v>
      </c>
      <c r="C1597" s="2" t="s">
        <v>92</v>
      </c>
      <c r="D1597" s="2" t="n">
        <v>1</v>
      </c>
      <c r="E1597" s="15" t="n">
        <v>0.532638888888889</v>
      </c>
      <c r="F1597" s="7" t="n">
        <v>4000</v>
      </c>
      <c r="G1597" s="7" t="n">
        <f aca="false">D1597*F1597</f>
        <v>4000</v>
      </c>
      <c r="H1597" s="2" t="str">
        <f aca="false">INDEX(Daftar_Menu!$B$2:$B$13,MATCH(C1597,Daftar_Menu!$A$2:$A$13,0))</f>
        <v>Minuman</v>
      </c>
      <c r="I1597" s="2" t="str">
        <f aca="false">CHOOSE(WEEKDAY(B1597,2),"Senin","Selasa","Rabu","Kamis","Jumat","Sabtu","Minggu")</f>
        <v>Senin</v>
      </c>
      <c r="J1597" s="2" t="n">
        <f aca="false">HOUR(E1597)</f>
        <v>12</v>
      </c>
      <c r="K1597" s="2" t="str">
        <f aca="false">IF(J1597&lt;11,"Pagi",IF(J1597&lt;17,"Siang","Malam"))</f>
        <v>Siang</v>
      </c>
      <c r="L1597" s="2" t="n">
        <f aca="false">IF(A1597&lt;&gt;A1596,1,0)</f>
        <v>0</v>
      </c>
    </row>
    <row r="1598" customFormat="false" ht="15" hidden="false" customHeight="false" outlineLevel="0" collapsed="false">
      <c r="A1598" s="2" t="s">
        <v>1589</v>
      </c>
      <c r="B1598" s="13" t="n">
        <v>46286</v>
      </c>
      <c r="C1598" s="2" t="s">
        <v>84</v>
      </c>
      <c r="D1598" s="2" t="n">
        <v>1</v>
      </c>
      <c r="E1598" s="15" t="n">
        <v>0.554861111111111</v>
      </c>
      <c r="F1598" s="7" t="n">
        <v>5000</v>
      </c>
      <c r="G1598" s="7" t="n">
        <f aca="false">D1598*F1598</f>
        <v>5000</v>
      </c>
      <c r="H1598" s="2" t="str">
        <f aca="false">INDEX(Daftar_Menu!$B$2:$B$13,MATCH(C1598,Daftar_Menu!$A$2:$A$13,0))</f>
        <v>Minuman</v>
      </c>
      <c r="I1598" s="2" t="str">
        <f aca="false">CHOOSE(WEEKDAY(B1598,2),"Senin","Selasa","Rabu","Kamis","Jumat","Sabtu","Minggu")</f>
        <v>Senin</v>
      </c>
      <c r="J1598" s="2" t="n">
        <f aca="false">HOUR(E1598)</f>
        <v>13</v>
      </c>
      <c r="K1598" s="2" t="str">
        <f aca="false">IF(J1598&lt;11,"Pagi",IF(J1598&lt;17,"Siang","Malam"))</f>
        <v>Siang</v>
      </c>
      <c r="L1598" s="2" t="n">
        <f aca="false">IF(A1598&lt;&gt;A1597,1,0)</f>
        <v>1</v>
      </c>
    </row>
    <row r="1599" customFormat="false" ht="15" hidden="false" customHeight="false" outlineLevel="0" collapsed="false">
      <c r="A1599" s="2" t="s">
        <v>1589</v>
      </c>
      <c r="B1599" s="13" t="n">
        <v>46286</v>
      </c>
      <c r="C1599" s="2" t="s">
        <v>101</v>
      </c>
      <c r="D1599" s="2" t="n">
        <v>1</v>
      </c>
      <c r="E1599" s="15" t="n">
        <v>0.554861111111111</v>
      </c>
      <c r="F1599" s="7" t="n">
        <v>18000</v>
      </c>
      <c r="G1599" s="7" t="n">
        <f aca="false">D1599*F1599</f>
        <v>18000</v>
      </c>
      <c r="H1599" s="2" t="str">
        <f aca="false">INDEX(Daftar_Menu!$B$2:$B$13,MATCH(C1599,Daftar_Menu!$A$2:$A$13,0))</f>
        <v>Makanan</v>
      </c>
      <c r="I1599" s="2" t="str">
        <f aca="false">CHOOSE(WEEKDAY(B1599,2),"Senin","Selasa","Rabu","Kamis","Jumat","Sabtu","Minggu")</f>
        <v>Senin</v>
      </c>
      <c r="J1599" s="2" t="n">
        <f aca="false">HOUR(E1599)</f>
        <v>13</v>
      </c>
      <c r="K1599" s="2" t="str">
        <f aca="false">IF(J1599&lt;11,"Pagi",IF(J1599&lt;17,"Siang","Malam"))</f>
        <v>Siang</v>
      </c>
      <c r="L1599" s="2" t="n">
        <f aca="false">IF(A1599&lt;&gt;A1598,1,0)</f>
        <v>0</v>
      </c>
    </row>
    <row r="1600" customFormat="false" ht="15" hidden="false" customHeight="false" outlineLevel="0" collapsed="false">
      <c r="A1600" s="2" t="s">
        <v>1591</v>
      </c>
      <c r="B1600" s="13" t="n">
        <v>46286</v>
      </c>
      <c r="C1600" s="2" t="s">
        <v>101</v>
      </c>
      <c r="D1600" s="2" t="n">
        <v>2</v>
      </c>
      <c r="E1600" s="15" t="n">
        <v>0.555555555555556</v>
      </c>
      <c r="F1600" s="7" t="n">
        <v>18000</v>
      </c>
      <c r="G1600" s="7" t="n">
        <f aca="false">D1600*F1600</f>
        <v>36000</v>
      </c>
      <c r="H1600" s="2" t="str">
        <f aca="false">INDEX(Daftar_Menu!$B$2:$B$13,MATCH(C1600,Daftar_Menu!$A$2:$A$13,0))</f>
        <v>Makanan</v>
      </c>
      <c r="I1600" s="2" t="str">
        <f aca="false">CHOOSE(WEEKDAY(B1600,2),"Senin","Selasa","Rabu","Kamis","Jumat","Sabtu","Minggu")</f>
        <v>Senin</v>
      </c>
      <c r="J1600" s="2" t="n">
        <f aca="false">HOUR(E1600)</f>
        <v>13</v>
      </c>
      <c r="K1600" s="2" t="str">
        <f aca="false">IF(J1600&lt;11,"Pagi",IF(J1600&lt;17,"Siang","Malam"))</f>
        <v>Siang</v>
      </c>
      <c r="L1600" s="2" t="n">
        <f aca="false">IF(A1600&lt;&gt;A1599,1,0)</f>
        <v>1</v>
      </c>
    </row>
    <row r="1601" customFormat="false" ht="15" hidden="false" customHeight="false" outlineLevel="0" collapsed="false">
      <c r="A1601" s="2" t="s">
        <v>1592</v>
      </c>
      <c r="B1601" s="13" t="n">
        <v>46286</v>
      </c>
      <c r="C1601" s="2" t="s">
        <v>132</v>
      </c>
      <c r="D1601" s="2" t="n">
        <v>1</v>
      </c>
      <c r="E1601" s="15" t="n">
        <v>0.580555555555556</v>
      </c>
      <c r="F1601" s="7" t="n">
        <v>15000</v>
      </c>
      <c r="G1601" s="7" t="n">
        <f aca="false">D1601*F1601</f>
        <v>15000</v>
      </c>
      <c r="H1601" s="2" t="str">
        <f aca="false">INDEX(Daftar_Menu!$B$2:$B$13,MATCH(C1601,Daftar_Menu!$A$2:$A$13,0))</f>
        <v>Makanan</v>
      </c>
      <c r="I1601" s="2" t="str">
        <f aca="false">CHOOSE(WEEKDAY(B1601,2),"Senin","Selasa","Rabu","Kamis","Jumat","Sabtu","Minggu")</f>
        <v>Senin</v>
      </c>
      <c r="J1601" s="2" t="n">
        <f aca="false">HOUR(E1601)</f>
        <v>13</v>
      </c>
      <c r="K1601" s="2" t="str">
        <f aca="false">IF(J1601&lt;11,"Pagi",IF(J1601&lt;17,"Siang","Malam"))</f>
        <v>Siang</v>
      </c>
      <c r="L1601" s="2" t="n">
        <f aca="false">IF(A1601&lt;&gt;A1600,1,0)</f>
        <v>1</v>
      </c>
    </row>
    <row r="1602" customFormat="false" ht="15" hidden="false" customHeight="false" outlineLevel="0" collapsed="false">
      <c r="A1602" s="2" t="s">
        <v>1595</v>
      </c>
      <c r="B1602" s="13" t="n">
        <v>46286</v>
      </c>
      <c r="C1602" s="2" t="s">
        <v>81</v>
      </c>
      <c r="D1602" s="2" t="n">
        <v>1</v>
      </c>
      <c r="E1602" s="15" t="n">
        <v>0.613888888888889</v>
      </c>
      <c r="F1602" s="7" t="n">
        <v>15000</v>
      </c>
      <c r="G1602" s="7" t="n">
        <f aca="false">D1602*F1602</f>
        <v>15000</v>
      </c>
      <c r="H1602" s="2" t="str">
        <f aca="false">INDEX(Daftar_Menu!$B$2:$B$13,MATCH(C1602,Daftar_Menu!$A$2:$A$13,0))</f>
        <v>Makanan</v>
      </c>
      <c r="I1602" s="2" t="str">
        <f aca="false">CHOOSE(WEEKDAY(B1602,2),"Senin","Selasa","Rabu","Kamis","Jumat","Sabtu","Minggu")</f>
        <v>Senin</v>
      </c>
      <c r="J1602" s="2" t="n">
        <f aca="false">HOUR(E1602)</f>
        <v>14</v>
      </c>
      <c r="K1602" s="2" t="str">
        <f aca="false">IF(J1602&lt;11,"Pagi",IF(J1602&lt;17,"Siang","Malam"))</f>
        <v>Siang</v>
      </c>
      <c r="L1602" s="2" t="n">
        <f aca="false">IF(A1602&lt;&gt;A1601,1,0)</f>
        <v>1</v>
      </c>
    </row>
    <row r="1603" customFormat="false" ht="15" hidden="false" customHeight="false" outlineLevel="0" collapsed="false">
      <c r="A1603" s="2" t="s">
        <v>1596</v>
      </c>
      <c r="B1603" s="13" t="n">
        <v>46286</v>
      </c>
      <c r="C1603" s="2" t="s">
        <v>101</v>
      </c>
      <c r="D1603" s="2" t="n">
        <v>1</v>
      </c>
      <c r="E1603" s="15" t="n">
        <v>0.617361111111111</v>
      </c>
      <c r="F1603" s="7" t="n">
        <v>18000</v>
      </c>
      <c r="G1603" s="7" t="n">
        <f aca="false">D1603*F1603</f>
        <v>18000</v>
      </c>
      <c r="H1603" s="2" t="str">
        <f aca="false">INDEX(Daftar_Menu!$B$2:$B$13,MATCH(C1603,Daftar_Menu!$A$2:$A$13,0))</f>
        <v>Makanan</v>
      </c>
      <c r="I1603" s="2" t="str">
        <f aca="false">CHOOSE(WEEKDAY(B1603,2),"Senin","Selasa","Rabu","Kamis","Jumat","Sabtu","Minggu")</f>
        <v>Senin</v>
      </c>
      <c r="J1603" s="2" t="n">
        <f aca="false">HOUR(E1603)</f>
        <v>14</v>
      </c>
      <c r="K1603" s="2" t="str">
        <f aca="false">IF(J1603&lt;11,"Pagi",IF(J1603&lt;17,"Siang","Malam"))</f>
        <v>Siang</v>
      </c>
      <c r="L1603" s="2" t="n">
        <f aca="false">IF(A1603&lt;&gt;A1602,1,0)</f>
        <v>1</v>
      </c>
    </row>
    <row r="1604" customFormat="false" ht="15" hidden="false" customHeight="false" outlineLevel="0" collapsed="false">
      <c r="A1604" s="2" t="s">
        <v>1598</v>
      </c>
      <c r="B1604" s="13" t="n">
        <v>46286</v>
      </c>
      <c r="C1604" s="2" t="s">
        <v>108</v>
      </c>
      <c r="D1604" s="2" t="n">
        <v>2</v>
      </c>
      <c r="E1604" s="15" t="n">
        <v>0.619444444444445</v>
      </c>
      <c r="F1604" s="7" t="n">
        <v>20000</v>
      </c>
      <c r="G1604" s="7" t="n">
        <f aca="false">D1604*F1604</f>
        <v>40000</v>
      </c>
      <c r="H1604" s="2" t="str">
        <f aca="false">INDEX(Daftar_Menu!$B$2:$B$13,MATCH(C1604,Daftar_Menu!$A$2:$A$13,0))</f>
        <v>Makanan</v>
      </c>
      <c r="I1604" s="2" t="str">
        <f aca="false">CHOOSE(WEEKDAY(B1604,2),"Senin","Selasa","Rabu","Kamis","Jumat","Sabtu","Minggu")</f>
        <v>Senin</v>
      </c>
      <c r="J1604" s="2" t="n">
        <f aca="false">HOUR(E1604)</f>
        <v>14</v>
      </c>
      <c r="K1604" s="2" t="str">
        <f aca="false">IF(J1604&lt;11,"Pagi",IF(J1604&lt;17,"Siang","Malam"))</f>
        <v>Siang</v>
      </c>
      <c r="L1604" s="2" t="n">
        <f aca="false">IF(A1604&lt;&gt;A1603,1,0)</f>
        <v>1</v>
      </c>
    </row>
    <row r="1605" customFormat="false" ht="15" hidden="false" customHeight="false" outlineLevel="0" collapsed="false">
      <c r="A1605" s="2" t="s">
        <v>1598</v>
      </c>
      <c r="B1605" s="13" t="n">
        <v>46286</v>
      </c>
      <c r="C1605" s="2" t="s">
        <v>84</v>
      </c>
      <c r="D1605" s="2" t="n">
        <v>1</v>
      </c>
      <c r="E1605" s="15" t="n">
        <v>0.619444444444445</v>
      </c>
      <c r="F1605" s="7" t="n">
        <v>5000</v>
      </c>
      <c r="G1605" s="7" t="n">
        <f aca="false">D1605*F1605</f>
        <v>5000</v>
      </c>
      <c r="H1605" s="2" t="str">
        <f aca="false">INDEX(Daftar_Menu!$B$2:$B$13,MATCH(C1605,Daftar_Menu!$A$2:$A$13,0))</f>
        <v>Minuman</v>
      </c>
      <c r="I1605" s="2" t="str">
        <f aca="false">CHOOSE(WEEKDAY(B1605,2),"Senin","Selasa","Rabu","Kamis","Jumat","Sabtu","Minggu")</f>
        <v>Senin</v>
      </c>
      <c r="J1605" s="2" t="n">
        <f aca="false">HOUR(E1605)</f>
        <v>14</v>
      </c>
      <c r="K1605" s="2" t="str">
        <f aca="false">IF(J1605&lt;11,"Pagi",IF(J1605&lt;17,"Siang","Malam"))</f>
        <v>Siang</v>
      </c>
      <c r="L1605" s="2" t="n">
        <f aca="false">IF(A1605&lt;&gt;A1604,1,0)</f>
        <v>0</v>
      </c>
    </row>
    <row r="1606" customFormat="false" ht="15" hidden="false" customHeight="false" outlineLevel="0" collapsed="false">
      <c r="A1606" s="2" t="s">
        <v>1600</v>
      </c>
      <c r="B1606" s="13" t="n">
        <v>46286</v>
      </c>
      <c r="C1606" s="2" t="s">
        <v>84</v>
      </c>
      <c r="D1606" s="2" t="n">
        <v>1</v>
      </c>
      <c r="E1606" s="15" t="n">
        <v>0.645138888888889</v>
      </c>
      <c r="F1606" s="7" t="n">
        <v>5000</v>
      </c>
      <c r="G1606" s="7" t="n">
        <f aca="false">D1606*F1606</f>
        <v>5000</v>
      </c>
      <c r="H1606" s="2" t="str">
        <f aca="false">INDEX(Daftar_Menu!$B$2:$B$13,MATCH(C1606,Daftar_Menu!$A$2:$A$13,0))</f>
        <v>Minuman</v>
      </c>
      <c r="I1606" s="2" t="str">
        <f aca="false">CHOOSE(WEEKDAY(B1606,2),"Senin","Selasa","Rabu","Kamis","Jumat","Sabtu","Minggu")</f>
        <v>Senin</v>
      </c>
      <c r="J1606" s="2" t="n">
        <f aca="false">HOUR(E1606)</f>
        <v>15</v>
      </c>
      <c r="K1606" s="2" t="str">
        <f aca="false">IF(J1606&lt;11,"Pagi",IF(J1606&lt;17,"Siang","Malam"))</f>
        <v>Siang</v>
      </c>
      <c r="L1606" s="2" t="n">
        <f aca="false">IF(A1606&lt;&gt;A1605,1,0)</f>
        <v>1</v>
      </c>
    </row>
    <row r="1607" customFormat="false" ht="15" hidden="false" customHeight="false" outlineLevel="0" collapsed="false">
      <c r="A1607" s="2" t="s">
        <v>1602</v>
      </c>
      <c r="B1607" s="13" t="n">
        <v>46286</v>
      </c>
      <c r="C1607" s="2" t="s">
        <v>186</v>
      </c>
      <c r="D1607" s="2" t="n">
        <v>1</v>
      </c>
      <c r="E1607" s="15" t="n">
        <v>0.647916666666667</v>
      </c>
      <c r="F1607" s="7" t="n">
        <v>7000</v>
      </c>
      <c r="G1607" s="7" t="n">
        <f aca="false">D1607*F1607</f>
        <v>7000</v>
      </c>
      <c r="H1607" s="2" t="str">
        <f aca="false">INDEX(Daftar_Menu!$B$2:$B$13,MATCH(C1607,Daftar_Menu!$A$2:$A$13,0))</f>
        <v>Minuman</v>
      </c>
      <c r="I1607" s="2" t="str">
        <f aca="false">CHOOSE(WEEKDAY(B1607,2),"Senin","Selasa","Rabu","Kamis","Jumat","Sabtu","Minggu")</f>
        <v>Senin</v>
      </c>
      <c r="J1607" s="2" t="n">
        <f aca="false">HOUR(E1607)</f>
        <v>15</v>
      </c>
      <c r="K1607" s="2" t="str">
        <f aca="false">IF(J1607&lt;11,"Pagi",IF(J1607&lt;17,"Siang","Malam"))</f>
        <v>Siang</v>
      </c>
      <c r="L1607" s="2" t="n">
        <f aca="false">IF(A1607&lt;&gt;A1606,1,0)</f>
        <v>1</v>
      </c>
    </row>
    <row r="1608" customFormat="false" ht="15" hidden="false" customHeight="false" outlineLevel="0" collapsed="false">
      <c r="A1608" s="2" t="s">
        <v>1603</v>
      </c>
      <c r="B1608" s="13" t="n">
        <v>46286</v>
      </c>
      <c r="C1608" s="2" t="s">
        <v>132</v>
      </c>
      <c r="D1608" s="2" t="n">
        <v>2</v>
      </c>
      <c r="E1608" s="15" t="n">
        <v>0.664583333333333</v>
      </c>
      <c r="F1608" s="7" t="n">
        <v>15000</v>
      </c>
      <c r="G1608" s="7" t="n">
        <f aca="false">D1608*F1608</f>
        <v>30000</v>
      </c>
      <c r="H1608" s="2" t="str">
        <f aca="false">INDEX(Daftar_Menu!$B$2:$B$13,MATCH(C1608,Daftar_Menu!$A$2:$A$13,0))</f>
        <v>Makanan</v>
      </c>
      <c r="I1608" s="2" t="str">
        <f aca="false">CHOOSE(WEEKDAY(B1608,2),"Senin","Selasa","Rabu","Kamis","Jumat","Sabtu","Minggu")</f>
        <v>Senin</v>
      </c>
      <c r="J1608" s="2" t="n">
        <f aca="false">HOUR(E1608)</f>
        <v>15</v>
      </c>
      <c r="K1608" s="2" t="str">
        <f aca="false">IF(J1608&lt;11,"Pagi",IF(J1608&lt;17,"Siang","Malam"))</f>
        <v>Siang</v>
      </c>
      <c r="L1608" s="2" t="n">
        <f aca="false">IF(A1608&lt;&gt;A1607,1,0)</f>
        <v>1</v>
      </c>
    </row>
    <row r="1609" customFormat="false" ht="15" hidden="false" customHeight="false" outlineLevel="0" collapsed="false">
      <c r="A1609" s="2" t="s">
        <v>1603</v>
      </c>
      <c r="B1609" s="13" t="n">
        <v>46286</v>
      </c>
      <c r="C1609" s="2" t="s">
        <v>81</v>
      </c>
      <c r="D1609" s="2" t="n">
        <v>2</v>
      </c>
      <c r="E1609" s="15" t="n">
        <v>0.664583333333333</v>
      </c>
      <c r="F1609" s="7" t="n">
        <v>15000</v>
      </c>
      <c r="G1609" s="7" t="n">
        <f aca="false">D1609*F1609</f>
        <v>30000</v>
      </c>
      <c r="H1609" s="2" t="str">
        <f aca="false">INDEX(Daftar_Menu!$B$2:$B$13,MATCH(C1609,Daftar_Menu!$A$2:$A$13,0))</f>
        <v>Makanan</v>
      </c>
      <c r="I1609" s="2" t="str">
        <f aca="false">CHOOSE(WEEKDAY(B1609,2),"Senin","Selasa","Rabu","Kamis","Jumat","Sabtu","Minggu")</f>
        <v>Senin</v>
      </c>
      <c r="J1609" s="2" t="n">
        <f aca="false">HOUR(E1609)</f>
        <v>15</v>
      </c>
      <c r="K1609" s="2" t="str">
        <f aca="false">IF(J1609&lt;11,"Pagi",IF(J1609&lt;17,"Siang","Malam"))</f>
        <v>Siang</v>
      </c>
      <c r="L1609" s="2" t="n">
        <f aca="false">IF(A1609&lt;&gt;A1608,1,0)</f>
        <v>0</v>
      </c>
    </row>
    <row r="1610" customFormat="false" ht="15" hidden="false" customHeight="false" outlineLevel="0" collapsed="false">
      <c r="A1610" s="2" t="s">
        <v>1605</v>
      </c>
      <c r="B1610" s="13" t="n">
        <v>46286</v>
      </c>
      <c r="C1610" s="2" t="s">
        <v>79</v>
      </c>
      <c r="D1610" s="2" t="n">
        <v>1</v>
      </c>
      <c r="E1610" s="15" t="n">
        <v>0.690972222222222</v>
      </c>
      <c r="F1610" s="7" t="n">
        <v>16000</v>
      </c>
      <c r="G1610" s="7" t="n">
        <f aca="false">D1610*F1610</f>
        <v>16000</v>
      </c>
      <c r="H1610" s="2" t="str">
        <f aca="false">INDEX(Daftar_Menu!$B$2:$B$13,MATCH(C1610,Daftar_Menu!$A$2:$A$13,0))</f>
        <v>Makanan</v>
      </c>
      <c r="I1610" s="2" t="str">
        <f aca="false">CHOOSE(WEEKDAY(B1610,2),"Senin","Selasa","Rabu","Kamis","Jumat","Sabtu","Minggu")</f>
        <v>Senin</v>
      </c>
      <c r="J1610" s="2" t="n">
        <f aca="false">HOUR(E1610)</f>
        <v>16</v>
      </c>
      <c r="K1610" s="2" t="str">
        <f aca="false">IF(J1610&lt;11,"Pagi",IF(J1610&lt;17,"Siang","Malam"))</f>
        <v>Siang</v>
      </c>
      <c r="L1610" s="2" t="n">
        <f aca="false">IF(A1610&lt;&gt;A1609,1,0)</f>
        <v>1</v>
      </c>
    </row>
    <row r="1611" customFormat="false" ht="15" hidden="false" customHeight="false" outlineLevel="0" collapsed="false">
      <c r="A1611" s="2" t="s">
        <v>1606</v>
      </c>
      <c r="B1611" s="13" t="n">
        <v>46286</v>
      </c>
      <c r="C1611" s="2" t="s">
        <v>101</v>
      </c>
      <c r="D1611" s="2" t="n">
        <v>2</v>
      </c>
      <c r="E1611" s="15" t="n">
        <v>0.693055555555556</v>
      </c>
      <c r="F1611" s="7" t="n">
        <v>18000</v>
      </c>
      <c r="G1611" s="7" t="n">
        <f aca="false">D1611*F1611</f>
        <v>36000</v>
      </c>
      <c r="H1611" s="2" t="str">
        <f aca="false">INDEX(Daftar_Menu!$B$2:$B$13,MATCH(C1611,Daftar_Menu!$A$2:$A$13,0))</f>
        <v>Makanan</v>
      </c>
      <c r="I1611" s="2" t="str">
        <f aca="false">CHOOSE(WEEKDAY(B1611,2),"Senin","Selasa","Rabu","Kamis","Jumat","Sabtu","Minggu")</f>
        <v>Senin</v>
      </c>
      <c r="J1611" s="2" t="n">
        <f aca="false">HOUR(E1611)</f>
        <v>16</v>
      </c>
      <c r="K1611" s="2" t="str">
        <f aca="false">IF(J1611&lt;11,"Pagi",IF(J1611&lt;17,"Siang","Malam"))</f>
        <v>Siang</v>
      </c>
      <c r="L1611" s="2" t="n">
        <f aca="false">IF(A1611&lt;&gt;A1610,1,0)</f>
        <v>1</v>
      </c>
    </row>
    <row r="1612" customFormat="false" ht="15" hidden="false" customHeight="false" outlineLevel="0" collapsed="false">
      <c r="A1612" s="2" t="s">
        <v>1606</v>
      </c>
      <c r="B1612" s="13" t="n">
        <v>46286</v>
      </c>
      <c r="C1612" s="2" t="s">
        <v>112</v>
      </c>
      <c r="D1612" s="2" t="n">
        <v>1</v>
      </c>
      <c r="E1612" s="15" t="n">
        <v>0.693055555555556</v>
      </c>
      <c r="F1612" s="7" t="n">
        <v>10000</v>
      </c>
      <c r="G1612" s="7" t="n">
        <f aca="false">D1612*F1612</f>
        <v>10000</v>
      </c>
      <c r="H1612" s="2" t="str">
        <f aca="false">INDEX(Daftar_Menu!$B$2:$B$13,MATCH(C1612,Daftar_Menu!$A$2:$A$13,0))</f>
        <v>Minuman</v>
      </c>
      <c r="I1612" s="2" t="str">
        <f aca="false">CHOOSE(WEEKDAY(B1612,2),"Senin","Selasa","Rabu","Kamis","Jumat","Sabtu","Minggu")</f>
        <v>Senin</v>
      </c>
      <c r="J1612" s="2" t="n">
        <f aca="false">HOUR(E1612)</f>
        <v>16</v>
      </c>
      <c r="K1612" s="2" t="str">
        <f aca="false">IF(J1612&lt;11,"Pagi",IF(J1612&lt;17,"Siang","Malam"))</f>
        <v>Siang</v>
      </c>
      <c r="L1612" s="2" t="n">
        <f aca="false">IF(A1612&lt;&gt;A1611,1,0)</f>
        <v>0</v>
      </c>
    </row>
    <row r="1613" customFormat="false" ht="15" hidden="false" customHeight="false" outlineLevel="0" collapsed="false">
      <c r="A1613" s="2" t="s">
        <v>1608</v>
      </c>
      <c r="B1613" s="13" t="n">
        <v>46286</v>
      </c>
      <c r="C1613" s="2" t="s">
        <v>89</v>
      </c>
      <c r="D1613" s="2" t="n">
        <v>1</v>
      </c>
      <c r="E1613" s="15" t="n">
        <v>0.705555555555556</v>
      </c>
      <c r="F1613" s="7" t="n">
        <v>14000</v>
      </c>
      <c r="G1613" s="7" t="n">
        <f aca="false">D1613*F1613</f>
        <v>14000</v>
      </c>
      <c r="H1613" s="2" t="str">
        <f aca="false">INDEX(Daftar_Menu!$B$2:$B$13,MATCH(C1613,Daftar_Menu!$A$2:$A$13,0))</f>
        <v>Makanan</v>
      </c>
      <c r="I1613" s="2" t="str">
        <f aca="false">CHOOSE(WEEKDAY(B1613,2),"Senin","Selasa","Rabu","Kamis","Jumat","Sabtu","Minggu")</f>
        <v>Senin</v>
      </c>
      <c r="J1613" s="2" t="n">
        <f aca="false">HOUR(E1613)</f>
        <v>16</v>
      </c>
      <c r="K1613" s="2" t="str">
        <f aca="false">IF(J1613&lt;11,"Pagi",IF(J1613&lt;17,"Siang","Malam"))</f>
        <v>Siang</v>
      </c>
      <c r="L1613" s="2" t="n">
        <f aca="false">IF(A1613&lt;&gt;A1612,1,0)</f>
        <v>1</v>
      </c>
    </row>
    <row r="1614" customFormat="false" ht="15" hidden="false" customHeight="false" outlineLevel="0" collapsed="false">
      <c r="A1614" s="2" t="s">
        <v>1608</v>
      </c>
      <c r="B1614" s="13" t="n">
        <v>46286</v>
      </c>
      <c r="C1614" s="2" t="s">
        <v>132</v>
      </c>
      <c r="D1614" s="2" t="n">
        <v>3</v>
      </c>
      <c r="E1614" s="15" t="n">
        <v>0.705555555555556</v>
      </c>
      <c r="F1614" s="7" t="n">
        <v>15000</v>
      </c>
      <c r="G1614" s="7" t="n">
        <f aca="false">D1614*F1614</f>
        <v>45000</v>
      </c>
      <c r="H1614" s="2" t="str">
        <f aca="false">INDEX(Daftar_Menu!$B$2:$B$13,MATCH(C1614,Daftar_Menu!$A$2:$A$13,0))</f>
        <v>Makanan</v>
      </c>
      <c r="I1614" s="2" t="str">
        <f aca="false">CHOOSE(WEEKDAY(B1614,2),"Senin","Selasa","Rabu","Kamis","Jumat","Sabtu","Minggu")</f>
        <v>Senin</v>
      </c>
      <c r="J1614" s="2" t="n">
        <f aca="false">HOUR(E1614)</f>
        <v>16</v>
      </c>
      <c r="K1614" s="2" t="str">
        <f aca="false">IF(J1614&lt;11,"Pagi",IF(J1614&lt;17,"Siang","Malam"))</f>
        <v>Siang</v>
      </c>
      <c r="L1614" s="2" t="n">
        <f aca="false">IF(A1614&lt;&gt;A1613,1,0)</f>
        <v>0</v>
      </c>
    </row>
    <row r="1615" customFormat="false" ht="15" hidden="false" customHeight="false" outlineLevel="0" collapsed="false">
      <c r="A1615" s="2" t="s">
        <v>1609</v>
      </c>
      <c r="B1615" s="13" t="n">
        <v>46286</v>
      </c>
      <c r="C1615" s="2" t="s">
        <v>84</v>
      </c>
      <c r="D1615" s="2" t="n">
        <v>1</v>
      </c>
      <c r="E1615" s="15" t="n">
        <v>0.715972222222222</v>
      </c>
      <c r="F1615" s="7" t="n">
        <v>5000</v>
      </c>
      <c r="G1615" s="7" t="n">
        <f aca="false">D1615*F1615</f>
        <v>5000</v>
      </c>
      <c r="H1615" s="2" t="str">
        <f aca="false">INDEX(Daftar_Menu!$B$2:$B$13,MATCH(C1615,Daftar_Menu!$A$2:$A$13,0))</f>
        <v>Minuman</v>
      </c>
      <c r="I1615" s="2" t="str">
        <f aca="false">CHOOSE(WEEKDAY(B1615,2),"Senin","Selasa","Rabu","Kamis","Jumat","Sabtu","Minggu")</f>
        <v>Senin</v>
      </c>
      <c r="J1615" s="2" t="n">
        <f aca="false">HOUR(E1615)</f>
        <v>17</v>
      </c>
      <c r="K1615" s="2" t="str">
        <f aca="false">IF(J1615&lt;11,"Pagi",IF(J1615&lt;17,"Siang","Malam"))</f>
        <v>Malam</v>
      </c>
      <c r="L1615" s="2" t="n">
        <f aca="false">IF(A1615&lt;&gt;A1614,1,0)</f>
        <v>1</v>
      </c>
    </row>
    <row r="1616" customFormat="false" ht="15" hidden="false" customHeight="false" outlineLevel="0" collapsed="false">
      <c r="A1616" s="2" t="s">
        <v>1610</v>
      </c>
      <c r="B1616" s="13" t="n">
        <v>46286</v>
      </c>
      <c r="C1616" s="2" t="s">
        <v>101</v>
      </c>
      <c r="D1616" s="2" t="n">
        <v>1</v>
      </c>
      <c r="E1616" s="15" t="n">
        <v>0.722916666666667</v>
      </c>
      <c r="F1616" s="7" t="n">
        <v>18000</v>
      </c>
      <c r="G1616" s="7" t="n">
        <f aca="false">D1616*F1616</f>
        <v>18000</v>
      </c>
      <c r="H1616" s="2" t="str">
        <f aca="false">INDEX(Daftar_Menu!$B$2:$B$13,MATCH(C1616,Daftar_Menu!$A$2:$A$13,0))</f>
        <v>Makanan</v>
      </c>
      <c r="I1616" s="2" t="str">
        <f aca="false">CHOOSE(WEEKDAY(B1616,2),"Senin","Selasa","Rabu","Kamis","Jumat","Sabtu","Minggu")</f>
        <v>Senin</v>
      </c>
      <c r="J1616" s="2" t="n">
        <f aca="false">HOUR(E1616)</f>
        <v>17</v>
      </c>
      <c r="K1616" s="2" t="str">
        <f aca="false">IF(J1616&lt;11,"Pagi",IF(J1616&lt;17,"Siang","Malam"))</f>
        <v>Malam</v>
      </c>
      <c r="L1616" s="2" t="n">
        <f aca="false">IF(A1616&lt;&gt;A1615,1,0)</f>
        <v>1</v>
      </c>
    </row>
    <row r="1617" customFormat="false" ht="15" hidden="false" customHeight="false" outlineLevel="0" collapsed="false">
      <c r="A1617" s="2" t="s">
        <v>1611</v>
      </c>
      <c r="B1617" s="13" t="n">
        <v>46286</v>
      </c>
      <c r="C1617" s="2" t="s">
        <v>89</v>
      </c>
      <c r="D1617" s="2" t="n">
        <v>2</v>
      </c>
      <c r="E1617" s="15" t="n">
        <v>0.750694444444444</v>
      </c>
      <c r="F1617" s="7" t="n">
        <v>14000</v>
      </c>
      <c r="G1617" s="7" t="n">
        <f aca="false">D1617*F1617</f>
        <v>28000</v>
      </c>
      <c r="H1617" s="2" t="str">
        <f aca="false">INDEX(Daftar_Menu!$B$2:$B$13,MATCH(C1617,Daftar_Menu!$A$2:$A$13,0))</f>
        <v>Makanan</v>
      </c>
      <c r="I1617" s="2" t="str">
        <f aca="false">CHOOSE(WEEKDAY(B1617,2),"Senin","Selasa","Rabu","Kamis","Jumat","Sabtu","Minggu")</f>
        <v>Senin</v>
      </c>
      <c r="J1617" s="2" t="n">
        <f aca="false">HOUR(E1617)</f>
        <v>18</v>
      </c>
      <c r="K1617" s="2" t="str">
        <f aca="false">IF(J1617&lt;11,"Pagi",IF(J1617&lt;17,"Siang","Malam"))</f>
        <v>Malam</v>
      </c>
      <c r="L1617" s="2" t="n">
        <f aca="false">IF(A1617&lt;&gt;A1616,1,0)</f>
        <v>1</v>
      </c>
    </row>
    <row r="1618" customFormat="false" ht="15" hidden="false" customHeight="false" outlineLevel="0" collapsed="false">
      <c r="A1618" s="2" t="s">
        <v>1611</v>
      </c>
      <c r="B1618" s="13" t="n">
        <v>46286</v>
      </c>
      <c r="C1618" s="2" t="s">
        <v>112</v>
      </c>
      <c r="D1618" s="2" t="n">
        <v>2</v>
      </c>
      <c r="E1618" s="15" t="n">
        <v>0.750694444444444</v>
      </c>
      <c r="F1618" s="7" t="n">
        <v>10000</v>
      </c>
      <c r="G1618" s="7" t="n">
        <f aca="false">D1618*F1618</f>
        <v>20000</v>
      </c>
      <c r="H1618" s="2" t="str">
        <f aca="false">INDEX(Daftar_Menu!$B$2:$B$13,MATCH(C1618,Daftar_Menu!$A$2:$A$13,0))</f>
        <v>Minuman</v>
      </c>
      <c r="I1618" s="2" t="str">
        <f aca="false">CHOOSE(WEEKDAY(B1618,2),"Senin","Selasa","Rabu","Kamis","Jumat","Sabtu","Minggu")</f>
        <v>Senin</v>
      </c>
      <c r="J1618" s="2" t="n">
        <f aca="false">HOUR(E1618)</f>
        <v>18</v>
      </c>
      <c r="K1618" s="2" t="str">
        <f aca="false">IF(J1618&lt;11,"Pagi",IF(J1618&lt;17,"Siang","Malam"))</f>
        <v>Malam</v>
      </c>
      <c r="L1618" s="2" t="n">
        <f aca="false">IF(A1618&lt;&gt;A1617,1,0)</f>
        <v>0</v>
      </c>
    </row>
    <row r="1619" customFormat="false" ht="15" hidden="false" customHeight="false" outlineLevel="0" collapsed="false">
      <c r="A1619" s="2" t="s">
        <v>1612</v>
      </c>
      <c r="B1619" s="13" t="n">
        <v>46286</v>
      </c>
      <c r="C1619" s="2" t="s">
        <v>126</v>
      </c>
      <c r="D1619" s="2" t="n">
        <v>1</v>
      </c>
      <c r="E1619" s="15" t="n">
        <v>0.751388888888889</v>
      </c>
      <c r="F1619" s="7" t="n">
        <v>3000</v>
      </c>
      <c r="G1619" s="7" t="n">
        <f aca="false">D1619*F1619</f>
        <v>3000</v>
      </c>
      <c r="H1619" s="2" t="str">
        <f aca="false">INDEX(Daftar_Menu!$B$2:$B$13,MATCH(C1619,Daftar_Menu!$A$2:$A$13,0))</f>
        <v>Minuman</v>
      </c>
      <c r="I1619" s="2" t="str">
        <f aca="false">CHOOSE(WEEKDAY(B1619,2),"Senin","Selasa","Rabu","Kamis","Jumat","Sabtu","Minggu")</f>
        <v>Senin</v>
      </c>
      <c r="J1619" s="2" t="n">
        <f aca="false">HOUR(E1619)</f>
        <v>18</v>
      </c>
      <c r="K1619" s="2" t="str">
        <f aca="false">IF(J1619&lt;11,"Pagi",IF(J1619&lt;17,"Siang","Malam"))</f>
        <v>Malam</v>
      </c>
      <c r="L1619" s="2" t="n">
        <f aca="false">IF(A1619&lt;&gt;A1618,1,0)</f>
        <v>1</v>
      </c>
    </row>
    <row r="1620" customFormat="false" ht="15" hidden="false" customHeight="false" outlineLevel="0" collapsed="false">
      <c r="A1620" s="2" t="s">
        <v>1612</v>
      </c>
      <c r="B1620" s="13" t="n">
        <v>46286</v>
      </c>
      <c r="C1620" s="2" t="s">
        <v>92</v>
      </c>
      <c r="D1620" s="2" t="n">
        <v>1</v>
      </c>
      <c r="E1620" s="15" t="n">
        <v>0.751388888888889</v>
      </c>
      <c r="F1620" s="7" t="n">
        <v>4000</v>
      </c>
      <c r="G1620" s="7" t="n">
        <f aca="false">D1620*F1620</f>
        <v>4000</v>
      </c>
      <c r="H1620" s="2" t="str">
        <f aca="false">INDEX(Daftar_Menu!$B$2:$B$13,MATCH(C1620,Daftar_Menu!$A$2:$A$13,0))</f>
        <v>Minuman</v>
      </c>
      <c r="I1620" s="2" t="str">
        <f aca="false">CHOOSE(WEEKDAY(B1620,2),"Senin","Selasa","Rabu","Kamis","Jumat","Sabtu","Minggu")</f>
        <v>Senin</v>
      </c>
      <c r="J1620" s="2" t="n">
        <f aca="false">HOUR(E1620)</f>
        <v>18</v>
      </c>
      <c r="K1620" s="2" t="str">
        <f aca="false">IF(J1620&lt;11,"Pagi",IF(J1620&lt;17,"Siang","Malam"))</f>
        <v>Malam</v>
      </c>
      <c r="L1620" s="2" t="n">
        <f aca="false">IF(A1620&lt;&gt;A1619,1,0)</f>
        <v>0</v>
      </c>
    </row>
    <row r="1621" customFormat="false" ht="15" hidden="false" customHeight="false" outlineLevel="0" collapsed="false">
      <c r="A1621" s="2" t="s">
        <v>1613</v>
      </c>
      <c r="B1621" s="13" t="n">
        <v>46286</v>
      </c>
      <c r="C1621" s="2" t="s">
        <v>132</v>
      </c>
      <c r="D1621" s="2" t="n">
        <v>1</v>
      </c>
      <c r="E1621" s="15" t="n">
        <v>0.755555555555556</v>
      </c>
      <c r="F1621" s="7" t="n">
        <v>15000</v>
      </c>
      <c r="G1621" s="7" t="n">
        <f aca="false">D1621*F1621</f>
        <v>15000</v>
      </c>
      <c r="H1621" s="2" t="str">
        <f aca="false">INDEX(Daftar_Menu!$B$2:$B$13,MATCH(C1621,Daftar_Menu!$A$2:$A$13,0))</f>
        <v>Makanan</v>
      </c>
      <c r="I1621" s="2" t="str">
        <f aca="false">CHOOSE(WEEKDAY(B1621,2),"Senin","Selasa","Rabu","Kamis","Jumat","Sabtu","Minggu")</f>
        <v>Senin</v>
      </c>
      <c r="J1621" s="2" t="n">
        <f aca="false">HOUR(E1621)</f>
        <v>18</v>
      </c>
      <c r="K1621" s="2" t="str">
        <f aca="false">IF(J1621&lt;11,"Pagi",IF(J1621&lt;17,"Siang","Malam"))</f>
        <v>Malam</v>
      </c>
      <c r="L1621" s="2" t="n">
        <f aca="false">IF(A1621&lt;&gt;A1620,1,0)</f>
        <v>1</v>
      </c>
    </row>
    <row r="1622" customFormat="false" ht="15" hidden="false" customHeight="false" outlineLevel="0" collapsed="false">
      <c r="A1622" s="2" t="s">
        <v>1613</v>
      </c>
      <c r="B1622" s="13" t="n">
        <v>46286</v>
      </c>
      <c r="C1622" s="2" t="s">
        <v>81</v>
      </c>
      <c r="D1622" s="2" t="n">
        <v>2</v>
      </c>
      <c r="E1622" s="15" t="n">
        <v>0.755555555555556</v>
      </c>
      <c r="F1622" s="7" t="n">
        <v>15000</v>
      </c>
      <c r="G1622" s="7" t="n">
        <f aca="false">D1622*F1622</f>
        <v>30000</v>
      </c>
      <c r="H1622" s="2" t="str">
        <f aca="false">INDEX(Daftar_Menu!$B$2:$B$13,MATCH(C1622,Daftar_Menu!$A$2:$A$13,0))</f>
        <v>Makanan</v>
      </c>
      <c r="I1622" s="2" t="str">
        <f aca="false">CHOOSE(WEEKDAY(B1622,2),"Senin","Selasa","Rabu","Kamis","Jumat","Sabtu","Minggu")</f>
        <v>Senin</v>
      </c>
      <c r="J1622" s="2" t="n">
        <f aca="false">HOUR(E1622)</f>
        <v>18</v>
      </c>
      <c r="K1622" s="2" t="str">
        <f aca="false">IF(J1622&lt;11,"Pagi",IF(J1622&lt;17,"Siang","Malam"))</f>
        <v>Malam</v>
      </c>
      <c r="L1622" s="2" t="n">
        <f aca="false">IF(A1622&lt;&gt;A1621,1,0)</f>
        <v>0</v>
      </c>
    </row>
    <row r="1623" customFormat="false" ht="15" hidden="false" customHeight="false" outlineLevel="0" collapsed="false">
      <c r="A1623" s="2" t="s">
        <v>1613</v>
      </c>
      <c r="B1623" s="13" t="n">
        <v>46286</v>
      </c>
      <c r="C1623" s="2" t="s">
        <v>186</v>
      </c>
      <c r="D1623" s="2" t="n">
        <v>1</v>
      </c>
      <c r="E1623" s="15" t="n">
        <v>0.755555555555556</v>
      </c>
      <c r="F1623" s="7" t="n">
        <v>7000</v>
      </c>
      <c r="G1623" s="7" t="n">
        <f aca="false">D1623*F1623</f>
        <v>7000</v>
      </c>
      <c r="H1623" s="2" t="str">
        <f aca="false">INDEX(Daftar_Menu!$B$2:$B$13,MATCH(C1623,Daftar_Menu!$A$2:$A$13,0))</f>
        <v>Minuman</v>
      </c>
      <c r="I1623" s="2" t="str">
        <f aca="false">CHOOSE(WEEKDAY(B1623,2),"Senin","Selasa","Rabu","Kamis","Jumat","Sabtu","Minggu")</f>
        <v>Senin</v>
      </c>
      <c r="J1623" s="2" t="n">
        <f aca="false">HOUR(E1623)</f>
        <v>18</v>
      </c>
      <c r="K1623" s="2" t="str">
        <f aca="false">IF(J1623&lt;11,"Pagi",IF(J1623&lt;17,"Siang","Malam"))</f>
        <v>Malam</v>
      </c>
      <c r="L1623" s="2" t="n">
        <f aca="false">IF(A1623&lt;&gt;A1622,1,0)</f>
        <v>0</v>
      </c>
    </row>
    <row r="1624" customFormat="false" ht="15" hidden="false" customHeight="false" outlineLevel="0" collapsed="false">
      <c r="A1624" s="2" t="s">
        <v>1614</v>
      </c>
      <c r="B1624" s="13" t="n">
        <v>46286</v>
      </c>
      <c r="C1624" s="2" t="s">
        <v>89</v>
      </c>
      <c r="D1624" s="2" t="n">
        <v>3</v>
      </c>
      <c r="E1624" s="15" t="n">
        <v>0.763194444444444</v>
      </c>
      <c r="F1624" s="7" t="n">
        <v>14000</v>
      </c>
      <c r="G1624" s="7" t="n">
        <f aca="false">D1624*F1624</f>
        <v>42000</v>
      </c>
      <c r="H1624" s="2" t="str">
        <f aca="false">INDEX(Daftar_Menu!$B$2:$B$13,MATCH(C1624,Daftar_Menu!$A$2:$A$13,0))</f>
        <v>Makanan</v>
      </c>
      <c r="I1624" s="2" t="str">
        <f aca="false">CHOOSE(WEEKDAY(B1624,2),"Senin","Selasa","Rabu","Kamis","Jumat","Sabtu","Minggu")</f>
        <v>Senin</v>
      </c>
      <c r="J1624" s="2" t="n">
        <f aca="false">HOUR(E1624)</f>
        <v>18</v>
      </c>
      <c r="K1624" s="2" t="str">
        <f aca="false">IF(J1624&lt;11,"Pagi",IF(J1624&lt;17,"Siang","Malam"))</f>
        <v>Malam</v>
      </c>
      <c r="L1624" s="2" t="n">
        <f aca="false">IF(A1624&lt;&gt;A1623,1,0)</f>
        <v>1</v>
      </c>
    </row>
    <row r="1625" customFormat="false" ht="15" hidden="false" customHeight="false" outlineLevel="0" collapsed="false">
      <c r="A1625" s="2" t="s">
        <v>1614</v>
      </c>
      <c r="B1625" s="13" t="n">
        <v>46286</v>
      </c>
      <c r="C1625" s="2" t="s">
        <v>112</v>
      </c>
      <c r="D1625" s="2" t="n">
        <v>1</v>
      </c>
      <c r="E1625" s="15" t="n">
        <v>0.763194444444444</v>
      </c>
      <c r="F1625" s="7" t="n">
        <v>10000</v>
      </c>
      <c r="G1625" s="7" t="n">
        <f aca="false">D1625*F1625</f>
        <v>10000</v>
      </c>
      <c r="H1625" s="2" t="str">
        <f aca="false">INDEX(Daftar_Menu!$B$2:$B$13,MATCH(C1625,Daftar_Menu!$A$2:$A$13,0))</f>
        <v>Minuman</v>
      </c>
      <c r="I1625" s="2" t="str">
        <f aca="false">CHOOSE(WEEKDAY(B1625,2),"Senin","Selasa","Rabu","Kamis","Jumat","Sabtu","Minggu")</f>
        <v>Senin</v>
      </c>
      <c r="J1625" s="2" t="n">
        <f aca="false">HOUR(E1625)</f>
        <v>18</v>
      </c>
      <c r="K1625" s="2" t="str">
        <f aca="false">IF(J1625&lt;11,"Pagi",IF(J1625&lt;17,"Siang","Malam"))</f>
        <v>Malam</v>
      </c>
      <c r="L1625" s="2" t="n">
        <f aca="false">IF(A1625&lt;&gt;A1624,1,0)</f>
        <v>0</v>
      </c>
    </row>
    <row r="1626" customFormat="false" ht="15" hidden="false" customHeight="false" outlineLevel="0" collapsed="false">
      <c r="A1626" s="2" t="s">
        <v>1615</v>
      </c>
      <c r="B1626" s="13" t="n">
        <v>46286</v>
      </c>
      <c r="C1626" s="2" t="s">
        <v>186</v>
      </c>
      <c r="D1626" s="2" t="n">
        <v>2</v>
      </c>
      <c r="E1626" s="15" t="n">
        <v>0.772916666666667</v>
      </c>
      <c r="F1626" s="7" t="n">
        <v>7000</v>
      </c>
      <c r="G1626" s="7" t="n">
        <f aca="false">D1626*F1626</f>
        <v>14000</v>
      </c>
      <c r="H1626" s="2" t="str">
        <f aca="false">INDEX(Daftar_Menu!$B$2:$B$13,MATCH(C1626,Daftar_Menu!$A$2:$A$13,0))</f>
        <v>Minuman</v>
      </c>
      <c r="I1626" s="2" t="str">
        <f aca="false">CHOOSE(WEEKDAY(B1626,2),"Senin","Selasa","Rabu","Kamis","Jumat","Sabtu","Minggu")</f>
        <v>Senin</v>
      </c>
      <c r="J1626" s="2" t="n">
        <f aca="false">HOUR(E1626)</f>
        <v>18</v>
      </c>
      <c r="K1626" s="2" t="str">
        <f aca="false">IF(J1626&lt;11,"Pagi",IF(J1626&lt;17,"Siang","Malam"))</f>
        <v>Malam</v>
      </c>
      <c r="L1626" s="2" t="n">
        <f aca="false">IF(A1626&lt;&gt;A1625,1,0)</f>
        <v>1</v>
      </c>
    </row>
    <row r="1627" customFormat="false" ht="15" hidden="false" customHeight="false" outlineLevel="0" collapsed="false">
      <c r="A1627" s="2" t="s">
        <v>1616</v>
      </c>
      <c r="B1627" s="13" t="n">
        <v>46286</v>
      </c>
      <c r="C1627" s="2" t="s">
        <v>81</v>
      </c>
      <c r="D1627" s="2" t="n">
        <v>2</v>
      </c>
      <c r="E1627" s="15" t="n">
        <v>0.775</v>
      </c>
      <c r="F1627" s="7" t="n">
        <v>15000</v>
      </c>
      <c r="G1627" s="7" t="n">
        <f aca="false">D1627*F1627</f>
        <v>30000</v>
      </c>
      <c r="H1627" s="2" t="str">
        <f aca="false">INDEX(Daftar_Menu!$B$2:$B$13,MATCH(C1627,Daftar_Menu!$A$2:$A$13,0))</f>
        <v>Makanan</v>
      </c>
      <c r="I1627" s="2" t="str">
        <f aca="false">CHOOSE(WEEKDAY(B1627,2),"Senin","Selasa","Rabu","Kamis","Jumat","Sabtu","Minggu")</f>
        <v>Senin</v>
      </c>
      <c r="J1627" s="2" t="n">
        <f aca="false">HOUR(E1627)</f>
        <v>18</v>
      </c>
      <c r="K1627" s="2" t="str">
        <f aca="false">IF(J1627&lt;11,"Pagi",IF(J1627&lt;17,"Siang","Malam"))</f>
        <v>Malam</v>
      </c>
      <c r="L1627" s="2" t="n">
        <f aca="false">IF(A1627&lt;&gt;A1626,1,0)</f>
        <v>1</v>
      </c>
    </row>
    <row r="1628" customFormat="false" ht="15" hidden="false" customHeight="false" outlineLevel="0" collapsed="false">
      <c r="A1628" s="2" t="s">
        <v>1616</v>
      </c>
      <c r="B1628" s="13" t="n">
        <v>46286</v>
      </c>
      <c r="C1628" s="2" t="s">
        <v>108</v>
      </c>
      <c r="D1628" s="2" t="n">
        <v>1</v>
      </c>
      <c r="E1628" s="15" t="n">
        <v>0.775</v>
      </c>
      <c r="F1628" s="7" t="n">
        <v>20000</v>
      </c>
      <c r="G1628" s="7" t="n">
        <f aca="false">D1628*F1628</f>
        <v>20000</v>
      </c>
      <c r="H1628" s="2" t="str">
        <f aca="false">INDEX(Daftar_Menu!$B$2:$B$13,MATCH(C1628,Daftar_Menu!$A$2:$A$13,0))</f>
        <v>Makanan</v>
      </c>
      <c r="I1628" s="2" t="str">
        <f aca="false">CHOOSE(WEEKDAY(B1628,2),"Senin","Selasa","Rabu","Kamis","Jumat","Sabtu","Minggu")</f>
        <v>Senin</v>
      </c>
      <c r="J1628" s="2" t="n">
        <f aca="false">HOUR(E1628)</f>
        <v>18</v>
      </c>
      <c r="K1628" s="2" t="str">
        <f aca="false">IF(J1628&lt;11,"Pagi",IF(J1628&lt;17,"Siang","Malam"))</f>
        <v>Malam</v>
      </c>
      <c r="L1628" s="2" t="n">
        <f aca="false">IF(A1628&lt;&gt;A1627,1,0)</f>
        <v>0</v>
      </c>
    </row>
    <row r="1629" customFormat="false" ht="15" hidden="false" customHeight="false" outlineLevel="0" collapsed="false">
      <c r="A1629" s="2" t="s">
        <v>1616</v>
      </c>
      <c r="B1629" s="13" t="n">
        <v>46286</v>
      </c>
      <c r="C1629" s="2" t="s">
        <v>84</v>
      </c>
      <c r="D1629" s="2" t="n">
        <v>2</v>
      </c>
      <c r="E1629" s="15" t="n">
        <v>0.775</v>
      </c>
      <c r="F1629" s="7" t="n">
        <v>5000</v>
      </c>
      <c r="G1629" s="7" t="n">
        <f aca="false">D1629*F1629</f>
        <v>10000</v>
      </c>
      <c r="H1629" s="2" t="str">
        <f aca="false">INDEX(Daftar_Menu!$B$2:$B$13,MATCH(C1629,Daftar_Menu!$A$2:$A$13,0))</f>
        <v>Minuman</v>
      </c>
      <c r="I1629" s="2" t="str">
        <f aca="false">CHOOSE(WEEKDAY(B1629,2),"Senin","Selasa","Rabu","Kamis","Jumat","Sabtu","Minggu")</f>
        <v>Senin</v>
      </c>
      <c r="J1629" s="2" t="n">
        <f aca="false">HOUR(E1629)</f>
        <v>18</v>
      </c>
      <c r="K1629" s="2" t="str">
        <f aca="false">IF(J1629&lt;11,"Pagi",IF(J1629&lt;17,"Siang","Malam"))</f>
        <v>Malam</v>
      </c>
      <c r="L1629" s="2" t="n">
        <f aca="false">IF(A1629&lt;&gt;A1628,1,0)</f>
        <v>0</v>
      </c>
    </row>
    <row r="1630" customFormat="false" ht="15" hidden="false" customHeight="false" outlineLevel="0" collapsed="false">
      <c r="A1630" s="2" t="s">
        <v>1617</v>
      </c>
      <c r="B1630" s="13" t="n">
        <v>46286</v>
      </c>
      <c r="C1630" s="2" t="s">
        <v>92</v>
      </c>
      <c r="D1630" s="2" t="n">
        <v>1</v>
      </c>
      <c r="E1630" s="15" t="n">
        <v>0.777777777777778</v>
      </c>
      <c r="F1630" s="7" t="n">
        <v>4000</v>
      </c>
      <c r="G1630" s="7" t="n">
        <f aca="false">D1630*F1630</f>
        <v>4000</v>
      </c>
      <c r="H1630" s="2" t="str">
        <f aca="false">INDEX(Daftar_Menu!$B$2:$B$13,MATCH(C1630,Daftar_Menu!$A$2:$A$13,0))</f>
        <v>Minuman</v>
      </c>
      <c r="I1630" s="2" t="str">
        <f aca="false">CHOOSE(WEEKDAY(B1630,2),"Senin","Selasa","Rabu","Kamis","Jumat","Sabtu","Minggu")</f>
        <v>Senin</v>
      </c>
      <c r="J1630" s="2" t="n">
        <f aca="false">HOUR(E1630)</f>
        <v>18</v>
      </c>
      <c r="K1630" s="2" t="str">
        <f aca="false">IF(J1630&lt;11,"Pagi",IF(J1630&lt;17,"Siang","Malam"))</f>
        <v>Malam</v>
      </c>
      <c r="L1630" s="2" t="n">
        <f aca="false">IF(A1630&lt;&gt;A1629,1,0)</f>
        <v>1</v>
      </c>
    </row>
    <row r="1631" customFormat="false" ht="15" hidden="false" customHeight="false" outlineLevel="0" collapsed="false">
      <c r="A1631" s="2" t="s">
        <v>1617</v>
      </c>
      <c r="B1631" s="13" t="n">
        <v>46286</v>
      </c>
      <c r="C1631" s="2" t="s">
        <v>84</v>
      </c>
      <c r="D1631" s="2" t="n">
        <v>1</v>
      </c>
      <c r="E1631" s="15" t="n">
        <v>0.777777777777778</v>
      </c>
      <c r="F1631" s="7" t="n">
        <v>5000</v>
      </c>
      <c r="G1631" s="7" t="n">
        <f aca="false">D1631*F1631</f>
        <v>5000</v>
      </c>
      <c r="H1631" s="2" t="str">
        <f aca="false">INDEX(Daftar_Menu!$B$2:$B$13,MATCH(C1631,Daftar_Menu!$A$2:$A$13,0))</f>
        <v>Minuman</v>
      </c>
      <c r="I1631" s="2" t="str">
        <f aca="false">CHOOSE(WEEKDAY(B1631,2),"Senin","Selasa","Rabu","Kamis","Jumat","Sabtu","Minggu")</f>
        <v>Senin</v>
      </c>
      <c r="J1631" s="2" t="n">
        <f aca="false">HOUR(E1631)</f>
        <v>18</v>
      </c>
      <c r="K1631" s="2" t="str">
        <f aca="false">IF(J1631&lt;11,"Pagi",IF(J1631&lt;17,"Siang","Malam"))</f>
        <v>Malam</v>
      </c>
      <c r="L1631" s="2" t="n">
        <f aca="false">IF(A1631&lt;&gt;A1630,1,0)</f>
        <v>0</v>
      </c>
    </row>
    <row r="1632" customFormat="false" ht="15" hidden="false" customHeight="false" outlineLevel="0" collapsed="false">
      <c r="A1632" s="2" t="s">
        <v>1618</v>
      </c>
      <c r="B1632" s="13" t="n">
        <v>46286</v>
      </c>
      <c r="C1632" s="2" t="s">
        <v>84</v>
      </c>
      <c r="D1632" s="2" t="n">
        <v>2</v>
      </c>
      <c r="E1632" s="15" t="n">
        <v>0.779861111111111</v>
      </c>
      <c r="F1632" s="7" t="n">
        <v>5000</v>
      </c>
      <c r="G1632" s="7" t="n">
        <f aca="false">D1632*F1632</f>
        <v>10000</v>
      </c>
      <c r="H1632" s="2" t="str">
        <f aca="false">INDEX(Daftar_Menu!$B$2:$B$13,MATCH(C1632,Daftar_Menu!$A$2:$A$13,0))</f>
        <v>Minuman</v>
      </c>
      <c r="I1632" s="2" t="str">
        <f aca="false">CHOOSE(WEEKDAY(B1632,2),"Senin","Selasa","Rabu","Kamis","Jumat","Sabtu","Minggu")</f>
        <v>Senin</v>
      </c>
      <c r="J1632" s="2" t="n">
        <f aca="false">HOUR(E1632)</f>
        <v>18</v>
      </c>
      <c r="K1632" s="2" t="str">
        <f aca="false">IF(J1632&lt;11,"Pagi",IF(J1632&lt;17,"Siang","Malam"))</f>
        <v>Malam</v>
      </c>
      <c r="L1632" s="2" t="n">
        <f aca="false">IF(A1632&lt;&gt;A1631,1,0)</f>
        <v>1</v>
      </c>
    </row>
    <row r="1633" customFormat="false" ht="15" hidden="false" customHeight="false" outlineLevel="0" collapsed="false">
      <c r="A1633" s="2" t="s">
        <v>1619</v>
      </c>
      <c r="B1633" s="13" t="n">
        <v>46286</v>
      </c>
      <c r="C1633" s="2" t="s">
        <v>82</v>
      </c>
      <c r="D1633" s="2" t="n">
        <v>1</v>
      </c>
      <c r="E1633" s="15" t="n">
        <v>0.781944444444444</v>
      </c>
      <c r="F1633" s="7" t="n">
        <v>13000</v>
      </c>
      <c r="G1633" s="7" t="n">
        <f aca="false">D1633*F1633</f>
        <v>13000</v>
      </c>
      <c r="H1633" s="2" t="str">
        <f aca="false">INDEX(Daftar_Menu!$B$2:$B$13,MATCH(C1633,Daftar_Menu!$A$2:$A$13,0))</f>
        <v>Makanan</v>
      </c>
      <c r="I1633" s="2" t="str">
        <f aca="false">CHOOSE(WEEKDAY(B1633,2),"Senin","Selasa","Rabu","Kamis","Jumat","Sabtu","Minggu")</f>
        <v>Senin</v>
      </c>
      <c r="J1633" s="2" t="n">
        <f aca="false">HOUR(E1633)</f>
        <v>18</v>
      </c>
      <c r="K1633" s="2" t="str">
        <f aca="false">IF(J1633&lt;11,"Pagi",IF(J1633&lt;17,"Siang","Malam"))</f>
        <v>Malam</v>
      </c>
      <c r="L1633" s="2" t="n">
        <f aca="false">IF(A1633&lt;&gt;A1632,1,0)</f>
        <v>1</v>
      </c>
    </row>
    <row r="1634" customFormat="false" ht="15" hidden="false" customHeight="false" outlineLevel="0" collapsed="false">
      <c r="A1634" s="2" t="s">
        <v>1619</v>
      </c>
      <c r="B1634" s="13" t="n">
        <v>46286</v>
      </c>
      <c r="C1634" s="2" t="s">
        <v>81</v>
      </c>
      <c r="D1634" s="2" t="n">
        <v>1</v>
      </c>
      <c r="E1634" s="15" t="n">
        <v>0.781944444444444</v>
      </c>
      <c r="F1634" s="7" t="n">
        <v>15000</v>
      </c>
      <c r="G1634" s="7" t="n">
        <f aca="false">D1634*F1634</f>
        <v>15000</v>
      </c>
      <c r="H1634" s="2" t="str">
        <f aca="false">INDEX(Daftar_Menu!$B$2:$B$13,MATCH(C1634,Daftar_Menu!$A$2:$A$13,0))</f>
        <v>Makanan</v>
      </c>
      <c r="I1634" s="2" t="str">
        <f aca="false">CHOOSE(WEEKDAY(B1634,2),"Senin","Selasa","Rabu","Kamis","Jumat","Sabtu","Minggu")</f>
        <v>Senin</v>
      </c>
      <c r="J1634" s="2" t="n">
        <f aca="false">HOUR(E1634)</f>
        <v>18</v>
      </c>
      <c r="K1634" s="2" t="str">
        <f aca="false">IF(J1634&lt;11,"Pagi",IF(J1634&lt;17,"Siang","Malam"))</f>
        <v>Malam</v>
      </c>
      <c r="L1634" s="2" t="n">
        <f aca="false">IF(A1634&lt;&gt;A1633,1,0)</f>
        <v>0</v>
      </c>
    </row>
    <row r="1635" customFormat="false" ht="15" hidden="false" customHeight="false" outlineLevel="0" collapsed="false">
      <c r="A1635" s="2" t="s">
        <v>1621</v>
      </c>
      <c r="B1635" s="13" t="n">
        <v>46286</v>
      </c>
      <c r="C1635" s="2" t="s">
        <v>89</v>
      </c>
      <c r="D1635" s="2" t="n">
        <v>1</v>
      </c>
      <c r="E1635" s="15" t="n">
        <v>0.790277777777778</v>
      </c>
      <c r="F1635" s="7" t="n">
        <v>14000</v>
      </c>
      <c r="G1635" s="7" t="n">
        <f aca="false">D1635*F1635</f>
        <v>14000</v>
      </c>
      <c r="H1635" s="2" t="str">
        <f aca="false">INDEX(Daftar_Menu!$B$2:$B$13,MATCH(C1635,Daftar_Menu!$A$2:$A$13,0))</f>
        <v>Makanan</v>
      </c>
      <c r="I1635" s="2" t="str">
        <f aca="false">CHOOSE(WEEKDAY(B1635,2),"Senin","Selasa","Rabu","Kamis","Jumat","Sabtu","Minggu")</f>
        <v>Senin</v>
      </c>
      <c r="J1635" s="2" t="n">
        <f aca="false">HOUR(E1635)</f>
        <v>18</v>
      </c>
      <c r="K1635" s="2" t="str">
        <f aca="false">IF(J1635&lt;11,"Pagi",IF(J1635&lt;17,"Siang","Malam"))</f>
        <v>Malam</v>
      </c>
      <c r="L1635" s="2" t="n">
        <f aca="false">IF(A1635&lt;&gt;A1634,1,0)</f>
        <v>1</v>
      </c>
    </row>
    <row r="1636" customFormat="false" ht="15" hidden="false" customHeight="false" outlineLevel="0" collapsed="false">
      <c r="A1636" s="2" t="s">
        <v>1622</v>
      </c>
      <c r="B1636" s="13" t="n">
        <v>46286</v>
      </c>
      <c r="C1636" s="2" t="s">
        <v>132</v>
      </c>
      <c r="D1636" s="2" t="n">
        <v>1</v>
      </c>
      <c r="E1636" s="15" t="n">
        <v>0.793055555555556</v>
      </c>
      <c r="F1636" s="7" t="n">
        <v>15000</v>
      </c>
      <c r="G1636" s="7" t="n">
        <f aca="false">D1636*F1636</f>
        <v>15000</v>
      </c>
      <c r="H1636" s="2" t="str">
        <f aca="false">INDEX(Daftar_Menu!$B$2:$B$13,MATCH(C1636,Daftar_Menu!$A$2:$A$13,0))</f>
        <v>Makanan</v>
      </c>
      <c r="I1636" s="2" t="str">
        <f aca="false">CHOOSE(WEEKDAY(B1636,2),"Senin","Selasa","Rabu","Kamis","Jumat","Sabtu","Minggu")</f>
        <v>Senin</v>
      </c>
      <c r="J1636" s="2" t="n">
        <f aca="false">HOUR(E1636)</f>
        <v>19</v>
      </c>
      <c r="K1636" s="2" t="str">
        <f aca="false">IF(J1636&lt;11,"Pagi",IF(J1636&lt;17,"Siang","Malam"))</f>
        <v>Malam</v>
      </c>
      <c r="L1636" s="2" t="n">
        <f aca="false">IF(A1636&lt;&gt;A1635,1,0)</f>
        <v>1</v>
      </c>
    </row>
    <row r="1637" customFormat="false" ht="15" hidden="false" customHeight="false" outlineLevel="0" collapsed="false">
      <c r="A1637" s="2" t="s">
        <v>1622</v>
      </c>
      <c r="B1637" s="13" t="n">
        <v>46286</v>
      </c>
      <c r="C1637" s="2" t="s">
        <v>79</v>
      </c>
      <c r="D1637" s="2" t="n">
        <v>1</v>
      </c>
      <c r="E1637" s="15" t="n">
        <v>0.793055555555556</v>
      </c>
      <c r="F1637" s="7" t="n">
        <v>16000</v>
      </c>
      <c r="G1637" s="7" t="n">
        <f aca="false">D1637*F1637</f>
        <v>16000</v>
      </c>
      <c r="H1637" s="2" t="str">
        <f aca="false">INDEX(Daftar_Menu!$B$2:$B$13,MATCH(C1637,Daftar_Menu!$A$2:$A$13,0))</f>
        <v>Makanan</v>
      </c>
      <c r="I1637" s="2" t="str">
        <f aca="false">CHOOSE(WEEKDAY(B1637,2),"Senin","Selasa","Rabu","Kamis","Jumat","Sabtu","Minggu")</f>
        <v>Senin</v>
      </c>
      <c r="J1637" s="2" t="n">
        <f aca="false">HOUR(E1637)</f>
        <v>19</v>
      </c>
      <c r="K1637" s="2" t="str">
        <f aca="false">IF(J1637&lt;11,"Pagi",IF(J1637&lt;17,"Siang","Malam"))</f>
        <v>Malam</v>
      </c>
      <c r="L1637" s="2" t="n">
        <f aca="false">IF(A1637&lt;&gt;A1636,1,0)</f>
        <v>0</v>
      </c>
    </row>
    <row r="1638" customFormat="false" ht="15" hidden="false" customHeight="false" outlineLevel="0" collapsed="false">
      <c r="A1638" s="2" t="s">
        <v>1622</v>
      </c>
      <c r="B1638" s="13" t="n">
        <v>46286</v>
      </c>
      <c r="C1638" s="2" t="s">
        <v>84</v>
      </c>
      <c r="D1638" s="2" t="n">
        <v>2</v>
      </c>
      <c r="E1638" s="15" t="n">
        <v>0.793055555555556</v>
      </c>
      <c r="F1638" s="7" t="n">
        <v>5000</v>
      </c>
      <c r="G1638" s="7" t="n">
        <f aca="false">D1638*F1638</f>
        <v>10000</v>
      </c>
      <c r="H1638" s="2" t="str">
        <f aca="false">INDEX(Daftar_Menu!$B$2:$B$13,MATCH(C1638,Daftar_Menu!$A$2:$A$13,0))</f>
        <v>Minuman</v>
      </c>
      <c r="I1638" s="2" t="str">
        <f aca="false">CHOOSE(WEEKDAY(B1638,2),"Senin","Selasa","Rabu","Kamis","Jumat","Sabtu","Minggu")</f>
        <v>Senin</v>
      </c>
      <c r="J1638" s="2" t="n">
        <f aca="false">HOUR(E1638)</f>
        <v>19</v>
      </c>
      <c r="K1638" s="2" t="str">
        <f aca="false">IF(J1638&lt;11,"Pagi",IF(J1638&lt;17,"Siang","Malam"))</f>
        <v>Malam</v>
      </c>
      <c r="L1638" s="2" t="n">
        <f aca="false">IF(A1638&lt;&gt;A1637,1,0)</f>
        <v>0</v>
      </c>
    </row>
    <row r="1639" customFormat="false" ht="15" hidden="false" customHeight="false" outlineLevel="0" collapsed="false">
      <c r="A1639" s="2" t="s">
        <v>1623</v>
      </c>
      <c r="B1639" s="13" t="n">
        <v>46286</v>
      </c>
      <c r="C1639" s="2" t="s">
        <v>112</v>
      </c>
      <c r="D1639" s="2" t="n">
        <v>2</v>
      </c>
      <c r="E1639" s="15" t="n">
        <v>0.800694444444445</v>
      </c>
      <c r="F1639" s="7" t="n">
        <v>10000</v>
      </c>
      <c r="G1639" s="7" t="n">
        <f aca="false">D1639*F1639</f>
        <v>20000</v>
      </c>
      <c r="H1639" s="2" t="str">
        <f aca="false">INDEX(Daftar_Menu!$B$2:$B$13,MATCH(C1639,Daftar_Menu!$A$2:$A$13,0))</f>
        <v>Minuman</v>
      </c>
      <c r="I1639" s="2" t="str">
        <f aca="false">CHOOSE(WEEKDAY(B1639,2),"Senin","Selasa","Rabu","Kamis","Jumat","Sabtu","Minggu")</f>
        <v>Senin</v>
      </c>
      <c r="J1639" s="2" t="n">
        <f aca="false">HOUR(E1639)</f>
        <v>19</v>
      </c>
      <c r="K1639" s="2" t="str">
        <f aca="false">IF(J1639&lt;11,"Pagi",IF(J1639&lt;17,"Siang","Malam"))</f>
        <v>Malam</v>
      </c>
      <c r="L1639" s="2" t="n">
        <f aca="false">IF(A1639&lt;&gt;A1638,1,0)</f>
        <v>1</v>
      </c>
    </row>
    <row r="1640" customFormat="false" ht="15" hidden="false" customHeight="false" outlineLevel="0" collapsed="false">
      <c r="A1640" s="2" t="s">
        <v>1623</v>
      </c>
      <c r="B1640" s="13" t="n">
        <v>46286</v>
      </c>
      <c r="C1640" s="2" t="s">
        <v>92</v>
      </c>
      <c r="D1640" s="2" t="n">
        <v>1</v>
      </c>
      <c r="E1640" s="15" t="n">
        <v>0.800694444444445</v>
      </c>
      <c r="F1640" s="7" t="n">
        <v>4000</v>
      </c>
      <c r="G1640" s="7" t="n">
        <f aca="false">D1640*F1640</f>
        <v>4000</v>
      </c>
      <c r="H1640" s="2" t="str">
        <f aca="false">INDEX(Daftar_Menu!$B$2:$B$13,MATCH(C1640,Daftar_Menu!$A$2:$A$13,0))</f>
        <v>Minuman</v>
      </c>
      <c r="I1640" s="2" t="str">
        <f aca="false">CHOOSE(WEEKDAY(B1640,2),"Senin","Selasa","Rabu","Kamis","Jumat","Sabtu","Minggu")</f>
        <v>Senin</v>
      </c>
      <c r="J1640" s="2" t="n">
        <f aca="false">HOUR(E1640)</f>
        <v>19</v>
      </c>
      <c r="K1640" s="2" t="str">
        <f aca="false">IF(J1640&lt;11,"Pagi",IF(J1640&lt;17,"Siang","Malam"))</f>
        <v>Malam</v>
      </c>
      <c r="L1640" s="2" t="n">
        <f aca="false">IF(A1640&lt;&gt;A1639,1,0)</f>
        <v>0</v>
      </c>
    </row>
    <row r="1641" customFormat="false" ht="15" hidden="false" customHeight="false" outlineLevel="0" collapsed="false">
      <c r="A1641" s="2" t="s">
        <v>1624</v>
      </c>
      <c r="B1641" s="13" t="n">
        <v>46286</v>
      </c>
      <c r="C1641" s="2" t="s">
        <v>79</v>
      </c>
      <c r="D1641" s="2" t="n">
        <v>1</v>
      </c>
      <c r="E1641" s="15" t="n">
        <v>0.808333333333333</v>
      </c>
      <c r="F1641" s="7" t="n">
        <v>16000</v>
      </c>
      <c r="G1641" s="7" t="n">
        <f aca="false">D1641*F1641</f>
        <v>16000</v>
      </c>
      <c r="H1641" s="2" t="str">
        <f aca="false">INDEX(Daftar_Menu!$B$2:$B$13,MATCH(C1641,Daftar_Menu!$A$2:$A$13,0))</f>
        <v>Makanan</v>
      </c>
      <c r="I1641" s="2" t="str">
        <f aca="false">CHOOSE(WEEKDAY(B1641,2),"Senin","Selasa","Rabu","Kamis","Jumat","Sabtu","Minggu")</f>
        <v>Senin</v>
      </c>
      <c r="J1641" s="2" t="n">
        <f aca="false">HOUR(E1641)</f>
        <v>19</v>
      </c>
      <c r="K1641" s="2" t="str">
        <f aca="false">IF(J1641&lt;11,"Pagi",IF(J1641&lt;17,"Siang","Malam"))</f>
        <v>Malam</v>
      </c>
      <c r="L1641" s="2" t="n">
        <f aca="false">IF(A1641&lt;&gt;A1640,1,0)</f>
        <v>1</v>
      </c>
    </row>
    <row r="1642" customFormat="false" ht="15" hidden="false" customHeight="false" outlineLevel="0" collapsed="false">
      <c r="A1642" s="2" t="s">
        <v>1624</v>
      </c>
      <c r="B1642" s="13" t="n">
        <v>46286</v>
      </c>
      <c r="C1642" s="2" t="s">
        <v>108</v>
      </c>
      <c r="D1642" s="2" t="n">
        <v>3</v>
      </c>
      <c r="E1642" s="15" t="n">
        <v>0.808333333333333</v>
      </c>
      <c r="F1642" s="7" t="n">
        <v>20000</v>
      </c>
      <c r="G1642" s="7" t="n">
        <f aca="false">D1642*F1642</f>
        <v>60000</v>
      </c>
      <c r="H1642" s="2" t="str">
        <f aca="false">INDEX(Daftar_Menu!$B$2:$B$13,MATCH(C1642,Daftar_Menu!$A$2:$A$13,0))</f>
        <v>Makanan</v>
      </c>
      <c r="I1642" s="2" t="str">
        <f aca="false">CHOOSE(WEEKDAY(B1642,2),"Senin","Selasa","Rabu","Kamis","Jumat","Sabtu","Minggu")</f>
        <v>Senin</v>
      </c>
      <c r="J1642" s="2" t="n">
        <f aca="false">HOUR(E1642)</f>
        <v>19</v>
      </c>
      <c r="K1642" s="2" t="str">
        <f aca="false">IF(J1642&lt;11,"Pagi",IF(J1642&lt;17,"Siang","Malam"))</f>
        <v>Malam</v>
      </c>
      <c r="L1642" s="2" t="n">
        <f aca="false">IF(A1642&lt;&gt;A1641,1,0)</f>
        <v>0</v>
      </c>
    </row>
    <row r="1643" customFormat="false" ht="15" hidden="false" customHeight="false" outlineLevel="0" collapsed="false">
      <c r="A1643" s="2" t="s">
        <v>1624</v>
      </c>
      <c r="B1643" s="13" t="n">
        <v>46286</v>
      </c>
      <c r="C1643" s="2" t="s">
        <v>84</v>
      </c>
      <c r="D1643" s="2" t="n">
        <v>1</v>
      </c>
      <c r="E1643" s="15" t="n">
        <v>0.808333333333333</v>
      </c>
      <c r="F1643" s="7" t="n">
        <v>5000</v>
      </c>
      <c r="G1643" s="7" t="n">
        <f aca="false">D1643*F1643</f>
        <v>5000</v>
      </c>
      <c r="H1643" s="2" t="str">
        <f aca="false">INDEX(Daftar_Menu!$B$2:$B$13,MATCH(C1643,Daftar_Menu!$A$2:$A$13,0))</f>
        <v>Minuman</v>
      </c>
      <c r="I1643" s="2" t="str">
        <f aca="false">CHOOSE(WEEKDAY(B1643,2),"Senin","Selasa","Rabu","Kamis","Jumat","Sabtu","Minggu")</f>
        <v>Senin</v>
      </c>
      <c r="J1643" s="2" t="n">
        <f aca="false">HOUR(E1643)</f>
        <v>19</v>
      </c>
      <c r="K1643" s="2" t="str">
        <f aca="false">IF(J1643&lt;11,"Pagi",IF(J1643&lt;17,"Siang","Malam"))</f>
        <v>Malam</v>
      </c>
      <c r="L1643" s="2" t="n">
        <f aca="false">IF(A1643&lt;&gt;A1642,1,0)</f>
        <v>0</v>
      </c>
    </row>
    <row r="1644" customFormat="false" ht="15" hidden="false" customHeight="false" outlineLevel="0" collapsed="false">
      <c r="A1644" s="2" t="s">
        <v>1626</v>
      </c>
      <c r="B1644" s="13" t="n">
        <v>46286</v>
      </c>
      <c r="C1644" s="2" t="s">
        <v>108</v>
      </c>
      <c r="D1644" s="2" t="n">
        <v>1</v>
      </c>
      <c r="E1644" s="15" t="n">
        <v>0.809027777777778</v>
      </c>
      <c r="F1644" s="7" t="n">
        <v>20000</v>
      </c>
      <c r="G1644" s="7" t="n">
        <f aca="false">D1644*F1644</f>
        <v>20000</v>
      </c>
      <c r="H1644" s="2" t="str">
        <f aca="false">INDEX(Daftar_Menu!$B$2:$B$13,MATCH(C1644,Daftar_Menu!$A$2:$A$13,0))</f>
        <v>Makanan</v>
      </c>
      <c r="I1644" s="2" t="str">
        <f aca="false">CHOOSE(WEEKDAY(B1644,2),"Senin","Selasa","Rabu","Kamis","Jumat","Sabtu","Minggu")</f>
        <v>Senin</v>
      </c>
      <c r="J1644" s="2" t="n">
        <f aca="false">HOUR(E1644)</f>
        <v>19</v>
      </c>
      <c r="K1644" s="2" t="str">
        <f aca="false">IF(J1644&lt;11,"Pagi",IF(J1644&lt;17,"Siang","Malam"))</f>
        <v>Malam</v>
      </c>
      <c r="L1644" s="2" t="n">
        <f aca="false">IF(A1644&lt;&gt;A1643,1,0)</f>
        <v>1</v>
      </c>
    </row>
    <row r="1645" customFormat="false" ht="15" hidden="false" customHeight="false" outlineLevel="0" collapsed="false">
      <c r="A1645" s="2" t="s">
        <v>1627</v>
      </c>
      <c r="B1645" s="13" t="n">
        <v>46286</v>
      </c>
      <c r="C1645" s="2" t="s">
        <v>101</v>
      </c>
      <c r="D1645" s="2" t="n">
        <v>1</v>
      </c>
      <c r="E1645" s="15" t="n">
        <v>0.826388888888889</v>
      </c>
      <c r="F1645" s="7" t="n">
        <v>18000</v>
      </c>
      <c r="G1645" s="7" t="n">
        <f aca="false">D1645*F1645</f>
        <v>18000</v>
      </c>
      <c r="H1645" s="2" t="str">
        <f aca="false">INDEX(Daftar_Menu!$B$2:$B$13,MATCH(C1645,Daftar_Menu!$A$2:$A$13,0))</f>
        <v>Makanan</v>
      </c>
      <c r="I1645" s="2" t="str">
        <f aca="false">CHOOSE(WEEKDAY(B1645,2),"Senin","Selasa","Rabu","Kamis","Jumat","Sabtu","Minggu")</f>
        <v>Senin</v>
      </c>
      <c r="J1645" s="2" t="n">
        <f aca="false">HOUR(E1645)</f>
        <v>19</v>
      </c>
      <c r="K1645" s="2" t="str">
        <f aca="false">IF(J1645&lt;11,"Pagi",IF(J1645&lt;17,"Siang","Malam"))</f>
        <v>Malam</v>
      </c>
      <c r="L1645" s="2" t="n">
        <f aca="false">IF(A1645&lt;&gt;A1644,1,0)</f>
        <v>1</v>
      </c>
    </row>
    <row r="1646" customFormat="false" ht="15" hidden="false" customHeight="false" outlineLevel="0" collapsed="false">
      <c r="A1646" s="2" t="s">
        <v>1627</v>
      </c>
      <c r="B1646" s="13" t="n">
        <v>46286</v>
      </c>
      <c r="C1646" s="2" t="s">
        <v>81</v>
      </c>
      <c r="D1646" s="2" t="n">
        <v>1</v>
      </c>
      <c r="E1646" s="15" t="n">
        <v>0.826388888888889</v>
      </c>
      <c r="F1646" s="7" t="n">
        <v>15000</v>
      </c>
      <c r="G1646" s="7" t="n">
        <f aca="false">D1646*F1646</f>
        <v>15000</v>
      </c>
      <c r="H1646" s="2" t="str">
        <f aca="false">INDEX(Daftar_Menu!$B$2:$B$13,MATCH(C1646,Daftar_Menu!$A$2:$A$13,0))</f>
        <v>Makanan</v>
      </c>
      <c r="I1646" s="2" t="str">
        <f aca="false">CHOOSE(WEEKDAY(B1646,2),"Senin","Selasa","Rabu","Kamis","Jumat","Sabtu","Minggu")</f>
        <v>Senin</v>
      </c>
      <c r="J1646" s="2" t="n">
        <f aca="false">HOUR(E1646)</f>
        <v>19</v>
      </c>
      <c r="K1646" s="2" t="str">
        <f aca="false">IF(J1646&lt;11,"Pagi",IF(J1646&lt;17,"Siang","Malam"))</f>
        <v>Malam</v>
      </c>
      <c r="L1646" s="2" t="n">
        <f aca="false">IF(A1646&lt;&gt;A1645,1,0)</f>
        <v>0</v>
      </c>
    </row>
    <row r="1647" customFormat="false" ht="15" hidden="false" customHeight="false" outlineLevel="0" collapsed="false">
      <c r="A1647" s="2" t="s">
        <v>1628</v>
      </c>
      <c r="B1647" s="13" t="n">
        <v>46286</v>
      </c>
      <c r="C1647" s="2" t="s">
        <v>101</v>
      </c>
      <c r="D1647" s="2" t="n">
        <v>1</v>
      </c>
      <c r="E1647" s="15" t="n">
        <v>0.833333333333333</v>
      </c>
      <c r="F1647" s="7" t="n">
        <v>18000</v>
      </c>
      <c r="G1647" s="7" t="n">
        <f aca="false">D1647*F1647</f>
        <v>18000</v>
      </c>
      <c r="H1647" s="2" t="str">
        <f aca="false">INDEX(Daftar_Menu!$B$2:$B$13,MATCH(C1647,Daftar_Menu!$A$2:$A$13,0))</f>
        <v>Makanan</v>
      </c>
      <c r="I1647" s="2" t="str">
        <f aca="false">CHOOSE(WEEKDAY(B1647,2),"Senin","Selasa","Rabu","Kamis","Jumat","Sabtu","Minggu")</f>
        <v>Senin</v>
      </c>
      <c r="J1647" s="2" t="n">
        <f aca="false">HOUR(E1647)</f>
        <v>20</v>
      </c>
      <c r="K1647" s="2" t="str">
        <f aca="false">IF(J1647&lt;11,"Pagi",IF(J1647&lt;17,"Siang","Malam"))</f>
        <v>Malam</v>
      </c>
      <c r="L1647" s="2" t="n">
        <f aca="false">IF(A1647&lt;&gt;A1646,1,0)</f>
        <v>1</v>
      </c>
    </row>
    <row r="1648" customFormat="false" ht="15" hidden="false" customHeight="false" outlineLevel="0" collapsed="false">
      <c r="A1648" s="2" t="s">
        <v>1630</v>
      </c>
      <c r="B1648" s="13" t="n">
        <v>46286</v>
      </c>
      <c r="C1648" s="2" t="s">
        <v>84</v>
      </c>
      <c r="D1648" s="2" t="n">
        <v>1</v>
      </c>
      <c r="E1648" s="15" t="n">
        <v>0.838194444444445</v>
      </c>
      <c r="F1648" s="7" t="n">
        <v>5000</v>
      </c>
      <c r="G1648" s="7" t="n">
        <f aca="false">D1648*F1648</f>
        <v>5000</v>
      </c>
      <c r="H1648" s="2" t="str">
        <f aca="false">INDEX(Daftar_Menu!$B$2:$B$13,MATCH(C1648,Daftar_Menu!$A$2:$A$13,0))</f>
        <v>Minuman</v>
      </c>
      <c r="I1648" s="2" t="str">
        <f aca="false">CHOOSE(WEEKDAY(B1648,2),"Senin","Selasa","Rabu","Kamis","Jumat","Sabtu","Minggu")</f>
        <v>Senin</v>
      </c>
      <c r="J1648" s="2" t="n">
        <f aca="false">HOUR(E1648)</f>
        <v>20</v>
      </c>
      <c r="K1648" s="2" t="str">
        <f aca="false">IF(J1648&lt;11,"Pagi",IF(J1648&lt;17,"Siang","Malam"))</f>
        <v>Malam</v>
      </c>
      <c r="L1648" s="2" t="n">
        <f aca="false">IF(A1648&lt;&gt;A1647,1,0)</f>
        <v>1</v>
      </c>
    </row>
    <row r="1649" customFormat="false" ht="15" hidden="false" customHeight="false" outlineLevel="0" collapsed="false">
      <c r="A1649" s="2" t="s">
        <v>1630</v>
      </c>
      <c r="B1649" s="13" t="n">
        <v>46286</v>
      </c>
      <c r="C1649" s="2" t="s">
        <v>92</v>
      </c>
      <c r="D1649" s="2" t="n">
        <v>1</v>
      </c>
      <c r="E1649" s="15" t="n">
        <v>0.838194444444445</v>
      </c>
      <c r="F1649" s="7" t="n">
        <v>4000</v>
      </c>
      <c r="G1649" s="7" t="n">
        <f aca="false">D1649*F1649</f>
        <v>4000</v>
      </c>
      <c r="H1649" s="2" t="str">
        <f aca="false">INDEX(Daftar_Menu!$B$2:$B$13,MATCH(C1649,Daftar_Menu!$A$2:$A$13,0))</f>
        <v>Minuman</v>
      </c>
      <c r="I1649" s="2" t="str">
        <f aca="false">CHOOSE(WEEKDAY(B1649,2),"Senin","Selasa","Rabu","Kamis","Jumat","Sabtu","Minggu")</f>
        <v>Senin</v>
      </c>
      <c r="J1649" s="2" t="n">
        <f aca="false">HOUR(E1649)</f>
        <v>20</v>
      </c>
      <c r="K1649" s="2" t="str">
        <f aca="false">IF(J1649&lt;11,"Pagi",IF(J1649&lt;17,"Siang","Malam"))</f>
        <v>Malam</v>
      </c>
      <c r="L1649" s="2" t="n">
        <f aca="false">IF(A1649&lt;&gt;A1648,1,0)</f>
        <v>0</v>
      </c>
    </row>
    <row r="1650" customFormat="false" ht="15" hidden="false" customHeight="false" outlineLevel="0" collapsed="false">
      <c r="A1650" s="2" t="s">
        <v>1632</v>
      </c>
      <c r="B1650" s="13" t="n">
        <v>46286</v>
      </c>
      <c r="C1650" s="2" t="s">
        <v>84</v>
      </c>
      <c r="D1650" s="2" t="n">
        <v>1</v>
      </c>
      <c r="E1650" s="15" t="n">
        <v>0.850694444444444</v>
      </c>
      <c r="F1650" s="7" t="n">
        <v>5000</v>
      </c>
      <c r="G1650" s="7" t="n">
        <f aca="false">D1650*F1650</f>
        <v>5000</v>
      </c>
      <c r="H1650" s="2" t="str">
        <f aca="false">INDEX(Daftar_Menu!$B$2:$B$13,MATCH(C1650,Daftar_Menu!$A$2:$A$13,0))</f>
        <v>Minuman</v>
      </c>
      <c r="I1650" s="2" t="str">
        <f aca="false">CHOOSE(WEEKDAY(B1650,2),"Senin","Selasa","Rabu","Kamis","Jumat","Sabtu","Minggu")</f>
        <v>Senin</v>
      </c>
      <c r="J1650" s="2" t="n">
        <f aca="false">HOUR(E1650)</f>
        <v>20</v>
      </c>
      <c r="K1650" s="2" t="str">
        <f aca="false">IF(J1650&lt;11,"Pagi",IF(J1650&lt;17,"Siang","Malam"))</f>
        <v>Malam</v>
      </c>
      <c r="L1650" s="2" t="n">
        <f aca="false">IF(A1650&lt;&gt;A1649,1,0)</f>
        <v>1</v>
      </c>
    </row>
    <row r="1651" customFormat="false" ht="15" hidden="false" customHeight="false" outlineLevel="0" collapsed="false">
      <c r="A1651" s="2" t="s">
        <v>1633</v>
      </c>
      <c r="B1651" s="13" t="n">
        <v>46286</v>
      </c>
      <c r="C1651" s="2" t="s">
        <v>92</v>
      </c>
      <c r="D1651" s="2" t="n">
        <v>2</v>
      </c>
      <c r="E1651" s="15" t="n">
        <v>0.850694444444444</v>
      </c>
      <c r="F1651" s="7" t="n">
        <v>4000</v>
      </c>
      <c r="G1651" s="7" t="n">
        <f aca="false">D1651*F1651</f>
        <v>8000</v>
      </c>
      <c r="H1651" s="2" t="str">
        <f aca="false">INDEX(Daftar_Menu!$B$2:$B$13,MATCH(C1651,Daftar_Menu!$A$2:$A$13,0))</f>
        <v>Minuman</v>
      </c>
      <c r="I1651" s="2" t="str">
        <f aca="false">CHOOSE(WEEKDAY(B1651,2),"Senin","Selasa","Rabu","Kamis","Jumat","Sabtu","Minggu")</f>
        <v>Senin</v>
      </c>
      <c r="J1651" s="2" t="n">
        <f aca="false">HOUR(E1651)</f>
        <v>20</v>
      </c>
      <c r="K1651" s="2" t="str">
        <f aca="false">IF(J1651&lt;11,"Pagi",IF(J1651&lt;17,"Siang","Malam"))</f>
        <v>Malam</v>
      </c>
      <c r="L1651" s="2" t="n">
        <f aca="false">IF(A1651&lt;&gt;A1650,1,0)</f>
        <v>1</v>
      </c>
    </row>
    <row r="1652" customFormat="false" ht="15" hidden="false" customHeight="false" outlineLevel="0" collapsed="false">
      <c r="A1652" s="2" t="s">
        <v>1633</v>
      </c>
      <c r="B1652" s="13" t="n">
        <v>46286</v>
      </c>
      <c r="C1652" s="2" t="s">
        <v>108</v>
      </c>
      <c r="D1652" s="2" t="n">
        <v>2</v>
      </c>
      <c r="E1652" s="15" t="n">
        <v>0.850694444444444</v>
      </c>
      <c r="F1652" s="7" t="n">
        <v>20000</v>
      </c>
      <c r="G1652" s="7" t="n">
        <f aca="false">D1652*F1652</f>
        <v>40000</v>
      </c>
      <c r="H1652" s="2" t="str">
        <f aca="false">INDEX(Daftar_Menu!$B$2:$B$13,MATCH(C1652,Daftar_Menu!$A$2:$A$13,0))</f>
        <v>Makanan</v>
      </c>
      <c r="I1652" s="2" t="str">
        <f aca="false">CHOOSE(WEEKDAY(B1652,2),"Senin","Selasa","Rabu","Kamis","Jumat","Sabtu","Minggu")</f>
        <v>Senin</v>
      </c>
      <c r="J1652" s="2" t="n">
        <f aca="false">HOUR(E1652)</f>
        <v>20</v>
      </c>
      <c r="K1652" s="2" t="str">
        <f aca="false">IF(J1652&lt;11,"Pagi",IF(J1652&lt;17,"Siang","Malam"))</f>
        <v>Malam</v>
      </c>
      <c r="L1652" s="2" t="n">
        <f aca="false">IF(A1652&lt;&gt;A1651,1,0)</f>
        <v>0</v>
      </c>
    </row>
    <row r="1653" customFormat="false" ht="15" hidden="false" customHeight="false" outlineLevel="0" collapsed="false">
      <c r="A1653" s="2" t="s">
        <v>1634</v>
      </c>
      <c r="B1653" s="13" t="n">
        <v>46286</v>
      </c>
      <c r="C1653" s="2" t="s">
        <v>82</v>
      </c>
      <c r="D1653" s="2" t="n">
        <v>3</v>
      </c>
      <c r="E1653" s="15" t="n">
        <v>0.861805555555556</v>
      </c>
      <c r="F1653" s="7" t="n">
        <v>13000</v>
      </c>
      <c r="G1653" s="7" t="n">
        <f aca="false">D1653*F1653</f>
        <v>39000</v>
      </c>
      <c r="H1653" s="2" t="str">
        <f aca="false">INDEX(Daftar_Menu!$B$2:$B$13,MATCH(C1653,Daftar_Menu!$A$2:$A$13,0))</f>
        <v>Makanan</v>
      </c>
      <c r="I1653" s="2" t="str">
        <f aca="false">CHOOSE(WEEKDAY(B1653,2),"Senin","Selasa","Rabu","Kamis","Jumat","Sabtu","Minggu")</f>
        <v>Senin</v>
      </c>
      <c r="J1653" s="2" t="n">
        <f aca="false">HOUR(E1653)</f>
        <v>20</v>
      </c>
      <c r="K1653" s="2" t="str">
        <f aca="false">IF(J1653&lt;11,"Pagi",IF(J1653&lt;17,"Siang","Malam"))</f>
        <v>Malam</v>
      </c>
      <c r="L1653" s="2" t="n">
        <f aca="false">IF(A1653&lt;&gt;A1652,1,0)</f>
        <v>1</v>
      </c>
    </row>
    <row r="1654" customFormat="false" ht="15" hidden="false" customHeight="false" outlineLevel="0" collapsed="false">
      <c r="A1654" s="2" t="s">
        <v>1634</v>
      </c>
      <c r="B1654" s="13" t="n">
        <v>46286</v>
      </c>
      <c r="C1654" s="2" t="s">
        <v>79</v>
      </c>
      <c r="D1654" s="2" t="n">
        <v>1</v>
      </c>
      <c r="E1654" s="15" t="n">
        <v>0.861805555555556</v>
      </c>
      <c r="F1654" s="7" t="n">
        <v>16000</v>
      </c>
      <c r="G1654" s="7" t="n">
        <f aca="false">D1654*F1654</f>
        <v>16000</v>
      </c>
      <c r="H1654" s="2" t="str">
        <f aca="false">INDEX(Daftar_Menu!$B$2:$B$13,MATCH(C1654,Daftar_Menu!$A$2:$A$13,0))</f>
        <v>Makanan</v>
      </c>
      <c r="I1654" s="2" t="str">
        <f aca="false">CHOOSE(WEEKDAY(B1654,2),"Senin","Selasa","Rabu","Kamis","Jumat","Sabtu","Minggu")</f>
        <v>Senin</v>
      </c>
      <c r="J1654" s="2" t="n">
        <f aca="false">HOUR(E1654)</f>
        <v>20</v>
      </c>
      <c r="K1654" s="2" t="str">
        <f aca="false">IF(J1654&lt;11,"Pagi",IF(J1654&lt;17,"Siang","Malam"))</f>
        <v>Malam</v>
      </c>
      <c r="L1654" s="2" t="n">
        <f aca="false">IF(A1654&lt;&gt;A1653,1,0)</f>
        <v>0</v>
      </c>
    </row>
    <row r="1655" customFormat="false" ht="15" hidden="false" customHeight="false" outlineLevel="0" collapsed="false">
      <c r="A1655" s="2" t="s">
        <v>1634</v>
      </c>
      <c r="B1655" s="13" t="n">
        <v>46286</v>
      </c>
      <c r="C1655" s="2" t="s">
        <v>92</v>
      </c>
      <c r="D1655" s="2" t="n">
        <v>1</v>
      </c>
      <c r="E1655" s="15" t="n">
        <v>0.861805555555556</v>
      </c>
      <c r="F1655" s="7" t="n">
        <v>4000</v>
      </c>
      <c r="G1655" s="7" t="n">
        <f aca="false">D1655*F1655</f>
        <v>4000</v>
      </c>
      <c r="H1655" s="2" t="str">
        <f aca="false">INDEX(Daftar_Menu!$B$2:$B$13,MATCH(C1655,Daftar_Menu!$A$2:$A$13,0))</f>
        <v>Minuman</v>
      </c>
      <c r="I1655" s="2" t="str">
        <f aca="false">CHOOSE(WEEKDAY(B1655,2),"Senin","Selasa","Rabu","Kamis","Jumat","Sabtu","Minggu")</f>
        <v>Senin</v>
      </c>
      <c r="J1655" s="2" t="n">
        <f aca="false">HOUR(E1655)</f>
        <v>20</v>
      </c>
      <c r="K1655" s="2" t="str">
        <f aca="false">IF(J1655&lt;11,"Pagi",IF(J1655&lt;17,"Siang","Malam"))</f>
        <v>Malam</v>
      </c>
      <c r="L1655" s="2" t="n">
        <f aca="false">IF(A1655&lt;&gt;A1654,1,0)</f>
        <v>0</v>
      </c>
    </row>
    <row r="1656" customFormat="false" ht="15" hidden="false" customHeight="false" outlineLevel="0" collapsed="false">
      <c r="A1656" s="2" t="s">
        <v>1636</v>
      </c>
      <c r="B1656" s="13" t="n">
        <v>46286</v>
      </c>
      <c r="C1656" s="2" t="s">
        <v>81</v>
      </c>
      <c r="D1656" s="2" t="n">
        <v>2</v>
      </c>
      <c r="E1656" s="15" t="n">
        <v>0.863888888888889</v>
      </c>
      <c r="F1656" s="7" t="n">
        <v>15000</v>
      </c>
      <c r="G1656" s="7" t="n">
        <f aca="false">D1656*F1656</f>
        <v>30000</v>
      </c>
      <c r="H1656" s="2" t="str">
        <f aca="false">INDEX(Daftar_Menu!$B$2:$B$13,MATCH(C1656,Daftar_Menu!$A$2:$A$13,0))</f>
        <v>Makanan</v>
      </c>
      <c r="I1656" s="2" t="str">
        <f aca="false">CHOOSE(WEEKDAY(B1656,2),"Senin","Selasa","Rabu","Kamis","Jumat","Sabtu","Minggu")</f>
        <v>Senin</v>
      </c>
      <c r="J1656" s="2" t="n">
        <f aca="false">HOUR(E1656)</f>
        <v>20</v>
      </c>
      <c r="K1656" s="2" t="str">
        <f aca="false">IF(J1656&lt;11,"Pagi",IF(J1656&lt;17,"Siang","Malam"))</f>
        <v>Malam</v>
      </c>
      <c r="L1656" s="2" t="n">
        <f aca="false">IF(A1656&lt;&gt;A1655,1,0)</f>
        <v>1</v>
      </c>
    </row>
    <row r="1657" customFormat="false" ht="15" hidden="false" customHeight="false" outlineLevel="0" collapsed="false">
      <c r="A1657" s="2" t="s">
        <v>1636</v>
      </c>
      <c r="B1657" s="13" t="n">
        <v>46286</v>
      </c>
      <c r="C1657" s="2" t="s">
        <v>84</v>
      </c>
      <c r="D1657" s="2" t="n">
        <v>1</v>
      </c>
      <c r="E1657" s="15" t="n">
        <v>0.863888888888889</v>
      </c>
      <c r="F1657" s="7" t="n">
        <v>5000</v>
      </c>
      <c r="G1657" s="7" t="n">
        <f aca="false">D1657*F1657</f>
        <v>5000</v>
      </c>
      <c r="H1657" s="2" t="str">
        <f aca="false">INDEX(Daftar_Menu!$B$2:$B$13,MATCH(C1657,Daftar_Menu!$A$2:$A$13,0))</f>
        <v>Minuman</v>
      </c>
      <c r="I1657" s="2" t="str">
        <f aca="false">CHOOSE(WEEKDAY(B1657,2),"Senin","Selasa","Rabu","Kamis","Jumat","Sabtu","Minggu")</f>
        <v>Senin</v>
      </c>
      <c r="J1657" s="2" t="n">
        <f aca="false">HOUR(E1657)</f>
        <v>20</v>
      </c>
      <c r="K1657" s="2" t="str">
        <f aca="false">IF(J1657&lt;11,"Pagi",IF(J1657&lt;17,"Siang","Malam"))</f>
        <v>Malam</v>
      </c>
      <c r="L1657" s="2" t="n">
        <f aca="false">IF(A1657&lt;&gt;A1656,1,0)</f>
        <v>0</v>
      </c>
    </row>
    <row r="1658" customFormat="false" ht="15" hidden="false" customHeight="false" outlineLevel="0" collapsed="false">
      <c r="A1658" s="2" t="s">
        <v>1636</v>
      </c>
      <c r="B1658" s="13" t="n">
        <v>46286</v>
      </c>
      <c r="C1658" s="2" t="s">
        <v>101</v>
      </c>
      <c r="D1658" s="2" t="n">
        <v>1</v>
      </c>
      <c r="E1658" s="15" t="n">
        <v>0.863888888888889</v>
      </c>
      <c r="F1658" s="7" t="n">
        <v>18000</v>
      </c>
      <c r="G1658" s="7" t="n">
        <f aca="false">D1658*F1658</f>
        <v>18000</v>
      </c>
      <c r="H1658" s="2" t="str">
        <f aca="false">INDEX(Daftar_Menu!$B$2:$B$13,MATCH(C1658,Daftar_Menu!$A$2:$A$13,0))</f>
        <v>Makanan</v>
      </c>
      <c r="I1658" s="2" t="str">
        <f aca="false">CHOOSE(WEEKDAY(B1658,2),"Senin","Selasa","Rabu","Kamis","Jumat","Sabtu","Minggu")</f>
        <v>Senin</v>
      </c>
      <c r="J1658" s="2" t="n">
        <f aca="false">HOUR(E1658)</f>
        <v>20</v>
      </c>
      <c r="K1658" s="2" t="str">
        <f aca="false">IF(J1658&lt;11,"Pagi",IF(J1658&lt;17,"Siang","Malam"))</f>
        <v>Malam</v>
      </c>
      <c r="L1658" s="2" t="n">
        <f aca="false">IF(A1658&lt;&gt;A1657,1,0)</f>
        <v>0</v>
      </c>
    </row>
    <row r="1659" customFormat="false" ht="15" hidden="false" customHeight="false" outlineLevel="0" collapsed="false">
      <c r="A1659" s="2" t="s">
        <v>1637</v>
      </c>
      <c r="B1659" s="13" t="n">
        <v>46287</v>
      </c>
      <c r="C1659" s="2" t="s">
        <v>112</v>
      </c>
      <c r="D1659" s="2" t="n">
        <v>1</v>
      </c>
      <c r="E1659" s="15" t="n">
        <v>0.35625</v>
      </c>
      <c r="F1659" s="7" t="n">
        <v>10000</v>
      </c>
      <c r="G1659" s="7" t="n">
        <f aca="false">D1659*F1659</f>
        <v>10000</v>
      </c>
      <c r="H1659" s="2" t="str">
        <f aca="false">INDEX(Daftar_Menu!$B$2:$B$13,MATCH(C1659,Daftar_Menu!$A$2:$A$13,0))</f>
        <v>Minuman</v>
      </c>
      <c r="I1659" s="2" t="str">
        <f aca="false">CHOOSE(WEEKDAY(B1659,2),"Senin","Selasa","Rabu","Kamis","Jumat","Sabtu","Minggu")</f>
        <v>Selasa</v>
      </c>
      <c r="J1659" s="2" t="n">
        <f aca="false">HOUR(E1659)</f>
        <v>8</v>
      </c>
      <c r="K1659" s="2" t="str">
        <f aca="false">IF(J1659&lt;11,"Pagi",IF(J1659&lt;17,"Siang","Malam"))</f>
        <v>Pagi</v>
      </c>
      <c r="L1659" s="2" t="n">
        <f aca="false">IF(A1659&lt;&gt;A1658,1,0)</f>
        <v>1</v>
      </c>
    </row>
    <row r="1660" customFormat="false" ht="15" hidden="false" customHeight="false" outlineLevel="0" collapsed="false">
      <c r="A1660" s="2" t="s">
        <v>1637</v>
      </c>
      <c r="B1660" s="13" t="n">
        <v>46287</v>
      </c>
      <c r="C1660" s="2" t="s">
        <v>81</v>
      </c>
      <c r="D1660" s="2" t="n">
        <v>1</v>
      </c>
      <c r="E1660" s="15" t="n">
        <v>0.35625</v>
      </c>
      <c r="F1660" s="7" t="n">
        <v>15000</v>
      </c>
      <c r="G1660" s="7" t="n">
        <f aca="false">D1660*F1660</f>
        <v>15000</v>
      </c>
      <c r="H1660" s="2" t="str">
        <f aca="false">INDEX(Daftar_Menu!$B$2:$B$13,MATCH(C1660,Daftar_Menu!$A$2:$A$13,0))</f>
        <v>Makanan</v>
      </c>
      <c r="I1660" s="2" t="str">
        <f aca="false">CHOOSE(WEEKDAY(B1660,2),"Senin","Selasa","Rabu","Kamis","Jumat","Sabtu","Minggu")</f>
        <v>Selasa</v>
      </c>
      <c r="J1660" s="2" t="n">
        <f aca="false">HOUR(E1660)</f>
        <v>8</v>
      </c>
      <c r="K1660" s="2" t="str">
        <f aca="false">IF(J1660&lt;11,"Pagi",IF(J1660&lt;17,"Siang","Malam"))</f>
        <v>Pagi</v>
      </c>
      <c r="L1660" s="2" t="n">
        <f aca="false">IF(A1660&lt;&gt;A1659,1,0)</f>
        <v>0</v>
      </c>
    </row>
    <row r="1661" customFormat="false" ht="15" hidden="false" customHeight="false" outlineLevel="0" collapsed="false">
      <c r="A1661" s="2" t="s">
        <v>1637</v>
      </c>
      <c r="B1661" s="13" t="n">
        <v>46287</v>
      </c>
      <c r="C1661" s="2" t="s">
        <v>186</v>
      </c>
      <c r="D1661" s="2" t="n">
        <v>1</v>
      </c>
      <c r="E1661" s="15" t="n">
        <v>0.35625</v>
      </c>
      <c r="F1661" s="7" t="n">
        <v>7000</v>
      </c>
      <c r="G1661" s="7" t="n">
        <f aca="false">D1661*F1661</f>
        <v>7000</v>
      </c>
      <c r="H1661" s="2" t="str">
        <f aca="false">INDEX(Daftar_Menu!$B$2:$B$13,MATCH(C1661,Daftar_Menu!$A$2:$A$13,0))</f>
        <v>Minuman</v>
      </c>
      <c r="I1661" s="2" t="str">
        <f aca="false">CHOOSE(WEEKDAY(B1661,2),"Senin","Selasa","Rabu","Kamis","Jumat","Sabtu","Minggu")</f>
        <v>Selasa</v>
      </c>
      <c r="J1661" s="2" t="n">
        <f aca="false">HOUR(E1661)</f>
        <v>8</v>
      </c>
      <c r="K1661" s="2" t="str">
        <f aca="false">IF(J1661&lt;11,"Pagi",IF(J1661&lt;17,"Siang","Malam"))</f>
        <v>Pagi</v>
      </c>
      <c r="L1661" s="2" t="n">
        <f aca="false">IF(A1661&lt;&gt;A1660,1,0)</f>
        <v>0</v>
      </c>
    </row>
    <row r="1662" customFormat="false" ht="15" hidden="false" customHeight="false" outlineLevel="0" collapsed="false">
      <c r="A1662" s="2" t="s">
        <v>1638</v>
      </c>
      <c r="B1662" s="13" t="n">
        <v>46287</v>
      </c>
      <c r="C1662" s="2" t="s">
        <v>84</v>
      </c>
      <c r="D1662" s="2" t="n">
        <v>1</v>
      </c>
      <c r="E1662" s="15" t="n">
        <v>0.383333333333333</v>
      </c>
      <c r="F1662" s="7" t="n">
        <v>5000</v>
      </c>
      <c r="G1662" s="7" t="n">
        <f aca="false">D1662*F1662</f>
        <v>5000</v>
      </c>
      <c r="H1662" s="2" t="str">
        <f aca="false">INDEX(Daftar_Menu!$B$2:$B$13,MATCH(C1662,Daftar_Menu!$A$2:$A$13,0))</f>
        <v>Minuman</v>
      </c>
      <c r="I1662" s="2" t="str">
        <f aca="false">CHOOSE(WEEKDAY(B1662,2),"Senin","Selasa","Rabu","Kamis","Jumat","Sabtu","Minggu")</f>
        <v>Selasa</v>
      </c>
      <c r="J1662" s="2" t="n">
        <f aca="false">HOUR(E1662)</f>
        <v>9</v>
      </c>
      <c r="K1662" s="2" t="str">
        <f aca="false">IF(J1662&lt;11,"Pagi",IF(J1662&lt;17,"Siang","Malam"))</f>
        <v>Pagi</v>
      </c>
      <c r="L1662" s="2" t="n">
        <f aca="false">IF(A1662&lt;&gt;A1661,1,0)</f>
        <v>1</v>
      </c>
    </row>
    <row r="1663" customFormat="false" ht="15" hidden="false" customHeight="false" outlineLevel="0" collapsed="false">
      <c r="A1663" s="2" t="s">
        <v>1638</v>
      </c>
      <c r="B1663" s="13" t="n">
        <v>46287</v>
      </c>
      <c r="C1663" s="2" t="s">
        <v>112</v>
      </c>
      <c r="D1663" s="2" t="n">
        <v>1</v>
      </c>
      <c r="E1663" s="15" t="n">
        <v>0.383333333333333</v>
      </c>
      <c r="F1663" s="7" t="n">
        <v>10000</v>
      </c>
      <c r="G1663" s="7" t="n">
        <f aca="false">D1663*F1663</f>
        <v>10000</v>
      </c>
      <c r="H1663" s="2" t="str">
        <f aca="false">INDEX(Daftar_Menu!$B$2:$B$13,MATCH(C1663,Daftar_Menu!$A$2:$A$13,0))</f>
        <v>Minuman</v>
      </c>
      <c r="I1663" s="2" t="str">
        <f aca="false">CHOOSE(WEEKDAY(B1663,2),"Senin","Selasa","Rabu","Kamis","Jumat","Sabtu","Minggu")</f>
        <v>Selasa</v>
      </c>
      <c r="J1663" s="2" t="n">
        <f aca="false">HOUR(E1663)</f>
        <v>9</v>
      </c>
      <c r="K1663" s="2" t="str">
        <f aca="false">IF(J1663&lt;11,"Pagi",IF(J1663&lt;17,"Siang","Malam"))</f>
        <v>Pagi</v>
      </c>
      <c r="L1663" s="2" t="n">
        <f aca="false">IF(A1663&lt;&gt;A1662,1,0)</f>
        <v>0</v>
      </c>
    </row>
    <row r="1664" customFormat="false" ht="15" hidden="false" customHeight="false" outlineLevel="0" collapsed="false">
      <c r="A1664" s="2" t="s">
        <v>1640</v>
      </c>
      <c r="B1664" s="13" t="n">
        <v>46287</v>
      </c>
      <c r="C1664" s="2" t="s">
        <v>84</v>
      </c>
      <c r="D1664" s="2" t="n">
        <v>2</v>
      </c>
      <c r="E1664" s="15" t="n">
        <v>0.413194444444444</v>
      </c>
      <c r="F1664" s="7" t="n">
        <v>5000</v>
      </c>
      <c r="G1664" s="7" t="n">
        <f aca="false">D1664*F1664</f>
        <v>10000</v>
      </c>
      <c r="H1664" s="2" t="str">
        <f aca="false">INDEX(Daftar_Menu!$B$2:$B$13,MATCH(C1664,Daftar_Menu!$A$2:$A$13,0))</f>
        <v>Minuman</v>
      </c>
      <c r="I1664" s="2" t="str">
        <f aca="false">CHOOSE(WEEKDAY(B1664,2),"Senin","Selasa","Rabu","Kamis","Jumat","Sabtu","Minggu")</f>
        <v>Selasa</v>
      </c>
      <c r="J1664" s="2" t="n">
        <f aca="false">HOUR(E1664)</f>
        <v>9</v>
      </c>
      <c r="K1664" s="2" t="str">
        <f aca="false">IF(J1664&lt;11,"Pagi",IF(J1664&lt;17,"Siang","Malam"))</f>
        <v>Pagi</v>
      </c>
      <c r="L1664" s="2" t="n">
        <f aca="false">IF(A1664&lt;&gt;A1663,1,0)</f>
        <v>1</v>
      </c>
    </row>
    <row r="1665" customFormat="false" ht="15" hidden="false" customHeight="false" outlineLevel="0" collapsed="false">
      <c r="A1665" s="2" t="s">
        <v>1641</v>
      </c>
      <c r="B1665" s="13" t="n">
        <v>46287</v>
      </c>
      <c r="C1665" s="2" t="s">
        <v>186</v>
      </c>
      <c r="D1665" s="2" t="n">
        <v>1</v>
      </c>
      <c r="E1665" s="15" t="n">
        <v>0.445138888888889</v>
      </c>
      <c r="F1665" s="7" t="n">
        <v>7000</v>
      </c>
      <c r="G1665" s="7" t="n">
        <f aca="false">D1665*F1665</f>
        <v>7000</v>
      </c>
      <c r="H1665" s="2" t="str">
        <f aca="false">INDEX(Daftar_Menu!$B$2:$B$13,MATCH(C1665,Daftar_Menu!$A$2:$A$13,0))</f>
        <v>Minuman</v>
      </c>
      <c r="I1665" s="2" t="str">
        <f aca="false">CHOOSE(WEEKDAY(B1665,2),"Senin","Selasa","Rabu","Kamis","Jumat","Sabtu","Minggu")</f>
        <v>Selasa</v>
      </c>
      <c r="J1665" s="2" t="n">
        <f aca="false">HOUR(E1665)</f>
        <v>10</v>
      </c>
      <c r="K1665" s="2" t="str">
        <f aca="false">IF(J1665&lt;11,"Pagi",IF(J1665&lt;17,"Siang","Malam"))</f>
        <v>Pagi</v>
      </c>
      <c r="L1665" s="2" t="n">
        <f aca="false">IF(A1665&lt;&gt;A1664,1,0)</f>
        <v>1</v>
      </c>
    </row>
    <row r="1666" customFormat="false" ht="15" hidden="false" customHeight="false" outlineLevel="0" collapsed="false">
      <c r="A1666" s="2" t="s">
        <v>1643</v>
      </c>
      <c r="B1666" s="13" t="n">
        <v>46287</v>
      </c>
      <c r="C1666" s="2" t="s">
        <v>112</v>
      </c>
      <c r="D1666" s="2" t="n">
        <v>2</v>
      </c>
      <c r="E1666" s="15" t="n">
        <v>0.458333333333333</v>
      </c>
      <c r="F1666" s="7" t="n">
        <v>10000</v>
      </c>
      <c r="G1666" s="7" t="n">
        <f aca="false">D1666*F1666</f>
        <v>20000</v>
      </c>
      <c r="H1666" s="2" t="str">
        <f aca="false">INDEX(Daftar_Menu!$B$2:$B$13,MATCH(C1666,Daftar_Menu!$A$2:$A$13,0))</f>
        <v>Minuman</v>
      </c>
      <c r="I1666" s="2" t="str">
        <f aca="false">CHOOSE(WEEKDAY(B1666,2),"Senin","Selasa","Rabu","Kamis","Jumat","Sabtu","Minggu")</f>
        <v>Selasa</v>
      </c>
      <c r="J1666" s="2" t="n">
        <f aca="false">HOUR(E1666)</f>
        <v>11</v>
      </c>
      <c r="K1666" s="2" t="str">
        <f aca="false">IF(J1666&lt;11,"Pagi",IF(J1666&lt;17,"Siang","Malam"))</f>
        <v>Siang</v>
      </c>
      <c r="L1666" s="2" t="n">
        <f aca="false">IF(A1666&lt;&gt;A1665,1,0)</f>
        <v>1</v>
      </c>
    </row>
    <row r="1667" customFormat="false" ht="15" hidden="false" customHeight="false" outlineLevel="0" collapsed="false">
      <c r="A1667" s="2" t="s">
        <v>1643</v>
      </c>
      <c r="B1667" s="13" t="n">
        <v>46287</v>
      </c>
      <c r="C1667" s="2" t="s">
        <v>101</v>
      </c>
      <c r="D1667" s="2" t="n">
        <v>1</v>
      </c>
      <c r="E1667" s="15" t="n">
        <v>0.458333333333333</v>
      </c>
      <c r="F1667" s="7" t="n">
        <v>18000</v>
      </c>
      <c r="G1667" s="7" t="n">
        <f aca="false">D1667*F1667</f>
        <v>18000</v>
      </c>
      <c r="H1667" s="2" t="str">
        <f aca="false">INDEX(Daftar_Menu!$B$2:$B$13,MATCH(C1667,Daftar_Menu!$A$2:$A$13,0))</f>
        <v>Makanan</v>
      </c>
      <c r="I1667" s="2" t="str">
        <f aca="false">CHOOSE(WEEKDAY(B1667,2),"Senin","Selasa","Rabu","Kamis","Jumat","Sabtu","Minggu")</f>
        <v>Selasa</v>
      </c>
      <c r="J1667" s="2" t="n">
        <f aca="false">HOUR(E1667)</f>
        <v>11</v>
      </c>
      <c r="K1667" s="2" t="str">
        <f aca="false">IF(J1667&lt;11,"Pagi",IF(J1667&lt;17,"Siang","Malam"))</f>
        <v>Siang</v>
      </c>
      <c r="L1667" s="2" t="n">
        <f aca="false">IF(A1667&lt;&gt;A1666,1,0)</f>
        <v>0</v>
      </c>
    </row>
    <row r="1668" customFormat="false" ht="15" hidden="false" customHeight="false" outlineLevel="0" collapsed="false">
      <c r="A1668" s="2" t="s">
        <v>1644</v>
      </c>
      <c r="B1668" s="13" t="n">
        <v>46287</v>
      </c>
      <c r="C1668" s="2" t="s">
        <v>92</v>
      </c>
      <c r="D1668" s="2" t="n">
        <v>1</v>
      </c>
      <c r="E1668" s="15" t="n">
        <v>0.465972222222222</v>
      </c>
      <c r="F1668" s="7" t="n">
        <v>4000</v>
      </c>
      <c r="G1668" s="7" t="n">
        <f aca="false">D1668*F1668</f>
        <v>4000</v>
      </c>
      <c r="H1668" s="2" t="str">
        <f aca="false">INDEX(Daftar_Menu!$B$2:$B$13,MATCH(C1668,Daftar_Menu!$A$2:$A$13,0))</f>
        <v>Minuman</v>
      </c>
      <c r="I1668" s="2" t="str">
        <f aca="false">CHOOSE(WEEKDAY(B1668,2),"Senin","Selasa","Rabu","Kamis","Jumat","Sabtu","Minggu")</f>
        <v>Selasa</v>
      </c>
      <c r="J1668" s="2" t="n">
        <f aca="false">HOUR(E1668)</f>
        <v>11</v>
      </c>
      <c r="K1668" s="2" t="str">
        <f aca="false">IF(J1668&lt;11,"Pagi",IF(J1668&lt;17,"Siang","Malam"))</f>
        <v>Siang</v>
      </c>
      <c r="L1668" s="2" t="n">
        <f aca="false">IF(A1668&lt;&gt;A1667,1,0)</f>
        <v>1</v>
      </c>
    </row>
    <row r="1669" customFormat="false" ht="15" hidden="false" customHeight="false" outlineLevel="0" collapsed="false">
      <c r="A1669" s="2" t="s">
        <v>1645</v>
      </c>
      <c r="B1669" s="13" t="n">
        <v>46287</v>
      </c>
      <c r="C1669" s="2" t="s">
        <v>92</v>
      </c>
      <c r="D1669" s="2" t="n">
        <v>1</v>
      </c>
      <c r="E1669" s="15" t="n">
        <v>0.467361111111111</v>
      </c>
      <c r="F1669" s="7" t="n">
        <v>4000</v>
      </c>
      <c r="G1669" s="7" t="n">
        <f aca="false">D1669*F1669</f>
        <v>4000</v>
      </c>
      <c r="H1669" s="2" t="str">
        <f aca="false">INDEX(Daftar_Menu!$B$2:$B$13,MATCH(C1669,Daftar_Menu!$A$2:$A$13,0))</f>
        <v>Minuman</v>
      </c>
      <c r="I1669" s="2" t="str">
        <f aca="false">CHOOSE(WEEKDAY(B1669,2),"Senin","Selasa","Rabu","Kamis","Jumat","Sabtu","Minggu")</f>
        <v>Selasa</v>
      </c>
      <c r="J1669" s="2" t="n">
        <f aca="false">HOUR(E1669)</f>
        <v>11</v>
      </c>
      <c r="K1669" s="2" t="str">
        <f aca="false">IF(J1669&lt;11,"Pagi",IF(J1669&lt;17,"Siang","Malam"))</f>
        <v>Siang</v>
      </c>
      <c r="L1669" s="2" t="n">
        <f aca="false">IF(A1669&lt;&gt;A1668,1,0)</f>
        <v>1</v>
      </c>
    </row>
    <row r="1670" customFormat="false" ht="15" hidden="false" customHeight="false" outlineLevel="0" collapsed="false">
      <c r="A1670" s="2" t="s">
        <v>1645</v>
      </c>
      <c r="B1670" s="13" t="n">
        <v>46287</v>
      </c>
      <c r="C1670" s="2" t="s">
        <v>101</v>
      </c>
      <c r="D1670" s="2" t="n">
        <v>1</v>
      </c>
      <c r="E1670" s="15" t="n">
        <v>0.467361111111111</v>
      </c>
      <c r="F1670" s="7" t="n">
        <v>18000</v>
      </c>
      <c r="G1670" s="7" t="n">
        <f aca="false">D1670*F1670</f>
        <v>18000</v>
      </c>
      <c r="H1670" s="2" t="str">
        <f aca="false">INDEX(Daftar_Menu!$B$2:$B$13,MATCH(C1670,Daftar_Menu!$A$2:$A$13,0))</f>
        <v>Makanan</v>
      </c>
      <c r="I1670" s="2" t="str">
        <f aca="false">CHOOSE(WEEKDAY(B1670,2),"Senin","Selasa","Rabu","Kamis","Jumat","Sabtu","Minggu")</f>
        <v>Selasa</v>
      </c>
      <c r="J1670" s="2" t="n">
        <f aca="false">HOUR(E1670)</f>
        <v>11</v>
      </c>
      <c r="K1670" s="2" t="str">
        <f aca="false">IF(J1670&lt;11,"Pagi",IF(J1670&lt;17,"Siang","Malam"))</f>
        <v>Siang</v>
      </c>
      <c r="L1670" s="2" t="n">
        <f aca="false">IF(A1670&lt;&gt;A1669,1,0)</f>
        <v>0</v>
      </c>
    </row>
    <row r="1671" customFormat="false" ht="15" hidden="false" customHeight="false" outlineLevel="0" collapsed="false">
      <c r="A1671" s="2" t="s">
        <v>1647</v>
      </c>
      <c r="B1671" s="13" t="n">
        <v>46287</v>
      </c>
      <c r="C1671" s="2" t="s">
        <v>84</v>
      </c>
      <c r="D1671" s="2" t="n">
        <v>2</v>
      </c>
      <c r="E1671" s="15" t="n">
        <v>0.470138888888889</v>
      </c>
      <c r="F1671" s="7" t="n">
        <v>5000</v>
      </c>
      <c r="G1671" s="7" t="n">
        <f aca="false">D1671*F1671</f>
        <v>10000</v>
      </c>
      <c r="H1671" s="2" t="str">
        <f aca="false">INDEX(Daftar_Menu!$B$2:$B$13,MATCH(C1671,Daftar_Menu!$A$2:$A$13,0))</f>
        <v>Minuman</v>
      </c>
      <c r="I1671" s="2" t="str">
        <f aca="false">CHOOSE(WEEKDAY(B1671,2),"Senin","Selasa","Rabu","Kamis","Jumat","Sabtu","Minggu")</f>
        <v>Selasa</v>
      </c>
      <c r="J1671" s="2" t="n">
        <f aca="false">HOUR(E1671)</f>
        <v>11</v>
      </c>
      <c r="K1671" s="2" t="str">
        <f aca="false">IF(J1671&lt;11,"Pagi",IF(J1671&lt;17,"Siang","Malam"))</f>
        <v>Siang</v>
      </c>
      <c r="L1671" s="2" t="n">
        <f aca="false">IF(A1671&lt;&gt;A1670,1,0)</f>
        <v>1</v>
      </c>
    </row>
    <row r="1672" customFormat="false" ht="15" hidden="false" customHeight="false" outlineLevel="0" collapsed="false">
      <c r="A1672" s="2" t="s">
        <v>1647</v>
      </c>
      <c r="B1672" s="13" t="n">
        <v>46287</v>
      </c>
      <c r="C1672" s="2" t="s">
        <v>186</v>
      </c>
      <c r="D1672" s="2" t="n">
        <v>1</v>
      </c>
      <c r="E1672" s="15" t="n">
        <v>0.470138888888889</v>
      </c>
      <c r="F1672" s="7" t="n">
        <v>7000</v>
      </c>
      <c r="G1672" s="7" t="n">
        <f aca="false">D1672*F1672</f>
        <v>7000</v>
      </c>
      <c r="H1672" s="2" t="str">
        <f aca="false">INDEX(Daftar_Menu!$B$2:$B$13,MATCH(C1672,Daftar_Menu!$A$2:$A$13,0))</f>
        <v>Minuman</v>
      </c>
      <c r="I1672" s="2" t="str">
        <f aca="false">CHOOSE(WEEKDAY(B1672,2),"Senin","Selasa","Rabu","Kamis","Jumat","Sabtu","Minggu")</f>
        <v>Selasa</v>
      </c>
      <c r="J1672" s="2" t="n">
        <f aca="false">HOUR(E1672)</f>
        <v>11</v>
      </c>
      <c r="K1672" s="2" t="str">
        <f aca="false">IF(J1672&lt;11,"Pagi",IF(J1672&lt;17,"Siang","Malam"))</f>
        <v>Siang</v>
      </c>
      <c r="L1672" s="2" t="n">
        <f aca="false">IF(A1672&lt;&gt;A1671,1,0)</f>
        <v>0</v>
      </c>
    </row>
    <row r="1673" customFormat="false" ht="15" hidden="false" customHeight="false" outlineLevel="0" collapsed="false">
      <c r="A1673" s="2" t="s">
        <v>1648</v>
      </c>
      <c r="B1673" s="13" t="n">
        <v>46287</v>
      </c>
      <c r="C1673" s="2" t="s">
        <v>108</v>
      </c>
      <c r="D1673" s="2" t="n">
        <v>1</v>
      </c>
      <c r="E1673" s="15" t="n">
        <v>0.473611111111111</v>
      </c>
      <c r="F1673" s="7" t="n">
        <v>20000</v>
      </c>
      <c r="G1673" s="7" t="n">
        <f aca="false">D1673*F1673</f>
        <v>20000</v>
      </c>
      <c r="H1673" s="2" t="str">
        <f aca="false">INDEX(Daftar_Menu!$B$2:$B$13,MATCH(C1673,Daftar_Menu!$A$2:$A$13,0))</f>
        <v>Makanan</v>
      </c>
      <c r="I1673" s="2" t="str">
        <f aca="false">CHOOSE(WEEKDAY(B1673,2),"Senin","Selasa","Rabu","Kamis","Jumat","Sabtu","Minggu")</f>
        <v>Selasa</v>
      </c>
      <c r="J1673" s="2" t="n">
        <f aca="false">HOUR(E1673)</f>
        <v>11</v>
      </c>
      <c r="K1673" s="2" t="str">
        <f aca="false">IF(J1673&lt;11,"Pagi",IF(J1673&lt;17,"Siang","Malam"))</f>
        <v>Siang</v>
      </c>
      <c r="L1673" s="2" t="n">
        <f aca="false">IF(A1673&lt;&gt;A1672,1,0)</f>
        <v>1</v>
      </c>
    </row>
    <row r="1674" customFormat="false" ht="15" hidden="false" customHeight="false" outlineLevel="0" collapsed="false">
      <c r="A1674" s="2" t="s">
        <v>1648</v>
      </c>
      <c r="B1674" s="13" t="n">
        <v>46287</v>
      </c>
      <c r="C1674" s="2" t="s">
        <v>132</v>
      </c>
      <c r="D1674" s="2" t="n">
        <v>1</v>
      </c>
      <c r="E1674" s="15" t="n">
        <v>0.473611111111111</v>
      </c>
      <c r="F1674" s="7" t="n">
        <v>15000</v>
      </c>
      <c r="G1674" s="7" t="n">
        <f aca="false">D1674*F1674</f>
        <v>15000</v>
      </c>
      <c r="H1674" s="2" t="str">
        <f aca="false">INDEX(Daftar_Menu!$B$2:$B$13,MATCH(C1674,Daftar_Menu!$A$2:$A$13,0))</f>
        <v>Makanan</v>
      </c>
      <c r="I1674" s="2" t="str">
        <f aca="false">CHOOSE(WEEKDAY(B1674,2),"Senin","Selasa","Rabu","Kamis","Jumat","Sabtu","Minggu")</f>
        <v>Selasa</v>
      </c>
      <c r="J1674" s="2" t="n">
        <f aca="false">HOUR(E1674)</f>
        <v>11</v>
      </c>
      <c r="K1674" s="2" t="str">
        <f aca="false">IF(J1674&lt;11,"Pagi",IF(J1674&lt;17,"Siang","Malam"))</f>
        <v>Siang</v>
      </c>
      <c r="L1674" s="2" t="n">
        <f aca="false">IF(A1674&lt;&gt;A1673,1,0)</f>
        <v>0</v>
      </c>
    </row>
    <row r="1675" customFormat="false" ht="15" hidden="false" customHeight="false" outlineLevel="0" collapsed="false">
      <c r="A1675" s="2" t="s">
        <v>1649</v>
      </c>
      <c r="B1675" s="13" t="n">
        <v>46287</v>
      </c>
      <c r="C1675" s="2" t="s">
        <v>126</v>
      </c>
      <c r="D1675" s="2" t="n">
        <v>1</v>
      </c>
      <c r="E1675" s="15" t="n">
        <v>0.486111111111111</v>
      </c>
      <c r="F1675" s="7" t="n">
        <v>3000</v>
      </c>
      <c r="G1675" s="7" t="n">
        <f aca="false">D1675*F1675</f>
        <v>3000</v>
      </c>
      <c r="H1675" s="2" t="str">
        <f aca="false">INDEX(Daftar_Menu!$B$2:$B$13,MATCH(C1675,Daftar_Menu!$A$2:$A$13,0))</f>
        <v>Minuman</v>
      </c>
      <c r="I1675" s="2" t="str">
        <f aca="false">CHOOSE(WEEKDAY(B1675,2),"Senin","Selasa","Rabu","Kamis","Jumat","Sabtu","Minggu")</f>
        <v>Selasa</v>
      </c>
      <c r="J1675" s="2" t="n">
        <f aca="false">HOUR(E1675)</f>
        <v>11</v>
      </c>
      <c r="K1675" s="2" t="str">
        <f aca="false">IF(J1675&lt;11,"Pagi",IF(J1675&lt;17,"Siang","Malam"))</f>
        <v>Siang</v>
      </c>
      <c r="L1675" s="2" t="n">
        <f aca="false">IF(A1675&lt;&gt;A1674,1,0)</f>
        <v>1</v>
      </c>
    </row>
    <row r="1676" customFormat="false" ht="15" hidden="false" customHeight="false" outlineLevel="0" collapsed="false">
      <c r="A1676" s="2" t="s">
        <v>1649</v>
      </c>
      <c r="B1676" s="13" t="n">
        <v>46287</v>
      </c>
      <c r="C1676" s="2" t="s">
        <v>82</v>
      </c>
      <c r="D1676" s="2" t="n">
        <v>1</v>
      </c>
      <c r="E1676" s="15" t="n">
        <v>0.486111111111111</v>
      </c>
      <c r="F1676" s="7" t="n">
        <v>13000</v>
      </c>
      <c r="G1676" s="7" t="n">
        <f aca="false">D1676*F1676</f>
        <v>13000</v>
      </c>
      <c r="H1676" s="2" t="str">
        <f aca="false">INDEX(Daftar_Menu!$B$2:$B$13,MATCH(C1676,Daftar_Menu!$A$2:$A$13,0))</f>
        <v>Makanan</v>
      </c>
      <c r="I1676" s="2" t="str">
        <f aca="false">CHOOSE(WEEKDAY(B1676,2),"Senin","Selasa","Rabu","Kamis","Jumat","Sabtu","Minggu")</f>
        <v>Selasa</v>
      </c>
      <c r="J1676" s="2" t="n">
        <f aca="false">HOUR(E1676)</f>
        <v>11</v>
      </c>
      <c r="K1676" s="2" t="str">
        <f aca="false">IF(J1676&lt;11,"Pagi",IF(J1676&lt;17,"Siang","Malam"))</f>
        <v>Siang</v>
      </c>
      <c r="L1676" s="2" t="n">
        <f aca="false">IF(A1676&lt;&gt;A1675,1,0)</f>
        <v>0</v>
      </c>
    </row>
    <row r="1677" customFormat="false" ht="15" hidden="false" customHeight="false" outlineLevel="0" collapsed="false">
      <c r="A1677" s="2" t="s">
        <v>1649</v>
      </c>
      <c r="B1677" s="13" t="n">
        <v>46287</v>
      </c>
      <c r="C1677" s="2" t="s">
        <v>112</v>
      </c>
      <c r="D1677" s="2" t="n">
        <v>1</v>
      </c>
      <c r="E1677" s="15" t="n">
        <v>0.486111111111111</v>
      </c>
      <c r="F1677" s="7" t="n">
        <v>10000</v>
      </c>
      <c r="G1677" s="7" t="n">
        <f aca="false">D1677*F1677</f>
        <v>10000</v>
      </c>
      <c r="H1677" s="2" t="str">
        <f aca="false">INDEX(Daftar_Menu!$B$2:$B$13,MATCH(C1677,Daftar_Menu!$A$2:$A$13,0))</f>
        <v>Minuman</v>
      </c>
      <c r="I1677" s="2" t="str">
        <f aca="false">CHOOSE(WEEKDAY(B1677,2),"Senin","Selasa","Rabu","Kamis","Jumat","Sabtu","Minggu")</f>
        <v>Selasa</v>
      </c>
      <c r="J1677" s="2" t="n">
        <f aca="false">HOUR(E1677)</f>
        <v>11</v>
      </c>
      <c r="K1677" s="2" t="str">
        <f aca="false">IF(J1677&lt;11,"Pagi",IF(J1677&lt;17,"Siang","Malam"))</f>
        <v>Siang</v>
      </c>
      <c r="L1677" s="2" t="n">
        <f aca="false">IF(A1677&lt;&gt;A1676,1,0)</f>
        <v>0</v>
      </c>
    </row>
    <row r="1678" customFormat="false" ht="15" hidden="false" customHeight="false" outlineLevel="0" collapsed="false">
      <c r="A1678" s="2" t="s">
        <v>1650</v>
      </c>
      <c r="B1678" s="13" t="n">
        <v>46287</v>
      </c>
      <c r="C1678" s="2" t="s">
        <v>126</v>
      </c>
      <c r="D1678" s="2" t="n">
        <v>1</v>
      </c>
      <c r="E1678" s="15" t="n">
        <v>0.490277777777778</v>
      </c>
      <c r="F1678" s="7" t="n">
        <v>3000</v>
      </c>
      <c r="G1678" s="7" t="n">
        <f aca="false">D1678*F1678</f>
        <v>3000</v>
      </c>
      <c r="H1678" s="2" t="str">
        <f aca="false">INDEX(Daftar_Menu!$B$2:$B$13,MATCH(C1678,Daftar_Menu!$A$2:$A$13,0))</f>
        <v>Minuman</v>
      </c>
      <c r="I1678" s="2" t="str">
        <f aca="false">CHOOSE(WEEKDAY(B1678,2),"Senin","Selasa","Rabu","Kamis","Jumat","Sabtu","Minggu")</f>
        <v>Selasa</v>
      </c>
      <c r="J1678" s="2" t="n">
        <f aca="false">HOUR(E1678)</f>
        <v>11</v>
      </c>
      <c r="K1678" s="2" t="str">
        <f aca="false">IF(J1678&lt;11,"Pagi",IF(J1678&lt;17,"Siang","Malam"))</f>
        <v>Siang</v>
      </c>
      <c r="L1678" s="2" t="n">
        <f aca="false">IF(A1678&lt;&gt;A1677,1,0)</f>
        <v>1</v>
      </c>
    </row>
    <row r="1679" customFormat="false" ht="15" hidden="false" customHeight="false" outlineLevel="0" collapsed="false">
      <c r="A1679" s="2" t="s">
        <v>1650</v>
      </c>
      <c r="B1679" s="13" t="n">
        <v>46287</v>
      </c>
      <c r="C1679" s="2" t="s">
        <v>89</v>
      </c>
      <c r="D1679" s="2" t="n">
        <v>2</v>
      </c>
      <c r="E1679" s="15" t="n">
        <v>0.490277777777778</v>
      </c>
      <c r="F1679" s="7" t="n">
        <v>14000</v>
      </c>
      <c r="G1679" s="7" t="n">
        <f aca="false">D1679*F1679</f>
        <v>28000</v>
      </c>
      <c r="H1679" s="2" t="str">
        <f aca="false">INDEX(Daftar_Menu!$B$2:$B$13,MATCH(C1679,Daftar_Menu!$A$2:$A$13,0))</f>
        <v>Makanan</v>
      </c>
      <c r="I1679" s="2" t="str">
        <f aca="false">CHOOSE(WEEKDAY(B1679,2),"Senin","Selasa","Rabu","Kamis","Jumat","Sabtu","Minggu")</f>
        <v>Selasa</v>
      </c>
      <c r="J1679" s="2" t="n">
        <f aca="false">HOUR(E1679)</f>
        <v>11</v>
      </c>
      <c r="K1679" s="2" t="str">
        <f aca="false">IF(J1679&lt;11,"Pagi",IF(J1679&lt;17,"Siang","Malam"))</f>
        <v>Siang</v>
      </c>
      <c r="L1679" s="2" t="n">
        <f aca="false">IF(A1679&lt;&gt;A1678,1,0)</f>
        <v>0</v>
      </c>
    </row>
    <row r="1680" customFormat="false" ht="15" hidden="false" customHeight="false" outlineLevel="0" collapsed="false">
      <c r="A1680" s="2" t="s">
        <v>1650</v>
      </c>
      <c r="B1680" s="13" t="n">
        <v>46287</v>
      </c>
      <c r="C1680" s="2" t="s">
        <v>81</v>
      </c>
      <c r="D1680" s="2" t="n">
        <v>1</v>
      </c>
      <c r="E1680" s="15" t="n">
        <v>0.490277777777778</v>
      </c>
      <c r="F1680" s="7" t="n">
        <v>15000</v>
      </c>
      <c r="G1680" s="7" t="n">
        <f aca="false">D1680*F1680</f>
        <v>15000</v>
      </c>
      <c r="H1680" s="2" t="str">
        <f aca="false">INDEX(Daftar_Menu!$B$2:$B$13,MATCH(C1680,Daftar_Menu!$A$2:$A$13,0))</f>
        <v>Makanan</v>
      </c>
      <c r="I1680" s="2" t="str">
        <f aca="false">CHOOSE(WEEKDAY(B1680,2),"Senin","Selasa","Rabu","Kamis","Jumat","Sabtu","Minggu")</f>
        <v>Selasa</v>
      </c>
      <c r="J1680" s="2" t="n">
        <f aca="false">HOUR(E1680)</f>
        <v>11</v>
      </c>
      <c r="K1680" s="2" t="str">
        <f aca="false">IF(J1680&lt;11,"Pagi",IF(J1680&lt;17,"Siang","Malam"))</f>
        <v>Siang</v>
      </c>
      <c r="L1680" s="2" t="n">
        <f aca="false">IF(A1680&lt;&gt;A1679,1,0)</f>
        <v>0</v>
      </c>
    </row>
    <row r="1681" customFormat="false" ht="15" hidden="false" customHeight="false" outlineLevel="0" collapsed="false">
      <c r="A1681" s="2" t="s">
        <v>1652</v>
      </c>
      <c r="B1681" s="13" t="n">
        <v>46287</v>
      </c>
      <c r="C1681" s="2" t="s">
        <v>84</v>
      </c>
      <c r="D1681" s="2" t="n">
        <v>2</v>
      </c>
      <c r="E1681" s="15" t="n">
        <v>0.491666666666667</v>
      </c>
      <c r="F1681" s="7" t="n">
        <v>5000</v>
      </c>
      <c r="G1681" s="7" t="n">
        <f aca="false">D1681*F1681</f>
        <v>10000</v>
      </c>
      <c r="H1681" s="2" t="str">
        <f aca="false">INDEX(Daftar_Menu!$B$2:$B$13,MATCH(C1681,Daftar_Menu!$A$2:$A$13,0))</f>
        <v>Minuman</v>
      </c>
      <c r="I1681" s="2" t="str">
        <f aca="false">CHOOSE(WEEKDAY(B1681,2),"Senin","Selasa","Rabu","Kamis","Jumat","Sabtu","Minggu")</f>
        <v>Selasa</v>
      </c>
      <c r="J1681" s="2" t="n">
        <f aca="false">HOUR(E1681)</f>
        <v>11</v>
      </c>
      <c r="K1681" s="2" t="str">
        <f aca="false">IF(J1681&lt;11,"Pagi",IF(J1681&lt;17,"Siang","Malam"))</f>
        <v>Siang</v>
      </c>
      <c r="L1681" s="2" t="n">
        <f aca="false">IF(A1681&lt;&gt;A1680,1,0)</f>
        <v>1</v>
      </c>
    </row>
    <row r="1682" customFormat="false" ht="15" hidden="false" customHeight="false" outlineLevel="0" collapsed="false">
      <c r="A1682" s="2" t="s">
        <v>1652</v>
      </c>
      <c r="B1682" s="13" t="n">
        <v>46287</v>
      </c>
      <c r="C1682" s="2" t="s">
        <v>81</v>
      </c>
      <c r="D1682" s="2" t="n">
        <v>3</v>
      </c>
      <c r="E1682" s="15" t="n">
        <v>0.491666666666667</v>
      </c>
      <c r="F1682" s="7" t="n">
        <v>15000</v>
      </c>
      <c r="G1682" s="7" t="n">
        <f aca="false">D1682*F1682</f>
        <v>45000</v>
      </c>
      <c r="H1682" s="2" t="str">
        <f aca="false">INDEX(Daftar_Menu!$B$2:$B$13,MATCH(C1682,Daftar_Menu!$A$2:$A$13,0))</f>
        <v>Makanan</v>
      </c>
      <c r="I1682" s="2" t="str">
        <f aca="false">CHOOSE(WEEKDAY(B1682,2),"Senin","Selasa","Rabu","Kamis","Jumat","Sabtu","Minggu")</f>
        <v>Selasa</v>
      </c>
      <c r="J1682" s="2" t="n">
        <f aca="false">HOUR(E1682)</f>
        <v>11</v>
      </c>
      <c r="K1682" s="2" t="str">
        <f aca="false">IF(J1682&lt;11,"Pagi",IF(J1682&lt;17,"Siang","Malam"))</f>
        <v>Siang</v>
      </c>
      <c r="L1682" s="2" t="n">
        <f aca="false">IF(A1682&lt;&gt;A1681,1,0)</f>
        <v>0</v>
      </c>
    </row>
    <row r="1683" customFormat="false" ht="15" hidden="false" customHeight="false" outlineLevel="0" collapsed="false">
      <c r="A1683" s="2" t="s">
        <v>1652</v>
      </c>
      <c r="B1683" s="13" t="n">
        <v>46287</v>
      </c>
      <c r="C1683" s="2" t="s">
        <v>82</v>
      </c>
      <c r="D1683" s="2" t="n">
        <v>1</v>
      </c>
      <c r="E1683" s="15" t="n">
        <v>0.491666666666667</v>
      </c>
      <c r="F1683" s="7" t="n">
        <v>13000</v>
      </c>
      <c r="G1683" s="7" t="n">
        <f aca="false">D1683*F1683</f>
        <v>13000</v>
      </c>
      <c r="H1683" s="2" t="str">
        <f aca="false">INDEX(Daftar_Menu!$B$2:$B$13,MATCH(C1683,Daftar_Menu!$A$2:$A$13,0))</f>
        <v>Makanan</v>
      </c>
      <c r="I1683" s="2" t="str">
        <f aca="false">CHOOSE(WEEKDAY(B1683,2),"Senin","Selasa","Rabu","Kamis","Jumat","Sabtu","Minggu")</f>
        <v>Selasa</v>
      </c>
      <c r="J1683" s="2" t="n">
        <f aca="false">HOUR(E1683)</f>
        <v>11</v>
      </c>
      <c r="K1683" s="2" t="str">
        <f aca="false">IF(J1683&lt;11,"Pagi",IF(J1683&lt;17,"Siang","Malam"))</f>
        <v>Siang</v>
      </c>
      <c r="L1683" s="2" t="n">
        <f aca="false">IF(A1683&lt;&gt;A1682,1,0)</f>
        <v>0</v>
      </c>
    </row>
    <row r="1684" customFormat="false" ht="15" hidden="false" customHeight="false" outlineLevel="0" collapsed="false">
      <c r="A1684" s="2" t="s">
        <v>1653</v>
      </c>
      <c r="B1684" s="13" t="n">
        <v>46287</v>
      </c>
      <c r="C1684" s="2" t="s">
        <v>81</v>
      </c>
      <c r="D1684" s="2" t="n">
        <v>3</v>
      </c>
      <c r="E1684" s="15" t="n">
        <v>0.504166666666667</v>
      </c>
      <c r="F1684" s="7" t="n">
        <v>15000</v>
      </c>
      <c r="G1684" s="7" t="n">
        <f aca="false">D1684*F1684</f>
        <v>45000</v>
      </c>
      <c r="H1684" s="2" t="str">
        <f aca="false">INDEX(Daftar_Menu!$B$2:$B$13,MATCH(C1684,Daftar_Menu!$A$2:$A$13,0))</f>
        <v>Makanan</v>
      </c>
      <c r="I1684" s="2" t="str">
        <f aca="false">CHOOSE(WEEKDAY(B1684,2),"Senin","Selasa","Rabu","Kamis","Jumat","Sabtu","Minggu")</f>
        <v>Selasa</v>
      </c>
      <c r="J1684" s="2" t="n">
        <f aca="false">HOUR(E1684)</f>
        <v>12</v>
      </c>
      <c r="K1684" s="2" t="str">
        <f aca="false">IF(J1684&lt;11,"Pagi",IF(J1684&lt;17,"Siang","Malam"))</f>
        <v>Siang</v>
      </c>
      <c r="L1684" s="2" t="n">
        <f aca="false">IF(A1684&lt;&gt;A1683,1,0)</f>
        <v>1</v>
      </c>
    </row>
    <row r="1685" customFormat="false" ht="15" hidden="false" customHeight="false" outlineLevel="0" collapsed="false">
      <c r="A1685" s="2" t="s">
        <v>1653</v>
      </c>
      <c r="B1685" s="13" t="n">
        <v>46287</v>
      </c>
      <c r="C1685" s="2" t="s">
        <v>186</v>
      </c>
      <c r="D1685" s="2" t="n">
        <v>1</v>
      </c>
      <c r="E1685" s="15" t="n">
        <v>0.504166666666667</v>
      </c>
      <c r="F1685" s="7" t="n">
        <v>7000</v>
      </c>
      <c r="G1685" s="7" t="n">
        <f aca="false">D1685*F1685</f>
        <v>7000</v>
      </c>
      <c r="H1685" s="2" t="str">
        <f aca="false">INDEX(Daftar_Menu!$B$2:$B$13,MATCH(C1685,Daftar_Menu!$A$2:$A$13,0))</f>
        <v>Minuman</v>
      </c>
      <c r="I1685" s="2" t="str">
        <f aca="false">CHOOSE(WEEKDAY(B1685,2),"Senin","Selasa","Rabu","Kamis","Jumat","Sabtu","Minggu")</f>
        <v>Selasa</v>
      </c>
      <c r="J1685" s="2" t="n">
        <f aca="false">HOUR(E1685)</f>
        <v>12</v>
      </c>
      <c r="K1685" s="2" t="str">
        <f aca="false">IF(J1685&lt;11,"Pagi",IF(J1685&lt;17,"Siang","Malam"))</f>
        <v>Siang</v>
      </c>
      <c r="L1685" s="2" t="n">
        <f aca="false">IF(A1685&lt;&gt;A1684,1,0)</f>
        <v>0</v>
      </c>
    </row>
    <row r="1686" customFormat="false" ht="15" hidden="false" customHeight="false" outlineLevel="0" collapsed="false">
      <c r="A1686" s="2" t="s">
        <v>1654</v>
      </c>
      <c r="B1686" s="13" t="n">
        <v>46287</v>
      </c>
      <c r="C1686" s="2" t="s">
        <v>82</v>
      </c>
      <c r="D1686" s="2" t="n">
        <v>1</v>
      </c>
      <c r="E1686" s="15" t="n">
        <v>0.50625</v>
      </c>
      <c r="F1686" s="7" t="n">
        <v>13000</v>
      </c>
      <c r="G1686" s="7" t="n">
        <f aca="false">D1686*F1686</f>
        <v>13000</v>
      </c>
      <c r="H1686" s="2" t="str">
        <f aca="false">INDEX(Daftar_Menu!$B$2:$B$13,MATCH(C1686,Daftar_Menu!$A$2:$A$13,0))</f>
        <v>Makanan</v>
      </c>
      <c r="I1686" s="2" t="str">
        <f aca="false">CHOOSE(WEEKDAY(B1686,2),"Senin","Selasa","Rabu","Kamis","Jumat","Sabtu","Minggu")</f>
        <v>Selasa</v>
      </c>
      <c r="J1686" s="2" t="n">
        <f aca="false">HOUR(E1686)</f>
        <v>12</v>
      </c>
      <c r="K1686" s="2" t="str">
        <f aca="false">IF(J1686&lt;11,"Pagi",IF(J1686&lt;17,"Siang","Malam"))</f>
        <v>Siang</v>
      </c>
      <c r="L1686" s="2" t="n">
        <f aca="false">IF(A1686&lt;&gt;A1685,1,0)</f>
        <v>1</v>
      </c>
    </row>
    <row r="1687" customFormat="false" ht="15" hidden="false" customHeight="false" outlineLevel="0" collapsed="false">
      <c r="A1687" s="2" t="s">
        <v>1655</v>
      </c>
      <c r="B1687" s="13" t="n">
        <v>46287</v>
      </c>
      <c r="C1687" s="2" t="s">
        <v>186</v>
      </c>
      <c r="D1687" s="2" t="n">
        <v>1</v>
      </c>
      <c r="E1687" s="15" t="n">
        <v>0.506944444444444</v>
      </c>
      <c r="F1687" s="7" t="n">
        <v>7000</v>
      </c>
      <c r="G1687" s="7" t="n">
        <f aca="false">D1687*F1687</f>
        <v>7000</v>
      </c>
      <c r="H1687" s="2" t="str">
        <f aca="false">INDEX(Daftar_Menu!$B$2:$B$13,MATCH(C1687,Daftar_Menu!$A$2:$A$13,0))</f>
        <v>Minuman</v>
      </c>
      <c r="I1687" s="2" t="str">
        <f aca="false">CHOOSE(WEEKDAY(B1687,2),"Senin","Selasa","Rabu","Kamis","Jumat","Sabtu","Minggu")</f>
        <v>Selasa</v>
      </c>
      <c r="J1687" s="2" t="n">
        <f aca="false">HOUR(E1687)</f>
        <v>12</v>
      </c>
      <c r="K1687" s="2" t="str">
        <f aca="false">IF(J1687&lt;11,"Pagi",IF(J1687&lt;17,"Siang","Malam"))</f>
        <v>Siang</v>
      </c>
      <c r="L1687" s="2" t="n">
        <f aca="false">IF(A1687&lt;&gt;A1686,1,0)</f>
        <v>1</v>
      </c>
    </row>
    <row r="1688" customFormat="false" ht="15" hidden="false" customHeight="false" outlineLevel="0" collapsed="false">
      <c r="A1688" s="2" t="s">
        <v>1655</v>
      </c>
      <c r="B1688" s="13" t="n">
        <v>46287</v>
      </c>
      <c r="C1688" s="2" t="s">
        <v>101</v>
      </c>
      <c r="D1688" s="2" t="n">
        <v>1</v>
      </c>
      <c r="E1688" s="15" t="n">
        <v>0.506944444444444</v>
      </c>
      <c r="F1688" s="7" t="n">
        <v>18000</v>
      </c>
      <c r="G1688" s="7" t="n">
        <f aca="false">D1688*F1688</f>
        <v>18000</v>
      </c>
      <c r="H1688" s="2" t="str">
        <f aca="false">INDEX(Daftar_Menu!$B$2:$B$13,MATCH(C1688,Daftar_Menu!$A$2:$A$13,0))</f>
        <v>Makanan</v>
      </c>
      <c r="I1688" s="2" t="str">
        <f aca="false">CHOOSE(WEEKDAY(B1688,2),"Senin","Selasa","Rabu","Kamis","Jumat","Sabtu","Minggu")</f>
        <v>Selasa</v>
      </c>
      <c r="J1688" s="2" t="n">
        <f aca="false">HOUR(E1688)</f>
        <v>12</v>
      </c>
      <c r="K1688" s="2" t="str">
        <f aca="false">IF(J1688&lt;11,"Pagi",IF(J1688&lt;17,"Siang","Malam"))</f>
        <v>Siang</v>
      </c>
      <c r="L1688" s="2" t="n">
        <f aca="false">IF(A1688&lt;&gt;A1687,1,0)</f>
        <v>0</v>
      </c>
    </row>
    <row r="1689" customFormat="false" ht="15" hidden="false" customHeight="false" outlineLevel="0" collapsed="false">
      <c r="A1689" s="2" t="s">
        <v>1655</v>
      </c>
      <c r="B1689" s="13" t="n">
        <v>46287</v>
      </c>
      <c r="C1689" s="2" t="s">
        <v>84</v>
      </c>
      <c r="D1689" s="2" t="n">
        <v>1</v>
      </c>
      <c r="E1689" s="15" t="n">
        <v>0.506944444444444</v>
      </c>
      <c r="F1689" s="7" t="n">
        <v>5000</v>
      </c>
      <c r="G1689" s="7" t="n">
        <f aca="false">D1689*F1689</f>
        <v>5000</v>
      </c>
      <c r="H1689" s="2" t="str">
        <f aca="false">INDEX(Daftar_Menu!$B$2:$B$13,MATCH(C1689,Daftar_Menu!$A$2:$A$13,0))</f>
        <v>Minuman</v>
      </c>
      <c r="I1689" s="2" t="str">
        <f aca="false">CHOOSE(WEEKDAY(B1689,2),"Senin","Selasa","Rabu","Kamis","Jumat","Sabtu","Minggu")</f>
        <v>Selasa</v>
      </c>
      <c r="J1689" s="2" t="n">
        <f aca="false">HOUR(E1689)</f>
        <v>12</v>
      </c>
      <c r="K1689" s="2" t="str">
        <f aca="false">IF(J1689&lt;11,"Pagi",IF(J1689&lt;17,"Siang","Malam"))</f>
        <v>Siang</v>
      </c>
      <c r="L1689" s="2" t="n">
        <f aca="false">IF(A1689&lt;&gt;A1688,1,0)</f>
        <v>0</v>
      </c>
    </row>
    <row r="1690" customFormat="false" ht="15" hidden="false" customHeight="false" outlineLevel="0" collapsed="false">
      <c r="A1690" s="2" t="s">
        <v>1656</v>
      </c>
      <c r="B1690" s="13" t="n">
        <v>46287</v>
      </c>
      <c r="C1690" s="2" t="s">
        <v>101</v>
      </c>
      <c r="D1690" s="2" t="n">
        <v>1</v>
      </c>
      <c r="E1690" s="15" t="n">
        <v>0.515972222222222</v>
      </c>
      <c r="F1690" s="7" t="n">
        <v>18000</v>
      </c>
      <c r="G1690" s="7" t="n">
        <f aca="false">D1690*F1690</f>
        <v>18000</v>
      </c>
      <c r="H1690" s="2" t="str">
        <f aca="false">INDEX(Daftar_Menu!$B$2:$B$13,MATCH(C1690,Daftar_Menu!$A$2:$A$13,0))</f>
        <v>Makanan</v>
      </c>
      <c r="I1690" s="2" t="str">
        <f aca="false">CHOOSE(WEEKDAY(B1690,2),"Senin","Selasa","Rabu","Kamis","Jumat","Sabtu","Minggu")</f>
        <v>Selasa</v>
      </c>
      <c r="J1690" s="2" t="n">
        <f aca="false">HOUR(E1690)</f>
        <v>12</v>
      </c>
      <c r="K1690" s="2" t="str">
        <f aca="false">IF(J1690&lt;11,"Pagi",IF(J1690&lt;17,"Siang","Malam"))</f>
        <v>Siang</v>
      </c>
      <c r="L1690" s="2" t="n">
        <f aca="false">IF(A1690&lt;&gt;A1689,1,0)</f>
        <v>1</v>
      </c>
    </row>
    <row r="1691" customFormat="false" ht="15" hidden="false" customHeight="false" outlineLevel="0" collapsed="false">
      <c r="A1691" s="2" t="s">
        <v>1656</v>
      </c>
      <c r="B1691" s="13" t="n">
        <v>46287</v>
      </c>
      <c r="C1691" s="2" t="s">
        <v>79</v>
      </c>
      <c r="D1691" s="2" t="n">
        <v>2</v>
      </c>
      <c r="E1691" s="15" t="n">
        <v>0.515972222222222</v>
      </c>
      <c r="F1691" s="7" t="n">
        <v>16000</v>
      </c>
      <c r="G1691" s="7" t="n">
        <f aca="false">D1691*F1691</f>
        <v>32000</v>
      </c>
      <c r="H1691" s="2" t="str">
        <f aca="false">INDEX(Daftar_Menu!$B$2:$B$13,MATCH(C1691,Daftar_Menu!$A$2:$A$13,0))</f>
        <v>Makanan</v>
      </c>
      <c r="I1691" s="2" t="str">
        <f aca="false">CHOOSE(WEEKDAY(B1691,2),"Senin","Selasa","Rabu","Kamis","Jumat","Sabtu","Minggu")</f>
        <v>Selasa</v>
      </c>
      <c r="J1691" s="2" t="n">
        <f aca="false">HOUR(E1691)</f>
        <v>12</v>
      </c>
      <c r="K1691" s="2" t="str">
        <f aca="false">IF(J1691&lt;11,"Pagi",IF(J1691&lt;17,"Siang","Malam"))</f>
        <v>Siang</v>
      </c>
      <c r="L1691" s="2" t="n">
        <f aca="false">IF(A1691&lt;&gt;A1690,1,0)</f>
        <v>0</v>
      </c>
    </row>
    <row r="1692" customFormat="false" ht="15" hidden="false" customHeight="false" outlineLevel="0" collapsed="false">
      <c r="A1692" s="2" t="s">
        <v>1657</v>
      </c>
      <c r="B1692" s="13" t="n">
        <v>46287</v>
      </c>
      <c r="C1692" s="2" t="s">
        <v>101</v>
      </c>
      <c r="D1692" s="2" t="n">
        <v>1</v>
      </c>
      <c r="E1692" s="15" t="n">
        <v>0.516666666666667</v>
      </c>
      <c r="F1692" s="7" t="n">
        <v>18000</v>
      </c>
      <c r="G1692" s="7" t="n">
        <f aca="false">D1692*F1692</f>
        <v>18000</v>
      </c>
      <c r="H1692" s="2" t="str">
        <f aca="false">INDEX(Daftar_Menu!$B$2:$B$13,MATCH(C1692,Daftar_Menu!$A$2:$A$13,0))</f>
        <v>Makanan</v>
      </c>
      <c r="I1692" s="2" t="str">
        <f aca="false">CHOOSE(WEEKDAY(B1692,2),"Senin","Selasa","Rabu","Kamis","Jumat","Sabtu","Minggu")</f>
        <v>Selasa</v>
      </c>
      <c r="J1692" s="2" t="n">
        <f aca="false">HOUR(E1692)</f>
        <v>12</v>
      </c>
      <c r="K1692" s="2" t="str">
        <f aca="false">IF(J1692&lt;11,"Pagi",IF(J1692&lt;17,"Siang","Malam"))</f>
        <v>Siang</v>
      </c>
      <c r="L1692" s="2" t="n">
        <f aca="false">IF(A1692&lt;&gt;A1691,1,0)</f>
        <v>1</v>
      </c>
    </row>
    <row r="1693" customFormat="false" ht="15" hidden="false" customHeight="false" outlineLevel="0" collapsed="false">
      <c r="A1693" s="2" t="s">
        <v>1657</v>
      </c>
      <c r="B1693" s="13" t="n">
        <v>46287</v>
      </c>
      <c r="C1693" s="2" t="s">
        <v>132</v>
      </c>
      <c r="D1693" s="2" t="n">
        <v>1</v>
      </c>
      <c r="E1693" s="15" t="n">
        <v>0.516666666666667</v>
      </c>
      <c r="F1693" s="7" t="n">
        <v>15000</v>
      </c>
      <c r="G1693" s="7" t="n">
        <f aca="false">D1693*F1693</f>
        <v>15000</v>
      </c>
      <c r="H1693" s="2" t="str">
        <f aca="false">INDEX(Daftar_Menu!$B$2:$B$13,MATCH(C1693,Daftar_Menu!$A$2:$A$13,0))</f>
        <v>Makanan</v>
      </c>
      <c r="I1693" s="2" t="str">
        <f aca="false">CHOOSE(WEEKDAY(B1693,2),"Senin","Selasa","Rabu","Kamis","Jumat","Sabtu","Minggu")</f>
        <v>Selasa</v>
      </c>
      <c r="J1693" s="2" t="n">
        <f aca="false">HOUR(E1693)</f>
        <v>12</v>
      </c>
      <c r="K1693" s="2" t="str">
        <f aca="false">IF(J1693&lt;11,"Pagi",IF(J1693&lt;17,"Siang","Malam"))</f>
        <v>Siang</v>
      </c>
      <c r="L1693" s="2" t="n">
        <f aca="false">IF(A1693&lt;&gt;A1692,1,0)</f>
        <v>0</v>
      </c>
    </row>
    <row r="1694" customFormat="false" ht="15" hidden="false" customHeight="false" outlineLevel="0" collapsed="false">
      <c r="A1694" s="2" t="s">
        <v>1659</v>
      </c>
      <c r="B1694" s="13" t="n">
        <v>46287</v>
      </c>
      <c r="C1694" s="2" t="s">
        <v>92</v>
      </c>
      <c r="D1694" s="2" t="n">
        <v>2</v>
      </c>
      <c r="E1694" s="15" t="n">
        <v>0.525</v>
      </c>
      <c r="F1694" s="7" t="n">
        <v>4000</v>
      </c>
      <c r="G1694" s="7" t="n">
        <f aca="false">D1694*F1694</f>
        <v>8000</v>
      </c>
      <c r="H1694" s="2" t="str">
        <f aca="false">INDEX(Daftar_Menu!$B$2:$B$13,MATCH(C1694,Daftar_Menu!$A$2:$A$13,0))</f>
        <v>Minuman</v>
      </c>
      <c r="I1694" s="2" t="str">
        <f aca="false">CHOOSE(WEEKDAY(B1694,2),"Senin","Selasa","Rabu","Kamis","Jumat","Sabtu","Minggu")</f>
        <v>Selasa</v>
      </c>
      <c r="J1694" s="2" t="n">
        <f aca="false">HOUR(E1694)</f>
        <v>12</v>
      </c>
      <c r="K1694" s="2" t="str">
        <f aca="false">IF(J1694&lt;11,"Pagi",IF(J1694&lt;17,"Siang","Malam"))</f>
        <v>Siang</v>
      </c>
      <c r="L1694" s="2" t="n">
        <f aca="false">IF(A1694&lt;&gt;A1693,1,0)</f>
        <v>1</v>
      </c>
    </row>
    <row r="1695" customFormat="false" ht="15" hidden="false" customHeight="false" outlineLevel="0" collapsed="false">
      <c r="A1695" s="2" t="s">
        <v>1660</v>
      </c>
      <c r="B1695" s="13" t="n">
        <v>46287</v>
      </c>
      <c r="C1695" s="2" t="s">
        <v>89</v>
      </c>
      <c r="D1695" s="2" t="n">
        <v>1</v>
      </c>
      <c r="E1695" s="15" t="n">
        <v>0.527777777777778</v>
      </c>
      <c r="F1695" s="7" t="n">
        <v>14000</v>
      </c>
      <c r="G1695" s="7" t="n">
        <f aca="false">D1695*F1695</f>
        <v>14000</v>
      </c>
      <c r="H1695" s="2" t="str">
        <f aca="false">INDEX(Daftar_Menu!$B$2:$B$13,MATCH(C1695,Daftar_Menu!$A$2:$A$13,0))</f>
        <v>Makanan</v>
      </c>
      <c r="I1695" s="2" t="str">
        <f aca="false">CHOOSE(WEEKDAY(B1695,2),"Senin","Selasa","Rabu","Kamis","Jumat","Sabtu","Minggu")</f>
        <v>Selasa</v>
      </c>
      <c r="J1695" s="2" t="n">
        <f aca="false">HOUR(E1695)</f>
        <v>12</v>
      </c>
      <c r="K1695" s="2" t="str">
        <f aca="false">IF(J1695&lt;11,"Pagi",IF(J1695&lt;17,"Siang","Malam"))</f>
        <v>Siang</v>
      </c>
      <c r="L1695" s="2" t="n">
        <f aca="false">IF(A1695&lt;&gt;A1694,1,0)</f>
        <v>1</v>
      </c>
    </row>
    <row r="1696" customFormat="false" ht="15" hidden="false" customHeight="false" outlineLevel="0" collapsed="false">
      <c r="A1696" s="2" t="s">
        <v>1660</v>
      </c>
      <c r="B1696" s="13" t="n">
        <v>46287</v>
      </c>
      <c r="C1696" s="2" t="s">
        <v>132</v>
      </c>
      <c r="D1696" s="2" t="n">
        <v>2</v>
      </c>
      <c r="E1696" s="15" t="n">
        <v>0.527777777777778</v>
      </c>
      <c r="F1696" s="7" t="n">
        <v>15000</v>
      </c>
      <c r="G1696" s="7" t="n">
        <f aca="false">D1696*F1696</f>
        <v>30000</v>
      </c>
      <c r="H1696" s="2" t="str">
        <f aca="false">INDEX(Daftar_Menu!$B$2:$B$13,MATCH(C1696,Daftar_Menu!$A$2:$A$13,0))</f>
        <v>Makanan</v>
      </c>
      <c r="I1696" s="2" t="str">
        <f aca="false">CHOOSE(WEEKDAY(B1696,2),"Senin","Selasa","Rabu","Kamis","Jumat","Sabtu","Minggu")</f>
        <v>Selasa</v>
      </c>
      <c r="J1696" s="2" t="n">
        <f aca="false">HOUR(E1696)</f>
        <v>12</v>
      </c>
      <c r="K1696" s="2" t="str">
        <f aca="false">IF(J1696&lt;11,"Pagi",IF(J1696&lt;17,"Siang","Malam"))</f>
        <v>Siang</v>
      </c>
      <c r="L1696" s="2" t="n">
        <f aca="false">IF(A1696&lt;&gt;A1695,1,0)</f>
        <v>0</v>
      </c>
    </row>
    <row r="1697" customFormat="false" ht="15" hidden="false" customHeight="false" outlineLevel="0" collapsed="false">
      <c r="A1697" s="2" t="s">
        <v>1662</v>
      </c>
      <c r="B1697" s="13" t="n">
        <v>46287</v>
      </c>
      <c r="C1697" s="2" t="s">
        <v>126</v>
      </c>
      <c r="D1697" s="2" t="n">
        <v>2</v>
      </c>
      <c r="E1697" s="15" t="n">
        <v>0.543055555555556</v>
      </c>
      <c r="F1697" s="7" t="n">
        <v>3000</v>
      </c>
      <c r="G1697" s="7" t="n">
        <f aca="false">D1697*F1697</f>
        <v>6000</v>
      </c>
      <c r="H1697" s="2" t="str">
        <f aca="false">INDEX(Daftar_Menu!$B$2:$B$13,MATCH(C1697,Daftar_Menu!$A$2:$A$13,0))</f>
        <v>Minuman</v>
      </c>
      <c r="I1697" s="2" t="str">
        <f aca="false">CHOOSE(WEEKDAY(B1697,2),"Senin","Selasa","Rabu","Kamis","Jumat","Sabtu","Minggu")</f>
        <v>Selasa</v>
      </c>
      <c r="J1697" s="2" t="n">
        <f aca="false">HOUR(E1697)</f>
        <v>13</v>
      </c>
      <c r="K1697" s="2" t="str">
        <f aca="false">IF(J1697&lt;11,"Pagi",IF(J1697&lt;17,"Siang","Malam"))</f>
        <v>Siang</v>
      </c>
      <c r="L1697" s="2" t="n">
        <f aca="false">IF(A1697&lt;&gt;A1696,1,0)</f>
        <v>1</v>
      </c>
    </row>
    <row r="1698" customFormat="false" ht="15" hidden="false" customHeight="false" outlineLevel="0" collapsed="false">
      <c r="A1698" s="2" t="s">
        <v>1663</v>
      </c>
      <c r="B1698" s="13" t="n">
        <v>46287</v>
      </c>
      <c r="C1698" s="2" t="s">
        <v>84</v>
      </c>
      <c r="D1698" s="2" t="n">
        <v>2</v>
      </c>
      <c r="E1698" s="15" t="n">
        <v>0.54375</v>
      </c>
      <c r="F1698" s="7" t="n">
        <v>5000</v>
      </c>
      <c r="G1698" s="7" t="n">
        <f aca="false">D1698*F1698</f>
        <v>10000</v>
      </c>
      <c r="H1698" s="2" t="str">
        <f aca="false">INDEX(Daftar_Menu!$B$2:$B$13,MATCH(C1698,Daftar_Menu!$A$2:$A$13,0))</f>
        <v>Minuman</v>
      </c>
      <c r="I1698" s="2" t="str">
        <f aca="false">CHOOSE(WEEKDAY(B1698,2),"Senin","Selasa","Rabu","Kamis","Jumat","Sabtu","Minggu")</f>
        <v>Selasa</v>
      </c>
      <c r="J1698" s="2" t="n">
        <f aca="false">HOUR(E1698)</f>
        <v>13</v>
      </c>
      <c r="K1698" s="2" t="str">
        <f aca="false">IF(J1698&lt;11,"Pagi",IF(J1698&lt;17,"Siang","Malam"))</f>
        <v>Siang</v>
      </c>
      <c r="L1698" s="2" t="n">
        <f aca="false">IF(A1698&lt;&gt;A1697,1,0)</f>
        <v>1</v>
      </c>
    </row>
    <row r="1699" customFormat="false" ht="15" hidden="false" customHeight="false" outlineLevel="0" collapsed="false">
      <c r="A1699" s="2" t="s">
        <v>1663</v>
      </c>
      <c r="B1699" s="13" t="n">
        <v>46287</v>
      </c>
      <c r="C1699" s="2" t="s">
        <v>101</v>
      </c>
      <c r="D1699" s="2" t="n">
        <v>1</v>
      </c>
      <c r="E1699" s="15" t="n">
        <v>0.54375</v>
      </c>
      <c r="F1699" s="7" t="n">
        <v>18000</v>
      </c>
      <c r="G1699" s="7" t="n">
        <f aca="false">D1699*F1699</f>
        <v>18000</v>
      </c>
      <c r="H1699" s="2" t="str">
        <f aca="false">INDEX(Daftar_Menu!$B$2:$B$13,MATCH(C1699,Daftar_Menu!$A$2:$A$13,0))</f>
        <v>Makanan</v>
      </c>
      <c r="I1699" s="2" t="str">
        <f aca="false">CHOOSE(WEEKDAY(B1699,2),"Senin","Selasa","Rabu","Kamis","Jumat","Sabtu","Minggu")</f>
        <v>Selasa</v>
      </c>
      <c r="J1699" s="2" t="n">
        <f aca="false">HOUR(E1699)</f>
        <v>13</v>
      </c>
      <c r="K1699" s="2" t="str">
        <f aca="false">IF(J1699&lt;11,"Pagi",IF(J1699&lt;17,"Siang","Malam"))</f>
        <v>Siang</v>
      </c>
      <c r="L1699" s="2" t="n">
        <f aca="false">IF(A1699&lt;&gt;A1698,1,0)</f>
        <v>0</v>
      </c>
    </row>
    <row r="1700" customFormat="false" ht="15" hidden="false" customHeight="false" outlineLevel="0" collapsed="false">
      <c r="A1700" s="2" t="s">
        <v>1664</v>
      </c>
      <c r="B1700" s="13" t="n">
        <v>46287</v>
      </c>
      <c r="C1700" s="2" t="s">
        <v>81</v>
      </c>
      <c r="D1700" s="2" t="n">
        <v>1</v>
      </c>
      <c r="E1700" s="15" t="n">
        <v>0.554166666666667</v>
      </c>
      <c r="F1700" s="7" t="n">
        <v>15000</v>
      </c>
      <c r="G1700" s="7" t="n">
        <f aca="false">D1700*F1700</f>
        <v>15000</v>
      </c>
      <c r="H1700" s="2" t="str">
        <f aca="false">INDEX(Daftar_Menu!$B$2:$B$13,MATCH(C1700,Daftar_Menu!$A$2:$A$13,0))</f>
        <v>Makanan</v>
      </c>
      <c r="I1700" s="2" t="str">
        <f aca="false">CHOOSE(WEEKDAY(B1700,2),"Senin","Selasa","Rabu","Kamis","Jumat","Sabtu","Minggu")</f>
        <v>Selasa</v>
      </c>
      <c r="J1700" s="2" t="n">
        <f aca="false">HOUR(E1700)</f>
        <v>13</v>
      </c>
      <c r="K1700" s="2" t="str">
        <f aca="false">IF(J1700&lt;11,"Pagi",IF(J1700&lt;17,"Siang","Malam"))</f>
        <v>Siang</v>
      </c>
      <c r="L1700" s="2" t="n">
        <f aca="false">IF(A1700&lt;&gt;A1699,1,0)</f>
        <v>1</v>
      </c>
    </row>
    <row r="1701" customFormat="false" ht="15" hidden="false" customHeight="false" outlineLevel="0" collapsed="false">
      <c r="A1701" s="2" t="s">
        <v>1665</v>
      </c>
      <c r="B1701" s="13" t="n">
        <v>46287</v>
      </c>
      <c r="C1701" s="2" t="s">
        <v>132</v>
      </c>
      <c r="D1701" s="2" t="n">
        <v>1</v>
      </c>
      <c r="E1701" s="15" t="n">
        <v>0.559722222222222</v>
      </c>
      <c r="F1701" s="7" t="n">
        <v>15000</v>
      </c>
      <c r="G1701" s="7" t="n">
        <f aca="false">D1701*F1701</f>
        <v>15000</v>
      </c>
      <c r="H1701" s="2" t="str">
        <f aca="false">INDEX(Daftar_Menu!$B$2:$B$13,MATCH(C1701,Daftar_Menu!$A$2:$A$13,0))</f>
        <v>Makanan</v>
      </c>
      <c r="I1701" s="2" t="str">
        <f aca="false">CHOOSE(WEEKDAY(B1701,2),"Senin","Selasa","Rabu","Kamis","Jumat","Sabtu","Minggu")</f>
        <v>Selasa</v>
      </c>
      <c r="J1701" s="2" t="n">
        <f aca="false">HOUR(E1701)</f>
        <v>13</v>
      </c>
      <c r="K1701" s="2" t="str">
        <f aca="false">IF(J1701&lt;11,"Pagi",IF(J1701&lt;17,"Siang","Malam"))</f>
        <v>Siang</v>
      </c>
      <c r="L1701" s="2" t="n">
        <f aca="false">IF(A1701&lt;&gt;A1700,1,0)</f>
        <v>1</v>
      </c>
    </row>
    <row r="1702" customFormat="false" ht="15" hidden="false" customHeight="false" outlineLevel="0" collapsed="false">
      <c r="A1702" s="2" t="s">
        <v>1665</v>
      </c>
      <c r="B1702" s="13" t="n">
        <v>46287</v>
      </c>
      <c r="C1702" s="2" t="s">
        <v>89</v>
      </c>
      <c r="D1702" s="2" t="n">
        <v>1</v>
      </c>
      <c r="E1702" s="15" t="n">
        <v>0.559722222222222</v>
      </c>
      <c r="F1702" s="7" t="n">
        <v>14000</v>
      </c>
      <c r="G1702" s="7" t="n">
        <f aca="false">D1702*F1702</f>
        <v>14000</v>
      </c>
      <c r="H1702" s="2" t="str">
        <f aca="false">INDEX(Daftar_Menu!$B$2:$B$13,MATCH(C1702,Daftar_Menu!$A$2:$A$13,0))</f>
        <v>Makanan</v>
      </c>
      <c r="I1702" s="2" t="str">
        <f aca="false">CHOOSE(WEEKDAY(B1702,2),"Senin","Selasa","Rabu","Kamis","Jumat","Sabtu","Minggu")</f>
        <v>Selasa</v>
      </c>
      <c r="J1702" s="2" t="n">
        <f aca="false">HOUR(E1702)</f>
        <v>13</v>
      </c>
      <c r="K1702" s="2" t="str">
        <f aca="false">IF(J1702&lt;11,"Pagi",IF(J1702&lt;17,"Siang","Malam"))</f>
        <v>Siang</v>
      </c>
      <c r="L1702" s="2" t="n">
        <f aca="false">IF(A1702&lt;&gt;A1701,1,0)</f>
        <v>0</v>
      </c>
    </row>
    <row r="1703" customFormat="false" ht="15" hidden="false" customHeight="false" outlineLevel="0" collapsed="false">
      <c r="A1703" s="2" t="s">
        <v>1666</v>
      </c>
      <c r="B1703" s="13" t="n">
        <v>46287</v>
      </c>
      <c r="C1703" s="2" t="s">
        <v>89</v>
      </c>
      <c r="D1703" s="2" t="n">
        <v>1</v>
      </c>
      <c r="E1703" s="15" t="n">
        <v>0.563194444444444</v>
      </c>
      <c r="F1703" s="7" t="n">
        <v>14000</v>
      </c>
      <c r="G1703" s="7" t="n">
        <f aca="false">D1703*F1703</f>
        <v>14000</v>
      </c>
      <c r="H1703" s="2" t="str">
        <f aca="false">INDEX(Daftar_Menu!$B$2:$B$13,MATCH(C1703,Daftar_Menu!$A$2:$A$13,0))</f>
        <v>Makanan</v>
      </c>
      <c r="I1703" s="2" t="str">
        <f aca="false">CHOOSE(WEEKDAY(B1703,2),"Senin","Selasa","Rabu","Kamis","Jumat","Sabtu","Minggu")</f>
        <v>Selasa</v>
      </c>
      <c r="J1703" s="2" t="n">
        <f aca="false">HOUR(E1703)</f>
        <v>13</v>
      </c>
      <c r="K1703" s="2" t="str">
        <f aca="false">IF(J1703&lt;11,"Pagi",IF(J1703&lt;17,"Siang","Malam"))</f>
        <v>Siang</v>
      </c>
      <c r="L1703" s="2" t="n">
        <f aca="false">IF(A1703&lt;&gt;A1702,1,0)</f>
        <v>1</v>
      </c>
    </row>
    <row r="1704" customFormat="false" ht="15" hidden="false" customHeight="false" outlineLevel="0" collapsed="false">
      <c r="A1704" s="2" t="s">
        <v>1668</v>
      </c>
      <c r="B1704" s="13" t="n">
        <v>46287</v>
      </c>
      <c r="C1704" s="2" t="s">
        <v>82</v>
      </c>
      <c r="D1704" s="2" t="n">
        <v>1</v>
      </c>
      <c r="E1704" s="15" t="n">
        <v>0.572916666666667</v>
      </c>
      <c r="F1704" s="7" t="n">
        <v>13000</v>
      </c>
      <c r="G1704" s="7" t="n">
        <f aca="false">D1704*F1704</f>
        <v>13000</v>
      </c>
      <c r="H1704" s="2" t="str">
        <f aca="false">INDEX(Daftar_Menu!$B$2:$B$13,MATCH(C1704,Daftar_Menu!$A$2:$A$13,0))</f>
        <v>Makanan</v>
      </c>
      <c r="I1704" s="2" t="str">
        <f aca="false">CHOOSE(WEEKDAY(B1704,2),"Senin","Selasa","Rabu","Kamis","Jumat","Sabtu","Minggu")</f>
        <v>Selasa</v>
      </c>
      <c r="J1704" s="2" t="n">
        <f aca="false">HOUR(E1704)</f>
        <v>13</v>
      </c>
      <c r="K1704" s="2" t="str">
        <f aca="false">IF(J1704&lt;11,"Pagi",IF(J1704&lt;17,"Siang","Malam"))</f>
        <v>Siang</v>
      </c>
      <c r="L1704" s="2" t="n">
        <f aca="false">IF(A1704&lt;&gt;A1703,1,0)</f>
        <v>1</v>
      </c>
    </row>
    <row r="1705" customFormat="false" ht="15" hidden="false" customHeight="false" outlineLevel="0" collapsed="false">
      <c r="A1705" s="2" t="s">
        <v>1668</v>
      </c>
      <c r="B1705" s="13" t="n">
        <v>46287</v>
      </c>
      <c r="C1705" s="2" t="s">
        <v>101</v>
      </c>
      <c r="D1705" s="2" t="n">
        <v>2</v>
      </c>
      <c r="E1705" s="15" t="n">
        <v>0.572916666666667</v>
      </c>
      <c r="F1705" s="7" t="n">
        <v>18000</v>
      </c>
      <c r="G1705" s="7" t="n">
        <f aca="false">D1705*F1705</f>
        <v>36000</v>
      </c>
      <c r="H1705" s="2" t="str">
        <f aca="false">INDEX(Daftar_Menu!$B$2:$B$13,MATCH(C1705,Daftar_Menu!$A$2:$A$13,0))</f>
        <v>Makanan</v>
      </c>
      <c r="I1705" s="2" t="str">
        <f aca="false">CHOOSE(WEEKDAY(B1705,2),"Senin","Selasa","Rabu","Kamis","Jumat","Sabtu","Minggu")</f>
        <v>Selasa</v>
      </c>
      <c r="J1705" s="2" t="n">
        <f aca="false">HOUR(E1705)</f>
        <v>13</v>
      </c>
      <c r="K1705" s="2" t="str">
        <f aca="false">IF(J1705&lt;11,"Pagi",IF(J1705&lt;17,"Siang","Malam"))</f>
        <v>Siang</v>
      </c>
      <c r="L1705" s="2" t="n">
        <f aca="false">IF(A1705&lt;&gt;A1704,1,0)</f>
        <v>0</v>
      </c>
    </row>
    <row r="1706" customFormat="false" ht="15" hidden="false" customHeight="false" outlineLevel="0" collapsed="false">
      <c r="A1706" s="2" t="s">
        <v>1670</v>
      </c>
      <c r="B1706" s="13" t="n">
        <v>46287</v>
      </c>
      <c r="C1706" s="2" t="s">
        <v>84</v>
      </c>
      <c r="D1706" s="2" t="n">
        <v>1</v>
      </c>
      <c r="E1706" s="15" t="n">
        <v>0.586111111111111</v>
      </c>
      <c r="F1706" s="7" t="n">
        <v>5000</v>
      </c>
      <c r="G1706" s="7" t="n">
        <f aca="false">D1706*F1706</f>
        <v>5000</v>
      </c>
      <c r="H1706" s="2" t="str">
        <f aca="false">INDEX(Daftar_Menu!$B$2:$B$13,MATCH(C1706,Daftar_Menu!$A$2:$A$13,0))</f>
        <v>Minuman</v>
      </c>
      <c r="I1706" s="2" t="str">
        <f aca="false">CHOOSE(WEEKDAY(B1706,2),"Senin","Selasa","Rabu","Kamis","Jumat","Sabtu","Minggu")</f>
        <v>Selasa</v>
      </c>
      <c r="J1706" s="2" t="n">
        <f aca="false">HOUR(E1706)</f>
        <v>14</v>
      </c>
      <c r="K1706" s="2" t="str">
        <f aca="false">IF(J1706&lt;11,"Pagi",IF(J1706&lt;17,"Siang","Malam"))</f>
        <v>Siang</v>
      </c>
      <c r="L1706" s="2" t="n">
        <f aca="false">IF(A1706&lt;&gt;A1705,1,0)</f>
        <v>1</v>
      </c>
    </row>
    <row r="1707" customFormat="false" ht="15" hidden="false" customHeight="false" outlineLevel="0" collapsed="false">
      <c r="A1707" s="2" t="s">
        <v>1670</v>
      </c>
      <c r="B1707" s="13" t="n">
        <v>46287</v>
      </c>
      <c r="C1707" s="2" t="s">
        <v>89</v>
      </c>
      <c r="D1707" s="2" t="n">
        <v>1</v>
      </c>
      <c r="E1707" s="15" t="n">
        <v>0.586111111111111</v>
      </c>
      <c r="F1707" s="7" t="n">
        <v>14000</v>
      </c>
      <c r="G1707" s="7" t="n">
        <f aca="false">D1707*F1707</f>
        <v>14000</v>
      </c>
      <c r="H1707" s="2" t="str">
        <f aca="false">INDEX(Daftar_Menu!$B$2:$B$13,MATCH(C1707,Daftar_Menu!$A$2:$A$13,0))</f>
        <v>Makanan</v>
      </c>
      <c r="I1707" s="2" t="str">
        <f aca="false">CHOOSE(WEEKDAY(B1707,2),"Senin","Selasa","Rabu","Kamis","Jumat","Sabtu","Minggu")</f>
        <v>Selasa</v>
      </c>
      <c r="J1707" s="2" t="n">
        <f aca="false">HOUR(E1707)</f>
        <v>14</v>
      </c>
      <c r="K1707" s="2" t="str">
        <f aca="false">IF(J1707&lt;11,"Pagi",IF(J1707&lt;17,"Siang","Malam"))</f>
        <v>Siang</v>
      </c>
      <c r="L1707" s="2" t="n">
        <f aca="false">IF(A1707&lt;&gt;A1706,1,0)</f>
        <v>0</v>
      </c>
    </row>
    <row r="1708" customFormat="false" ht="15" hidden="false" customHeight="false" outlineLevel="0" collapsed="false">
      <c r="A1708" s="2" t="s">
        <v>1671</v>
      </c>
      <c r="B1708" s="13" t="n">
        <v>46287</v>
      </c>
      <c r="C1708" s="2" t="s">
        <v>112</v>
      </c>
      <c r="D1708" s="2" t="n">
        <v>2</v>
      </c>
      <c r="E1708" s="15" t="n">
        <v>0.630555555555556</v>
      </c>
      <c r="F1708" s="7" t="n">
        <v>10000</v>
      </c>
      <c r="G1708" s="7" t="n">
        <f aca="false">D1708*F1708</f>
        <v>20000</v>
      </c>
      <c r="H1708" s="2" t="str">
        <f aca="false">INDEX(Daftar_Menu!$B$2:$B$13,MATCH(C1708,Daftar_Menu!$A$2:$A$13,0))</f>
        <v>Minuman</v>
      </c>
      <c r="I1708" s="2" t="str">
        <f aca="false">CHOOSE(WEEKDAY(B1708,2),"Senin","Selasa","Rabu","Kamis","Jumat","Sabtu","Minggu")</f>
        <v>Selasa</v>
      </c>
      <c r="J1708" s="2" t="n">
        <f aca="false">HOUR(E1708)</f>
        <v>15</v>
      </c>
      <c r="K1708" s="2" t="str">
        <f aca="false">IF(J1708&lt;11,"Pagi",IF(J1708&lt;17,"Siang","Malam"))</f>
        <v>Siang</v>
      </c>
      <c r="L1708" s="2" t="n">
        <f aca="false">IF(A1708&lt;&gt;A1707,1,0)</f>
        <v>1</v>
      </c>
    </row>
    <row r="1709" customFormat="false" ht="15" hidden="false" customHeight="false" outlineLevel="0" collapsed="false">
      <c r="A1709" s="2" t="s">
        <v>1671</v>
      </c>
      <c r="B1709" s="13" t="n">
        <v>46287</v>
      </c>
      <c r="C1709" s="2" t="s">
        <v>101</v>
      </c>
      <c r="D1709" s="2" t="n">
        <v>1</v>
      </c>
      <c r="E1709" s="15" t="n">
        <v>0.630555555555556</v>
      </c>
      <c r="F1709" s="7" t="n">
        <v>18000</v>
      </c>
      <c r="G1709" s="7" t="n">
        <f aca="false">D1709*F1709</f>
        <v>18000</v>
      </c>
      <c r="H1709" s="2" t="str">
        <f aca="false">INDEX(Daftar_Menu!$B$2:$B$13,MATCH(C1709,Daftar_Menu!$A$2:$A$13,0))</f>
        <v>Makanan</v>
      </c>
      <c r="I1709" s="2" t="str">
        <f aca="false">CHOOSE(WEEKDAY(B1709,2),"Senin","Selasa","Rabu","Kamis","Jumat","Sabtu","Minggu")</f>
        <v>Selasa</v>
      </c>
      <c r="J1709" s="2" t="n">
        <f aca="false">HOUR(E1709)</f>
        <v>15</v>
      </c>
      <c r="K1709" s="2" t="str">
        <f aca="false">IF(J1709&lt;11,"Pagi",IF(J1709&lt;17,"Siang","Malam"))</f>
        <v>Siang</v>
      </c>
      <c r="L1709" s="2" t="n">
        <f aca="false">IF(A1709&lt;&gt;A1708,1,0)</f>
        <v>0</v>
      </c>
    </row>
    <row r="1710" customFormat="false" ht="15" hidden="false" customHeight="false" outlineLevel="0" collapsed="false">
      <c r="A1710" s="2" t="s">
        <v>1673</v>
      </c>
      <c r="B1710" s="13" t="n">
        <v>46287</v>
      </c>
      <c r="C1710" s="2" t="s">
        <v>84</v>
      </c>
      <c r="D1710" s="2" t="n">
        <v>1</v>
      </c>
      <c r="E1710" s="15" t="n">
        <v>0.634027777777778</v>
      </c>
      <c r="F1710" s="7" t="n">
        <v>5000</v>
      </c>
      <c r="G1710" s="7" t="n">
        <f aca="false">D1710*F1710</f>
        <v>5000</v>
      </c>
      <c r="H1710" s="2" t="str">
        <f aca="false">INDEX(Daftar_Menu!$B$2:$B$13,MATCH(C1710,Daftar_Menu!$A$2:$A$13,0))</f>
        <v>Minuman</v>
      </c>
      <c r="I1710" s="2" t="str">
        <f aca="false">CHOOSE(WEEKDAY(B1710,2),"Senin","Selasa","Rabu","Kamis","Jumat","Sabtu","Minggu")</f>
        <v>Selasa</v>
      </c>
      <c r="J1710" s="2" t="n">
        <f aca="false">HOUR(E1710)</f>
        <v>15</v>
      </c>
      <c r="K1710" s="2" t="str">
        <f aca="false">IF(J1710&lt;11,"Pagi",IF(J1710&lt;17,"Siang","Malam"))</f>
        <v>Siang</v>
      </c>
      <c r="L1710" s="2" t="n">
        <f aca="false">IF(A1710&lt;&gt;A1709,1,0)</f>
        <v>1</v>
      </c>
    </row>
    <row r="1711" customFormat="false" ht="15" hidden="false" customHeight="false" outlineLevel="0" collapsed="false">
      <c r="A1711" s="2" t="s">
        <v>1673</v>
      </c>
      <c r="B1711" s="13" t="n">
        <v>46287</v>
      </c>
      <c r="C1711" s="2" t="s">
        <v>101</v>
      </c>
      <c r="D1711" s="2" t="n">
        <v>1</v>
      </c>
      <c r="E1711" s="15" t="n">
        <v>0.634027777777778</v>
      </c>
      <c r="F1711" s="7" t="n">
        <v>18000</v>
      </c>
      <c r="G1711" s="7" t="n">
        <f aca="false">D1711*F1711</f>
        <v>18000</v>
      </c>
      <c r="H1711" s="2" t="str">
        <f aca="false">INDEX(Daftar_Menu!$B$2:$B$13,MATCH(C1711,Daftar_Menu!$A$2:$A$13,0))</f>
        <v>Makanan</v>
      </c>
      <c r="I1711" s="2" t="str">
        <f aca="false">CHOOSE(WEEKDAY(B1711,2),"Senin","Selasa","Rabu","Kamis","Jumat","Sabtu","Minggu")</f>
        <v>Selasa</v>
      </c>
      <c r="J1711" s="2" t="n">
        <f aca="false">HOUR(E1711)</f>
        <v>15</v>
      </c>
      <c r="K1711" s="2" t="str">
        <f aca="false">IF(J1711&lt;11,"Pagi",IF(J1711&lt;17,"Siang","Malam"))</f>
        <v>Siang</v>
      </c>
      <c r="L1711" s="2" t="n">
        <f aca="false">IF(A1711&lt;&gt;A1710,1,0)</f>
        <v>0</v>
      </c>
    </row>
    <row r="1712" customFormat="false" ht="15" hidden="false" customHeight="false" outlineLevel="0" collapsed="false">
      <c r="A1712" s="2" t="s">
        <v>1675</v>
      </c>
      <c r="B1712" s="13" t="n">
        <v>46287</v>
      </c>
      <c r="C1712" s="2" t="s">
        <v>132</v>
      </c>
      <c r="D1712" s="2" t="n">
        <v>2</v>
      </c>
      <c r="E1712" s="15" t="n">
        <v>0.638888888888889</v>
      </c>
      <c r="F1712" s="7" t="n">
        <v>15000</v>
      </c>
      <c r="G1712" s="7" t="n">
        <f aca="false">D1712*F1712</f>
        <v>30000</v>
      </c>
      <c r="H1712" s="2" t="str">
        <f aca="false">INDEX(Daftar_Menu!$B$2:$B$13,MATCH(C1712,Daftar_Menu!$A$2:$A$13,0))</f>
        <v>Makanan</v>
      </c>
      <c r="I1712" s="2" t="str">
        <f aca="false">CHOOSE(WEEKDAY(B1712,2),"Senin","Selasa","Rabu","Kamis","Jumat","Sabtu","Minggu")</f>
        <v>Selasa</v>
      </c>
      <c r="J1712" s="2" t="n">
        <f aca="false">HOUR(E1712)</f>
        <v>15</v>
      </c>
      <c r="K1712" s="2" t="str">
        <f aca="false">IF(J1712&lt;11,"Pagi",IF(J1712&lt;17,"Siang","Malam"))</f>
        <v>Siang</v>
      </c>
      <c r="L1712" s="2" t="n">
        <f aca="false">IF(A1712&lt;&gt;A1711,1,0)</f>
        <v>1</v>
      </c>
    </row>
    <row r="1713" customFormat="false" ht="15" hidden="false" customHeight="false" outlineLevel="0" collapsed="false">
      <c r="A1713" s="2" t="s">
        <v>1676</v>
      </c>
      <c r="B1713" s="13" t="n">
        <v>46287</v>
      </c>
      <c r="C1713" s="2" t="s">
        <v>132</v>
      </c>
      <c r="D1713" s="2" t="n">
        <v>1</v>
      </c>
      <c r="E1713" s="15" t="n">
        <v>0.646527777777778</v>
      </c>
      <c r="F1713" s="7" t="n">
        <v>15000</v>
      </c>
      <c r="G1713" s="7" t="n">
        <f aca="false">D1713*F1713</f>
        <v>15000</v>
      </c>
      <c r="H1713" s="2" t="str">
        <f aca="false">INDEX(Daftar_Menu!$B$2:$B$13,MATCH(C1713,Daftar_Menu!$A$2:$A$13,0))</f>
        <v>Makanan</v>
      </c>
      <c r="I1713" s="2" t="str">
        <f aca="false">CHOOSE(WEEKDAY(B1713,2),"Senin","Selasa","Rabu","Kamis","Jumat","Sabtu","Minggu")</f>
        <v>Selasa</v>
      </c>
      <c r="J1713" s="2" t="n">
        <f aca="false">HOUR(E1713)</f>
        <v>15</v>
      </c>
      <c r="K1713" s="2" t="str">
        <f aca="false">IF(J1713&lt;11,"Pagi",IF(J1713&lt;17,"Siang","Malam"))</f>
        <v>Siang</v>
      </c>
      <c r="L1713" s="2" t="n">
        <f aca="false">IF(A1713&lt;&gt;A1712,1,0)</f>
        <v>1</v>
      </c>
    </row>
    <row r="1714" customFormat="false" ht="15" hidden="false" customHeight="false" outlineLevel="0" collapsed="false">
      <c r="A1714" s="2" t="s">
        <v>1677</v>
      </c>
      <c r="B1714" s="13" t="n">
        <v>46287</v>
      </c>
      <c r="C1714" s="2" t="s">
        <v>101</v>
      </c>
      <c r="D1714" s="2" t="n">
        <v>2</v>
      </c>
      <c r="E1714" s="15" t="n">
        <v>0.677777777777778</v>
      </c>
      <c r="F1714" s="7" t="n">
        <v>18000</v>
      </c>
      <c r="G1714" s="7" t="n">
        <f aca="false">D1714*F1714</f>
        <v>36000</v>
      </c>
      <c r="H1714" s="2" t="str">
        <f aca="false">INDEX(Daftar_Menu!$B$2:$B$13,MATCH(C1714,Daftar_Menu!$A$2:$A$13,0))</f>
        <v>Makanan</v>
      </c>
      <c r="I1714" s="2" t="str">
        <f aca="false">CHOOSE(WEEKDAY(B1714,2),"Senin","Selasa","Rabu","Kamis","Jumat","Sabtu","Minggu")</f>
        <v>Selasa</v>
      </c>
      <c r="J1714" s="2" t="n">
        <f aca="false">HOUR(E1714)</f>
        <v>16</v>
      </c>
      <c r="K1714" s="2" t="str">
        <f aca="false">IF(J1714&lt;11,"Pagi",IF(J1714&lt;17,"Siang","Malam"))</f>
        <v>Siang</v>
      </c>
      <c r="L1714" s="2" t="n">
        <f aca="false">IF(A1714&lt;&gt;A1713,1,0)</f>
        <v>1</v>
      </c>
    </row>
    <row r="1715" customFormat="false" ht="15" hidden="false" customHeight="false" outlineLevel="0" collapsed="false">
      <c r="A1715" s="2" t="s">
        <v>1679</v>
      </c>
      <c r="B1715" s="13" t="n">
        <v>46287</v>
      </c>
      <c r="C1715" s="2" t="s">
        <v>84</v>
      </c>
      <c r="D1715" s="2" t="n">
        <v>2</v>
      </c>
      <c r="E1715" s="15" t="n">
        <v>0.684722222222222</v>
      </c>
      <c r="F1715" s="7" t="n">
        <v>5000</v>
      </c>
      <c r="G1715" s="7" t="n">
        <f aca="false">D1715*F1715</f>
        <v>10000</v>
      </c>
      <c r="H1715" s="2" t="str">
        <f aca="false">INDEX(Daftar_Menu!$B$2:$B$13,MATCH(C1715,Daftar_Menu!$A$2:$A$13,0))</f>
        <v>Minuman</v>
      </c>
      <c r="I1715" s="2" t="str">
        <f aca="false">CHOOSE(WEEKDAY(B1715,2),"Senin","Selasa","Rabu","Kamis","Jumat","Sabtu","Minggu")</f>
        <v>Selasa</v>
      </c>
      <c r="J1715" s="2" t="n">
        <f aca="false">HOUR(E1715)</f>
        <v>16</v>
      </c>
      <c r="K1715" s="2" t="str">
        <f aca="false">IF(J1715&lt;11,"Pagi",IF(J1715&lt;17,"Siang","Malam"))</f>
        <v>Siang</v>
      </c>
      <c r="L1715" s="2" t="n">
        <f aca="false">IF(A1715&lt;&gt;A1714,1,0)</f>
        <v>1</v>
      </c>
    </row>
    <row r="1716" customFormat="false" ht="15" hidden="false" customHeight="false" outlineLevel="0" collapsed="false">
      <c r="A1716" s="2" t="s">
        <v>1681</v>
      </c>
      <c r="B1716" s="13" t="n">
        <v>46287</v>
      </c>
      <c r="C1716" s="2" t="s">
        <v>81</v>
      </c>
      <c r="D1716" s="2" t="n">
        <v>1</v>
      </c>
      <c r="E1716" s="15" t="n">
        <v>0.752777777777778</v>
      </c>
      <c r="F1716" s="7" t="n">
        <v>15000</v>
      </c>
      <c r="G1716" s="7" t="n">
        <f aca="false">D1716*F1716</f>
        <v>15000</v>
      </c>
      <c r="H1716" s="2" t="str">
        <f aca="false">INDEX(Daftar_Menu!$B$2:$B$13,MATCH(C1716,Daftar_Menu!$A$2:$A$13,0))</f>
        <v>Makanan</v>
      </c>
      <c r="I1716" s="2" t="str">
        <f aca="false">CHOOSE(WEEKDAY(B1716,2),"Senin","Selasa","Rabu","Kamis","Jumat","Sabtu","Minggu")</f>
        <v>Selasa</v>
      </c>
      <c r="J1716" s="2" t="n">
        <f aca="false">HOUR(E1716)</f>
        <v>18</v>
      </c>
      <c r="K1716" s="2" t="str">
        <f aca="false">IF(J1716&lt;11,"Pagi",IF(J1716&lt;17,"Siang","Malam"))</f>
        <v>Malam</v>
      </c>
      <c r="L1716" s="2" t="n">
        <f aca="false">IF(A1716&lt;&gt;A1715,1,0)</f>
        <v>1</v>
      </c>
    </row>
    <row r="1717" customFormat="false" ht="15" hidden="false" customHeight="false" outlineLevel="0" collapsed="false">
      <c r="A1717" s="2" t="s">
        <v>1681</v>
      </c>
      <c r="B1717" s="13" t="n">
        <v>46287</v>
      </c>
      <c r="C1717" s="2" t="s">
        <v>132</v>
      </c>
      <c r="D1717" s="2" t="n">
        <v>2</v>
      </c>
      <c r="E1717" s="15" t="n">
        <v>0.752777777777778</v>
      </c>
      <c r="F1717" s="7" t="n">
        <v>15000</v>
      </c>
      <c r="G1717" s="7" t="n">
        <f aca="false">D1717*F1717</f>
        <v>30000</v>
      </c>
      <c r="H1717" s="2" t="str">
        <f aca="false">INDEX(Daftar_Menu!$B$2:$B$13,MATCH(C1717,Daftar_Menu!$A$2:$A$13,0))</f>
        <v>Makanan</v>
      </c>
      <c r="I1717" s="2" t="str">
        <f aca="false">CHOOSE(WEEKDAY(B1717,2),"Senin","Selasa","Rabu","Kamis","Jumat","Sabtu","Minggu")</f>
        <v>Selasa</v>
      </c>
      <c r="J1717" s="2" t="n">
        <f aca="false">HOUR(E1717)</f>
        <v>18</v>
      </c>
      <c r="K1717" s="2" t="str">
        <f aca="false">IF(J1717&lt;11,"Pagi",IF(J1717&lt;17,"Siang","Malam"))</f>
        <v>Malam</v>
      </c>
      <c r="L1717" s="2" t="n">
        <f aca="false">IF(A1717&lt;&gt;A1716,1,0)</f>
        <v>0</v>
      </c>
    </row>
    <row r="1718" customFormat="false" ht="15" hidden="false" customHeight="false" outlineLevel="0" collapsed="false">
      <c r="A1718" s="2" t="s">
        <v>1682</v>
      </c>
      <c r="B1718" s="13" t="n">
        <v>46287</v>
      </c>
      <c r="C1718" s="2" t="s">
        <v>84</v>
      </c>
      <c r="D1718" s="2" t="n">
        <v>2</v>
      </c>
      <c r="E1718" s="15" t="n">
        <v>0.763888888888889</v>
      </c>
      <c r="F1718" s="7" t="n">
        <v>5000</v>
      </c>
      <c r="G1718" s="7" t="n">
        <f aca="false">D1718*F1718</f>
        <v>10000</v>
      </c>
      <c r="H1718" s="2" t="str">
        <f aca="false">INDEX(Daftar_Menu!$B$2:$B$13,MATCH(C1718,Daftar_Menu!$A$2:$A$13,0))</f>
        <v>Minuman</v>
      </c>
      <c r="I1718" s="2" t="str">
        <f aca="false">CHOOSE(WEEKDAY(B1718,2),"Senin","Selasa","Rabu","Kamis","Jumat","Sabtu","Minggu")</f>
        <v>Selasa</v>
      </c>
      <c r="J1718" s="2" t="n">
        <f aca="false">HOUR(E1718)</f>
        <v>18</v>
      </c>
      <c r="K1718" s="2" t="str">
        <f aca="false">IF(J1718&lt;11,"Pagi",IF(J1718&lt;17,"Siang","Malam"))</f>
        <v>Malam</v>
      </c>
      <c r="L1718" s="2" t="n">
        <f aca="false">IF(A1718&lt;&gt;A1717,1,0)</f>
        <v>1</v>
      </c>
    </row>
    <row r="1719" customFormat="false" ht="15" hidden="false" customHeight="false" outlineLevel="0" collapsed="false">
      <c r="A1719" s="2" t="s">
        <v>1683</v>
      </c>
      <c r="B1719" s="13" t="n">
        <v>46287</v>
      </c>
      <c r="C1719" s="2" t="s">
        <v>81</v>
      </c>
      <c r="D1719" s="2" t="n">
        <v>1</v>
      </c>
      <c r="E1719" s="15" t="n">
        <v>0.765972222222222</v>
      </c>
      <c r="F1719" s="7" t="n">
        <v>15000</v>
      </c>
      <c r="G1719" s="7" t="n">
        <f aca="false">D1719*F1719</f>
        <v>15000</v>
      </c>
      <c r="H1719" s="2" t="str">
        <f aca="false">INDEX(Daftar_Menu!$B$2:$B$13,MATCH(C1719,Daftar_Menu!$A$2:$A$13,0))</f>
        <v>Makanan</v>
      </c>
      <c r="I1719" s="2" t="str">
        <f aca="false">CHOOSE(WEEKDAY(B1719,2),"Senin","Selasa","Rabu","Kamis","Jumat","Sabtu","Minggu")</f>
        <v>Selasa</v>
      </c>
      <c r="J1719" s="2" t="n">
        <f aca="false">HOUR(E1719)</f>
        <v>18</v>
      </c>
      <c r="K1719" s="2" t="str">
        <f aca="false">IF(J1719&lt;11,"Pagi",IF(J1719&lt;17,"Siang","Malam"))</f>
        <v>Malam</v>
      </c>
      <c r="L1719" s="2" t="n">
        <f aca="false">IF(A1719&lt;&gt;A1718,1,0)</f>
        <v>1</v>
      </c>
    </row>
    <row r="1720" customFormat="false" ht="15" hidden="false" customHeight="false" outlineLevel="0" collapsed="false">
      <c r="A1720" s="2" t="s">
        <v>1683</v>
      </c>
      <c r="B1720" s="13" t="n">
        <v>46287</v>
      </c>
      <c r="C1720" s="2" t="s">
        <v>79</v>
      </c>
      <c r="D1720" s="2" t="n">
        <v>1</v>
      </c>
      <c r="E1720" s="15" t="n">
        <v>0.765972222222222</v>
      </c>
      <c r="F1720" s="7" t="n">
        <v>16000</v>
      </c>
      <c r="G1720" s="7" t="n">
        <f aca="false">D1720*F1720</f>
        <v>16000</v>
      </c>
      <c r="H1720" s="2" t="str">
        <f aca="false">INDEX(Daftar_Menu!$B$2:$B$13,MATCH(C1720,Daftar_Menu!$A$2:$A$13,0))</f>
        <v>Makanan</v>
      </c>
      <c r="I1720" s="2" t="str">
        <f aca="false">CHOOSE(WEEKDAY(B1720,2),"Senin","Selasa","Rabu","Kamis","Jumat","Sabtu","Minggu")</f>
        <v>Selasa</v>
      </c>
      <c r="J1720" s="2" t="n">
        <f aca="false">HOUR(E1720)</f>
        <v>18</v>
      </c>
      <c r="K1720" s="2" t="str">
        <f aca="false">IF(J1720&lt;11,"Pagi",IF(J1720&lt;17,"Siang","Malam"))</f>
        <v>Malam</v>
      </c>
      <c r="L1720" s="2" t="n">
        <f aca="false">IF(A1720&lt;&gt;A1719,1,0)</f>
        <v>0</v>
      </c>
    </row>
    <row r="1721" customFormat="false" ht="15" hidden="false" customHeight="false" outlineLevel="0" collapsed="false">
      <c r="A1721" s="2" t="s">
        <v>1684</v>
      </c>
      <c r="B1721" s="13" t="n">
        <v>46287</v>
      </c>
      <c r="C1721" s="2" t="s">
        <v>186</v>
      </c>
      <c r="D1721" s="2" t="n">
        <v>1</v>
      </c>
      <c r="E1721" s="15" t="n">
        <v>0.772916666666667</v>
      </c>
      <c r="F1721" s="7" t="n">
        <v>7000</v>
      </c>
      <c r="G1721" s="7" t="n">
        <f aca="false">D1721*F1721</f>
        <v>7000</v>
      </c>
      <c r="H1721" s="2" t="str">
        <f aca="false">INDEX(Daftar_Menu!$B$2:$B$13,MATCH(C1721,Daftar_Menu!$A$2:$A$13,0))</f>
        <v>Minuman</v>
      </c>
      <c r="I1721" s="2" t="str">
        <f aca="false">CHOOSE(WEEKDAY(B1721,2),"Senin","Selasa","Rabu","Kamis","Jumat","Sabtu","Minggu")</f>
        <v>Selasa</v>
      </c>
      <c r="J1721" s="2" t="n">
        <f aca="false">HOUR(E1721)</f>
        <v>18</v>
      </c>
      <c r="K1721" s="2" t="str">
        <f aca="false">IF(J1721&lt;11,"Pagi",IF(J1721&lt;17,"Siang","Malam"))</f>
        <v>Malam</v>
      </c>
      <c r="L1721" s="2" t="n">
        <f aca="false">IF(A1721&lt;&gt;A1720,1,0)</f>
        <v>1</v>
      </c>
    </row>
    <row r="1722" customFormat="false" ht="15" hidden="false" customHeight="false" outlineLevel="0" collapsed="false">
      <c r="A1722" s="2" t="s">
        <v>1684</v>
      </c>
      <c r="B1722" s="13" t="n">
        <v>46287</v>
      </c>
      <c r="C1722" s="2" t="s">
        <v>112</v>
      </c>
      <c r="D1722" s="2" t="n">
        <v>2</v>
      </c>
      <c r="E1722" s="15" t="n">
        <v>0.772916666666667</v>
      </c>
      <c r="F1722" s="7" t="n">
        <v>10000</v>
      </c>
      <c r="G1722" s="7" t="n">
        <f aca="false">D1722*F1722</f>
        <v>20000</v>
      </c>
      <c r="H1722" s="2" t="str">
        <f aca="false">INDEX(Daftar_Menu!$B$2:$B$13,MATCH(C1722,Daftar_Menu!$A$2:$A$13,0))</f>
        <v>Minuman</v>
      </c>
      <c r="I1722" s="2" t="str">
        <f aca="false">CHOOSE(WEEKDAY(B1722,2),"Senin","Selasa","Rabu","Kamis","Jumat","Sabtu","Minggu")</f>
        <v>Selasa</v>
      </c>
      <c r="J1722" s="2" t="n">
        <f aca="false">HOUR(E1722)</f>
        <v>18</v>
      </c>
      <c r="K1722" s="2" t="str">
        <f aca="false">IF(J1722&lt;11,"Pagi",IF(J1722&lt;17,"Siang","Malam"))</f>
        <v>Malam</v>
      </c>
      <c r="L1722" s="2" t="n">
        <f aca="false">IF(A1722&lt;&gt;A1721,1,0)</f>
        <v>0</v>
      </c>
    </row>
    <row r="1723" customFormat="false" ht="15" hidden="false" customHeight="false" outlineLevel="0" collapsed="false">
      <c r="A1723" s="2" t="s">
        <v>1685</v>
      </c>
      <c r="B1723" s="13" t="n">
        <v>46287</v>
      </c>
      <c r="C1723" s="2" t="s">
        <v>81</v>
      </c>
      <c r="D1723" s="2" t="n">
        <v>2</v>
      </c>
      <c r="E1723" s="15" t="n">
        <v>0.781944444444444</v>
      </c>
      <c r="F1723" s="7" t="n">
        <v>15000</v>
      </c>
      <c r="G1723" s="7" t="n">
        <f aca="false">D1723*F1723</f>
        <v>30000</v>
      </c>
      <c r="H1723" s="2" t="str">
        <f aca="false">INDEX(Daftar_Menu!$B$2:$B$13,MATCH(C1723,Daftar_Menu!$A$2:$A$13,0))</f>
        <v>Makanan</v>
      </c>
      <c r="I1723" s="2" t="str">
        <f aca="false">CHOOSE(WEEKDAY(B1723,2),"Senin","Selasa","Rabu","Kamis","Jumat","Sabtu","Minggu")</f>
        <v>Selasa</v>
      </c>
      <c r="J1723" s="2" t="n">
        <f aca="false">HOUR(E1723)</f>
        <v>18</v>
      </c>
      <c r="K1723" s="2" t="str">
        <f aca="false">IF(J1723&lt;11,"Pagi",IF(J1723&lt;17,"Siang","Malam"))</f>
        <v>Malam</v>
      </c>
      <c r="L1723" s="2" t="n">
        <f aca="false">IF(A1723&lt;&gt;A1722,1,0)</f>
        <v>1</v>
      </c>
    </row>
    <row r="1724" customFormat="false" ht="15" hidden="false" customHeight="false" outlineLevel="0" collapsed="false">
      <c r="A1724" s="2" t="s">
        <v>1686</v>
      </c>
      <c r="B1724" s="13" t="n">
        <v>46287</v>
      </c>
      <c r="C1724" s="2" t="s">
        <v>89</v>
      </c>
      <c r="D1724" s="2" t="n">
        <v>1</v>
      </c>
      <c r="E1724" s="15" t="n">
        <v>0.784722222222222</v>
      </c>
      <c r="F1724" s="7" t="n">
        <v>14000</v>
      </c>
      <c r="G1724" s="7" t="n">
        <f aca="false">D1724*F1724</f>
        <v>14000</v>
      </c>
      <c r="H1724" s="2" t="str">
        <f aca="false">INDEX(Daftar_Menu!$B$2:$B$13,MATCH(C1724,Daftar_Menu!$A$2:$A$13,0))</f>
        <v>Makanan</v>
      </c>
      <c r="I1724" s="2" t="str">
        <f aca="false">CHOOSE(WEEKDAY(B1724,2),"Senin","Selasa","Rabu","Kamis","Jumat","Sabtu","Minggu")</f>
        <v>Selasa</v>
      </c>
      <c r="J1724" s="2" t="n">
        <f aca="false">HOUR(E1724)</f>
        <v>18</v>
      </c>
      <c r="K1724" s="2" t="str">
        <f aca="false">IF(J1724&lt;11,"Pagi",IF(J1724&lt;17,"Siang","Malam"))</f>
        <v>Malam</v>
      </c>
      <c r="L1724" s="2" t="n">
        <f aca="false">IF(A1724&lt;&gt;A1723,1,0)</f>
        <v>1</v>
      </c>
    </row>
    <row r="1725" customFormat="false" ht="15" hidden="false" customHeight="false" outlineLevel="0" collapsed="false">
      <c r="A1725" s="2" t="s">
        <v>1686</v>
      </c>
      <c r="B1725" s="13" t="n">
        <v>46287</v>
      </c>
      <c r="C1725" s="2" t="s">
        <v>84</v>
      </c>
      <c r="D1725" s="2" t="n">
        <v>1</v>
      </c>
      <c r="E1725" s="15" t="n">
        <v>0.784722222222222</v>
      </c>
      <c r="F1725" s="7" t="n">
        <v>5000</v>
      </c>
      <c r="G1725" s="7" t="n">
        <f aca="false">D1725*F1725</f>
        <v>5000</v>
      </c>
      <c r="H1725" s="2" t="str">
        <f aca="false">INDEX(Daftar_Menu!$B$2:$B$13,MATCH(C1725,Daftar_Menu!$A$2:$A$13,0))</f>
        <v>Minuman</v>
      </c>
      <c r="I1725" s="2" t="str">
        <f aca="false">CHOOSE(WEEKDAY(B1725,2),"Senin","Selasa","Rabu","Kamis","Jumat","Sabtu","Minggu")</f>
        <v>Selasa</v>
      </c>
      <c r="J1725" s="2" t="n">
        <f aca="false">HOUR(E1725)</f>
        <v>18</v>
      </c>
      <c r="K1725" s="2" t="str">
        <f aca="false">IF(J1725&lt;11,"Pagi",IF(J1725&lt;17,"Siang","Malam"))</f>
        <v>Malam</v>
      </c>
      <c r="L1725" s="2" t="n">
        <f aca="false">IF(A1725&lt;&gt;A1724,1,0)</f>
        <v>0</v>
      </c>
    </row>
    <row r="1726" customFormat="false" ht="15" hidden="false" customHeight="false" outlineLevel="0" collapsed="false">
      <c r="A1726" s="2" t="s">
        <v>1686</v>
      </c>
      <c r="B1726" s="13" t="n">
        <v>46287</v>
      </c>
      <c r="C1726" s="2" t="s">
        <v>101</v>
      </c>
      <c r="D1726" s="2" t="n">
        <v>1</v>
      </c>
      <c r="E1726" s="15" t="n">
        <v>0.784722222222222</v>
      </c>
      <c r="F1726" s="7" t="n">
        <v>18000</v>
      </c>
      <c r="G1726" s="7" t="n">
        <f aca="false">D1726*F1726</f>
        <v>18000</v>
      </c>
      <c r="H1726" s="2" t="str">
        <f aca="false">INDEX(Daftar_Menu!$B$2:$B$13,MATCH(C1726,Daftar_Menu!$A$2:$A$13,0))</f>
        <v>Makanan</v>
      </c>
      <c r="I1726" s="2" t="str">
        <f aca="false">CHOOSE(WEEKDAY(B1726,2),"Senin","Selasa","Rabu","Kamis","Jumat","Sabtu","Minggu")</f>
        <v>Selasa</v>
      </c>
      <c r="J1726" s="2" t="n">
        <f aca="false">HOUR(E1726)</f>
        <v>18</v>
      </c>
      <c r="K1726" s="2" t="str">
        <f aca="false">IF(J1726&lt;11,"Pagi",IF(J1726&lt;17,"Siang","Malam"))</f>
        <v>Malam</v>
      </c>
      <c r="L1726" s="2" t="n">
        <f aca="false">IF(A1726&lt;&gt;A1725,1,0)</f>
        <v>0</v>
      </c>
    </row>
    <row r="1727" customFormat="false" ht="15" hidden="false" customHeight="false" outlineLevel="0" collapsed="false">
      <c r="A1727" s="2" t="s">
        <v>1687</v>
      </c>
      <c r="B1727" s="13" t="n">
        <v>46287</v>
      </c>
      <c r="C1727" s="2" t="s">
        <v>81</v>
      </c>
      <c r="D1727" s="2" t="n">
        <v>1</v>
      </c>
      <c r="E1727" s="15" t="n">
        <v>0.785416666666667</v>
      </c>
      <c r="F1727" s="7" t="n">
        <v>15000</v>
      </c>
      <c r="G1727" s="7" t="n">
        <f aca="false">D1727*F1727</f>
        <v>15000</v>
      </c>
      <c r="H1727" s="2" t="str">
        <f aca="false">INDEX(Daftar_Menu!$B$2:$B$13,MATCH(C1727,Daftar_Menu!$A$2:$A$13,0))</f>
        <v>Makanan</v>
      </c>
      <c r="I1727" s="2" t="str">
        <f aca="false">CHOOSE(WEEKDAY(B1727,2),"Senin","Selasa","Rabu","Kamis","Jumat","Sabtu","Minggu")</f>
        <v>Selasa</v>
      </c>
      <c r="J1727" s="2" t="n">
        <f aca="false">HOUR(E1727)</f>
        <v>18</v>
      </c>
      <c r="K1727" s="2" t="str">
        <f aca="false">IF(J1727&lt;11,"Pagi",IF(J1727&lt;17,"Siang","Malam"))</f>
        <v>Malam</v>
      </c>
      <c r="L1727" s="2" t="n">
        <f aca="false">IF(A1727&lt;&gt;A1726,1,0)</f>
        <v>1</v>
      </c>
    </row>
    <row r="1728" customFormat="false" ht="15" hidden="false" customHeight="false" outlineLevel="0" collapsed="false">
      <c r="A1728" s="2" t="s">
        <v>1687</v>
      </c>
      <c r="B1728" s="13" t="n">
        <v>46287</v>
      </c>
      <c r="C1728" s="2" t="s">
        <v>89</v>
      </c>
      <c r="D1728" s="2" t="n">
        <v>1</v>
      </c>
      <c r="E1728" s="15" t="n">
        <v>0.785416666666667</v>
      </c>
      <c r="F1728" s="7" t="n">
        <v>14000</v>
      </c>
      <c r="G1728" s="7" t="n">
        <f aca="false">D1728*F1728</f>
        <v>14000</v>
      </c>
      <c r="H1728" s="2" t="str">
        <f aca="false">INDEX(Daftar_Menu!$B$2:$B$13,MATCH(C1728,Daftar_Menu!$A$2:$A$13,0))</f>
        <v>Makanan</v>
      </c>
      <c r="I1728" s="2" t="str">
        <f aca="false">CHOOSE(WEEKDAY(B1728,2),"Senin","Selasa","Rabu","Kamis","Jumat","Sabtu","Minggu")</f>
        <v>Selasa</v>
      </c>
      <c r="J1728" s="2" t="n">
        <f aca="false">HOUR(E1728)</f>
        <v>18</v>
      </c>
      <c r="K1728" s="2" t="str">
        <f aca="false">IF(J1728&lt;11,"Pagi",IF(J1728&lt;17,"Siang","Malam"))</f>
        <v>Malam</v>
      </c>
      <c r="L1728" s="2" t="n">
        <f aca="false">IF(A1728&lt;&gt;A1727,1,0)</f>
        <v>0</v>
      </c>
    </row>
    <row r="1729" customFormat="false" ht="15" hidden="false" customHeight="false" outlineLevel="0" collapsed="false">
      <c r="A1729" s="2" t="s">
        <v>1688</v>
      </c>
      <c r="B1729" s="13" t="n">
        <v>46287</v>
      </c>
      <c r="C1729" s="2" t="s">
        <v>79</v>
      </c>
      <c r="D1729" s="2" t="n">
        <v>1</v>
      </c>
      <c r="E1729" s="15" t="n">
        <v>0.790277777777778</v>
      </c>
      <c r="F1729" s="7" t="n">
        <v>16000</v>
      </c>
      <c r="G1729" s="7" t="n">
        <f aca="false">D1729*F1729</f>
        <v>16000</v>
      </c>
      <c r="H1729" s="2" t="str">
        <f aca="false">INDEX(Daftar_Menu!$B$2:$B$13,MATCH(C1729,Daftar_Menu!$A$2:$A$13,0))</f>
        <v>Makanan</v>
      </c>
      <c r="I1729" s="2" t="str">
        <f aca="false">CHOOSE(WEEKDAY(B1729,2),"Senin","Selasa","Rabu","Kamis","Jumat","Sabtu","Minggu")</f>
        <v>Selasa</v>
      </c>
      <c r="J1729" s="2" t="n">
        <f aca="false">HOUR(E1729)</f>
        <v>18</v>
      </c>
      <c r="K1729" s="2" t="str">
        <f aca="false">IF(J1729&lt;11,"Pagi",IF(J1729&lt;17,"Siang","Malam"))</f>
        <v>Malam</v>
      </c>
      <c r="L1729" s="2" t="n">
        <f aca="false">IF(A1729&lt;&gt;A1728,1,0)</f>
        <v>1</v>
      </c>
    </row>
    <row r="1730" customFormat="false" ht="15" hidden="false" customHeight="false" outlineLevel="0" collapsed="false">
      <c r="A1730" s="2" t="s">
        <v>1688</v>
      </c>
      <c r="B1730" s="13" t="n">
        <v>46287</v>
      </c>
      <c r="C1730" s="2" t="s">
        <v>132</v>
      </c>
      <c r="D1730" s="2" t="n">
        <v>1</v>
      </c>
      <c r="E1730" s="15" t="n">
        <v>0.790277777777778</v>
      </c>
      <c r="F1730" s="7" t="n">
        <v>15000</v>
      </c>
      <c r="G1730" s="7" t="n">
        <f aca="false">D1730*F1730</f>
        <v>15000</v>
      </c>
      <c r="H1730" s="2" t="str">
        <f aca="false">INDEX(Daftar_Menu!$B$2:$B$13,MATCH(C1730,Daftar_Menu!$A$2:$A$13,0))</f>
        <v>Makanan</v>
      </c>
      <c r="I1730" s="2" t="str">
        <f aca="false">CHOOSE(WEEKDAY(B1730,2),"Senin","Selasa","Rabu","Kamis","Jumat","Sabtu","Minggu")</f>
        <v>Selasa</v>
      </c>
      <c r="J1730" s="2" t="n">
        <f aca="false">HOUR(E1730)</f>
        <v>18</v>
      </c>
      <c r="K1730" s="2" t="str">
        <f aca="false">IF(J1730&lt;11,"Pagi",IF(J1730&lt;17,"Siang","Malam"))</f>
        <v>Malam</v>
      </c>
      <c r="L1730" s="2" t="n">
        <f aca="false">IF(A1730&lt;&gt;A1729,1,0)</f>
        <v>0</v>
      </c>
    </row>
    <row r="1731" customFormat="false" ht="15" hidden="false" customHeight="false" outlineLevel="0" collapsed="false">
      <c r="A1731" s="2" t="s">
        <v>1689</v>
      </c>
      <c r="B1731" s="13" t="n">
        <v>46287</v>
      </c>
      <c r="C1731" s="2" t="s">
        <v>108</v>
      </c>
      <c r="D1731" s="2" t="n">
        <v>1</v>
      </c>
      <c r="E1731" s="15" t="n">
        <v>0.791666666666667</v>
      </c>
      <c r="F1731" s="7" t="n">
        <v>20000</v>
      </c>
      <c r="G1731" s="7" t="n">
        <f aca="false">D1731*F1731</f>
        <v>20000</v>
      </c>
      <c r="H1731" s="2" t="str">
        <f aca="false">INDEX(Daftar_Menu!$B$2:$B$13,MATCH(C1731,Daftar_Menu!$A$2:$A$13,0))</f>
        <v>Makanan</v>
      </c>
      <c r="I1731" s="2" t="str">
        <f aca="false">CHOOSE(WEEKDAY(B1731,2),"Senin","Selasa","Rabu","Kamis","Jumat","Sabtu","Minggu")</f>
        <v>Selasa</v>
      </c>
      <c r="J1731" s="2" t="n">
        <f aca="false">HOUR(E1731)</f>
        <v>19</v>
      </c>
      <c r="K1731" s="2" t="str">
        <f aca="false">IF(J1731&lt;11,"Pagi",IF(J1731&lt;17,"Siang","Malam"))</f>
        <v>Malam</v>
      </c>
      <c r="L1731" s="2" t="n">
        <f aca="false">IF(A1731&lt;&gt;A1730,1,0)</f>
        <v>1</v>
      </c>
    </row>
    <row r="1732" customFormat="false" ht="15" hidden="false" customHeight="false" outlineLevel="0" collapsed="false">
      <c r="A1732" s="2" t="s">
        <v>1690</v>
      </c>
      <c r="B1732" s="13" t="n">
        <v>46287</v>
      </c>
      <c r="C1732" s="2" t="s">
        <v>84</v>
      </c>
      <c r="D1732" s="2" t="n">
        <v>2</v>
      </c>
      <c r="E1732" s="15" t="n">
        <v>0.797916666666667</v>
      </c>
      <c r="F1732" s="7" t="n">
        <v>5000</v>
      </c>
      <c r="G1732" s="7" t="n">
        <f aca="false">D1732*F1732</f>
        <v>10000</v>
      </c>
      <c r="H1732" s="2" t="str">
        <f aca="false">INDEX(Daftar_Menu!$B$2:$B$13,MATCH(C1732,Daftar_Menu!$A$2:$A$13,0))</f>
        <v>Minuman</v>
      </c>
      <c r="I1732" s="2" t="str">
        <f aca="false">CHOOSE(WEEKDAY(B1732,2),"Senin","Selasa","Rabu","Kamis","Jumat","Sabtu","Minggu")</f>
        <v>Selasa</v>
      </c>
      <c r="J1732" s="2" t="n">
        <f aca="false">HOUR(E1732)</f>
        <v>19</v>
      </c>
      <c r="K1732" s="2" t="str">
        <f aca="false">IF(J1732&lt;11,"Pagi",IF(J1732&lt;17,"Siang","Malam"))</f>
        <v>Malam</v>
      </c>
      <c r="L1732" s="2" t="n">
        <f aca="false">IF(A1732&lt;&gt;A1731,1,0)</f>
        <v>1</v>
      </c>
    </row>
    <row r="1733" customFormat="false" ht="15" hidden="false" customHeight="false" outlineLevel="0" collapsed="false">
      <c r="A1733" s="2" t="s">
        <v>1690</v>
      </c>
      <c r="B1733" s="13" t="n">
        <v>46287</v>
      </c>
      <c r="C1733" s="2" t="s">
        <v>89</v>
      </c>
      <c r="D1733" s="2" t="n">
        <v>1</v>
      </c>
      <c r="E1733" s="15" t="n">
        <v>0.797916666666667</v>
      </c>
      <c r="F1733" s="7" t="n">
        <v>14000</v>
      </c>
      <c r="G1733" s="7" t="n">
        <f aca="false">D1733*F1733</f>
        <v>14000</v>
      </c>
      <c r="H1733" s="2" t="str">
        <f aca="false">INDEX(Daftar_Menu!$B$2:$B$13,MATCH(C1733,Daftar_Menu!$A$2:$A$13,0))</f>
        <v>Makanan</v>
      </c>
      <c r="I1733" s="2" t="str">
        <f aca="false">CHOOSE(WEEKDAY(B1733,2),"Senin","Selasa","Rabu","Kamis","Jumat","Sabtu","Minggu")</f>
        <v>Selasa</v>
      </c>
      <c r="J1733" s="2" t="n">
        <f aca="false">HOUR(E1733)</f>
        <v>19</v>
      </c>
      <c r="K1733" s="2" t="str">
        <f aca="false">IF(J1733&lt;11,"Pagi",IF(J1733&lt;17,"Siang","Malam"))</f>
        <v>Malam</v>
      </c>
      <c r="L1733" s="2" t="n">
        <f aca="false">IF(A1733&lt;&gt;A1732,1,0)</f>
        <v>0</v>
      </c>
    </row>
    <row r="1734" customFormat="false" ht="15" hidden="false" customHeight="false" outlineLevel="0" collapsed="false">
      <c r="A1734" s="2" t="s">
        <v>1691</v>
      </c>
      <c r="B1734" s="13" t="n">
        <v>46287</v>
      </c>
      <c r="C1734" s="2" t="s">
        <v>79</v>
      </c>
      <c r="D1734" s="2" t="n">
        <v>1</v>
      </c>
      <c r="E1734" s="15" t="n">
        <v>0.803472222222222</v>
      </c>
      <c r="F1734" s="7" t="n">
        <v>16000</v>
      </c>
      <c r="G1734" s="7" t="n">
        <f aca="false">D1734*F1734</f>
        <v>16000</v>
      </c>
      <c r="H1734" s="2" t="str">
        <f aca="false">INDEX(Daftar_Menu!$B$2:$B$13,MATCH(C1734,Daftar_Menu!$A$2:$A$13,0))</f>
        <v>Makanan</v>
      </c>
      <c r="I1734" s="2" t="str">
        <f aca="false">CHOOSE(WEEKDAY(B1734,2),"Senin","Selasa","Rabu","Kamis","Jumat","Sabtu","Minggu")</f>
        <v>Selasa</v>
      </c>
      <c r="J1734" s="2" t="n">
        <f aca="false">HOUR(E1734)</f>
        <v>19</v>
      </c>
      <c r="K1734" s="2" t="str">
        <f aca="false">IF(J1734&lt;11,"Pagi",IF(J1734&lt;17,"Siang","Malam"))</f>
        <v>Malam</v>
      </c>
      <c r="L1734" s="2" t="n">
        <f aca="false">IF(A1734&lt;&gt;A1733,1,0)</f>
        <v>1</v>
      </c>
    </row>
    <row r="1735" customFormat="false" ht="15" hidden="false" customHeight="false" outlineLevel="0" collapsed="false">
      <c r="A1735" s="2" t="s">
        <v>1693</v>
      </c>
      <c r="B1735" s="13" t="n">
        <v>46287</v>
      </c>
      <c r="C1735" s="2" t="s">
        <v>108</v>
      </c>
      <c r="D1735" s="2" t="n">
        <v>1</v>
      </c>
      <c r="E1735" s="15" t="n">
        <v>0.807638888888889</v>
      </c>
      <c r="F1735" s="7" t="n">
        <v>20000</v>
      </c>
      <c r="G1735" s="7" t="n">
        <f aca="false">D1735*F1735</f>
        <v>20000</v>
      </c>
      <c r="H1735" s="2" t="str">
        <f aca="false">INDEX(Daftar_Menu!$B$2:$B$13,MATCH(C1735,Daftar_Menu!$A$2:$A$13,0))</f>
        <v>Makanan</v>
      </c>
      <c r="I1735" s="2" t="str">
        <f aca="false">CHOOSE(WEEKDAY(B1735,2),"Senin","Selasa","Rabu","Kamis","Jumat","Sabtu","Minggu")</f>
        <v>Selasa</v>
      </c>
      <c r="J1735" s="2" t="n">
        <f aca="false">HOUR(E1735)</f>
        <v>19</v>
      </c>
      <c r="K1735" s="2" t="str">
        <f aca="false">IF(J1735&lt;11,"Pagi",IF(J1735&lt;17,"Siang","Malam"))</f>
        <v>Malam</v>
      </c>
      <c r="L1735" s="2" t="n">
        <f aca="false">IF(A1735&lt;&gt;A1734,1,0)</f>
        <v>1</v>
      </c>
    </row>
    <row r="1736" customFormat="false" ht="15" hidden="false" customHeight="false" outlineLevel="0" collapsed="false">
      <c r="A1736" s="2" t="s">
        <v>1693</v>
      </c>
      <c r="B1736" s="13" t="n">
        <v>46287</v>
      </c>
      <c r="C1736" s="2" t="s">
        <v>112</v>
      </c>
      <c r="D1736" s="2" t="n">
        <v>2</v>
      </c>
      <c r="E1736" s="15" t="n">
        <v>0.807638888888889</v>
      </c>
      <c r="F1736" s="7" t="n">
        <v>10000</v>
      </c>
      <c r="G1736" s="7" t="n">
        <f aca="false">D1736*F1736</f>
        <v>20000</v>
      </c>
      <c r="H1736" s="2" t="str">
        <f aca="false">INDEX(Daftar_Menu!$B$2:$B$13,MATCH(C1736,Daftar_Menu!$A$2:$A$13,0))</f>
        <v>Minuman</v>
      </c>
      <c r="I1736" s="2" t="str">
        <f aca="false">CHOOSE(WEEKDAY(B1736,2),"Senin","Selasa","Rabu","Kamis","Jumat","Sabtu","Minggu")</f>
        <v>Selasa</v>
      </c>
      <c r="J1736" s="2" t="n">
        <f aca="false">HOUR(E1736)</f>
        <v>19</v>
      </c>
      <c r="K1736" s="2" t="str">
        <f aca="false">IF(J1736&lt;11,"Pagi",IF(J1736&lt;17,"Siang","Malam"))</f>
        <v>Malam</v>
      </c>
      <c r="L1736" s="2" t="n">
        <f aca="false">IF(A1736&lt;&gt;A1735,1,0)</f>
        <v>0</v>
      </c>
    </row>
    <row r="1737" customFormat="false" ht="15" hidden="false" customHeight="false" outlineLevel="0" collapsed="false">
      <c r="A1737" s="2" t="s">
        <v>1693</v>
      </c>
      <c r="B1737" s="13" t="n">
        <v>46287</v>
      </c>
      <c r="C1737" s="2" t="s">
        <v>84</v>
      </c>
      <c r="D1737" s="2" t="n">
        <v>1</v>
      </c>
      <c r="E1737" s="15" t="n">
        <v>0.807638888888889</v>
      </c>
      <c r="F1737" s="7" t="n">
        <v>5000</v>
      </c>
      <c r="G1737" s="7" t="n">
        <f aca="false">D1737*F1737</f>
        <v>5000</v>
      </c>
      <c r="H1737" s="2" t="str">
        <f aca="false">INDEX(Daftar_Menu!$B$2:$B$13,MATCH(C1737,Daftar_Menu!$A$2:$A$13,0))</f>
        <v>Minuman</v>
      </c>
      <c r="I1737" s="2" t="str">
        <f aca="false">CHOOSE(WEEKDAY(B1737,2),"Senin","Selasa","Rabu","Kamis","Jumat","Sabtu","Minggu")</f>
        <v>Selasa</v>
      </c>
      <c r="J1737" s="2" t="n">
        <f aca="false">HOUR(E1737)</f>
        <v>19</v>
      </c>
      <c r="K1737" s="2" t="str">
        <f aca="false">IF(J1737&lt;11,"Pagi",IF(J1737&lt;17,"Siang","Malam"))</f>
        <v>Malam</v>
      </c>
      <c r="L1737" s="2" t="n">
        <f aca="false">IF(A1737&lt;&gt;A1736,1,0)</f>
        <v>0</v>
      </c>
    </row>
    <row r="1738" customFormat="false" ht="15" hidden="false" customHeight="false" outlineLevel="0" collapsed="false">
      <c r="A1738" s="2" t="s">
        <v>1694</v>
      </c>
      <c r="B1738" s="13" t="n">
        <v>46287</v>
      </c>
      <c r="C1738" s="2" t="s">
        <v>84</v>
      </c>
      <c r="D1738" s="2" t="n">
        <v>1</v>
      </c>
      <c r="E1738" s="15" t="n">
        <v>0.8125</v>
      </c>
      <c r="F1738" s="7" t="n">
        <v>5000</v>
      </c>
      <c r="G1738" s="7" t="n">
        <f aca="false">D1738*F1738</f>
        <v>5000</v>
      </c>
      <c r="H1738" s="2" t="str">
        <f aca="false">INDEX(Daftar_Menu!$B$2:$B$13,MATCH(C1738,Daftar_Menu!$A$2:$A$13,0))</f>
        <v>Minuman</v>
      </c>
      <c r="I1738" s="2" t="str">
        <f aca="false">CHOOSE(WEEKDAY(B1738,2),"Senin","Selasa","Rabu","Kamis","Jumat","Sabtu","Minggu")</f>
        <v>Selasa</v>
      </c>
      <c r="J1738" s="2" t="n">
        <f aca="false">HOUR(E1738)</f>
        <v>19</v>
      </c>
      <c r="K1738" s="2" t="str">
        <f aca="false">IF(J1738&lt;11,"Pagi",IF(J1738&lt;17,"Siang","Malam"))</f>
        <v>Malam</v>
      </c>
      <c r="L1738" s="2" t="n">
        <f aca="false">IF(A1738&lt;&gt;A1737,1,0)</f>
        <v>1</v>
      </c>
    </row>
    <row r="1739" customFormat="false" ht="15" hidden="false" customHeight="false" outlineLevel="0" collapsed="false">
      <c r="A1739" s="2" t="s">
        <v>1695</v>
      </c>
      <c r="B1739" s="13" t="n">
        <v>46287</v>
      </c>
      <c r="C1739" s="2" t="s">
        <v>81</v>
      </c>
      <c r="D1739" s="2" t="n">
        <v>2</v>
      </c>
      <c r="E1739" s="15" t="n">
        <v>0.822222222222222</v>
      </c>
      <c r="F1739" s="7" t="n">
        <v>15000</v>
      </c>
      <c r="G1739" s="7" t="n">
        <f aca="false">D1739*F1739</f>
        <v>30000</v>
      </c>
      <c r="H1739" s="2" t="str">
        <f aca="false">INDEX(Daftar_Menu!$B$2:$B$13,MATCH(C1739,Daftar_Menu!$A$2:$A$13,0))</f>
        <v>Makanan</v>
      </c>
      <c r="I1739" s="2" t="str">
        <f aca="false">CHOOSE(WEEKDAY(B1739,2),"Senin","Selasa","Rabu","Kamis","Jumat","Sabtu","Minggu")</f>
        <v>Selasa</v>
      </c>
      <c r="J1739" s="2" t="n">
        <f aca="false">HOUR(E1739)</f>
        <v>19</v>
      </c>
      <c r="K1739" s="2" t="str">
        <f aca="false">IF(J1739&lt;11,"Pagi",IF(J1739&lt;17,"Siang","Malam"))</f>
        <v>Malam</v>
      </c>
      <c r="L1739" s="2" t="n">
        <f aca="false">IF(A1739&lt;&gt;A1738,1,0)</f>
        <v>1</v>
      </c>
    </row>
    <row r="1740" customFormat="false" ht="15" hidden="false" customHeight="false" outlineLevel="0" collapsed="false">
      <c r="A1740" s="2" t="s">
        <v>1695</v>
      </c>
      <c r="B1740" s="13" t="n">
        <v>46287</v>
      </c>
      <c r="C1740" s="2" t="s">
        <v>84</v>
      </c>
      <c r="D1740" s="2" t="n">
        <v>2</v>
      </c>
      <c r="E1740" s="15" t="n">
        <v>0.822222222222222</v>
      </c>
      <c r="F1740" s="7" t="n">
        <v>5000</v>
      </c>
      <c r="G1740" s="7" t="n">
        <f aca="false">D1740*F1740</f>
        <v>10000</v>
      </c>
      <c r="H1740" s="2" t="str">
        <f aca="false">INDEX(Daftar_Menu!$B$2:$B$13,MATCH(C1740,Daftar_Menu!$A$2:$A$13,0))</f>
        <v>Minuman</v>
      </c>
      <c r="I1740" s="2" t="str">
        <f aca="false">CHOOSE(WEEKDAY(B1740,2),"Senin","Selasa","Rabu","Kamis","Jumat","Sabtu","Minggu")</f>
        <v>Selasa</v>
      </c>
      <c r="J1740" s="2" t="n">
        <f aca="false">HOUR(E1740)</f>
        <v>19</v>
      </c>
      <c r="K1740" s="2" t="str">
        <f aca="false">IF(J1740&lt;11,"Pagi",IF(J1740&lt;17,"Siang","Malam"))</f>
        <v>Malam</v>
      </c>
      <c r="L1740" s="2" t="n">
        <f aca="false">IF(A1740&lt;&gt;A1739,1,0)</f>
        <v>0</v>
      </c>
    </row>
    <row r="1741" customFormat="false" ht="15" hidden="false" customHeight="false" outlineLevel="0" collapsed="false">
      <c r="A1741" s="2" t="s">
        <v>1695</v>
      </c>
      <c r="B1741" s="13" t="n">
        <v>46287</v>
      </c>
      <c r="C1741" s="2" t="s">
        <v>132</v>
      </c>
      <c r="D1741" s="2" t="n">
        <v>1</v>
      </c>
      <c r="E1741" s="15" t="n">
        <v>0.822222222222222</v>
      </c>
      <c r="F1741" s="7" t="n">
        <v>15000</v>
      </c>
      <c r="G1741" s="7" t="n">
        <f aca="false">D1741*F1741</f>
        <v>15000</v>
      </c>
      <c r="H1741" s="2" t="str">
        <f aca="false">INDEX(Daftar_Menu!$B$2:$B$13,MATCH(C1741,Daftar_Menu!$A$2:$A$13,0))</f>
        <v>Makanan</v>
      </c>
      <c r="I1741" s="2" t="str">
        <f aca="false">CHOOSE(WEEKDAY(B1741,2),"Senin","Selasa","Rabu","Kamis","Jumat","Sabtu","Minggu")</f>
        <v>Selasa</v>
      </c>
      <c r="J1741" s="2" t="n">
        <f aca="false">HOUR(E1741)</f>
        <v>19</v>
      </c>
      <c r="K1741" s="2" t="str">
        <f aca="false">IF(J1741&lt;11,"Pagi",IF(J1741&lt;17,"Siang","Malam"))</f>
        <v>Malam</v>
      </c>
      <c r="L1741" s="2" t="n">
        <f aca="false">IF(A1741&lt;&gt;A1740,1,0)</f>
        <v>0</v>
      </c>
    </row>
    <row r="1742" customFormat="false" ht="15" hidden="false" customHeight="false" outlineLevel="0" collapsed="false">
      <c r="A1742" s="2" t="s">
        <v>1696</v>
      </c>
      <c r="B1742" s="13" t="n">
        <v>46287</v>
      </c>
      <c r="C1742" s="2" t="s">
        <v>84</v>
      </c>
      <c r="D1742" s="2" t="n">
        <v>2</v>
      </c>
      <c r="E1742" s="15" t="n">
        <v>0.823611111111111</v>
      </c>
      <c r="F1742" s="7" t="n">
        <v>5000</v>
      </c>
      <c r="G1742" s="7" t="n">
        <f aca="false">D1742*F1742</f>
        <v>10000</v>
      </c>
      <c r="H1742" s="2" t="str">
        <f aca="false">INDEX(Daftar_Menu!$B$2:$B$13,MATCH(C1742,Daftar_Menu!$A$2:$A$13,0))</f>
        <v>Minuman</v>
      </c>
      <c r="I1742" s="2" t="str">
        <f aca="false">CHOOSE(WEEKDAY(B1742,2),"Senin","Selasa","Rabu","Kamis","Jumat","Sabtu","Minggu")</f>
        <v>Selasa</v>
      </c>
      <c r="J1742" s="2" t="n">
        <f aca="false">HOUR(E1742)</f>
        <v>19</v>
      </c>
      <c r="K1742" s="2" t="str">
        <f aca="false">IF(J1742&lt;11,"Pagi",IF(J1742&lt;17,"Siang","Malam"))</f>
        <v>Malam</v>
      </c>
      <c r="L1742" s="2" t="n">
        <f aca="false">IF(A1742&lt;&gt;A1741,1,0)</f>
        <v>1</v>
      </c>
    </row>
    <row r="1743" customFormat="false" ht="15" hidden="false" customHeight="false" outlineLevel="0" collapsed="false">
      <c r="A1743" s="2" t="s">
        <v>1696</v>
      </c>
      <c r="B1743" s="13" t="n">
        <v>46287</v>
      </c>
      <c r="C1743" s="2" t="s">
        <v>89</v>
      </c>
      <c r="D1743" s="2" t="n">
        <v>2</v>
      </c>
      <c r="E1743" s="15" t="n">
        <v>0.823611111111111</v>
      </c>
      <c r="F1743" s="7" t="n">
        <v>14000</v>
      </c>
      <c r="G1743" s="7" t="n">
        <f aca="false">D1743*F1743</f>
        <v>28000</v>
      </c>
      <c r="H1743" s="2" t="str">
        <f aca="false">INDEX(Daftar_Menu!$B$2:$B$13,MATCH(C1743,Daftar_Menu!$A$2:$A$13,0))</f>
        <v>Makanan</v>
      </c>
      <c r="I1743" s="2" t="str">
        <f aca="false">CHOOSE(WEEKDAY(B1743,2),"Senin","Selasa","Rabu","Kamis","Jumat","Sabtu","Minggu")</f>
        <v>Selasa</v>
      </c>
      <c r="J1743" s="2" t="n">
        <f aca="false">HOUR(E1743)</f>
        <v>19</v>
      </c>
      <c r="K1743" s="2" t="str">
        <f aca="false">IF(J1743&lt;11,"Pagi",IF(J1743&lt;17,"Siang","Malam"))</f>
        <v>Malam</v>
      </c>
      <c r="L1743" s="2" t="n">
        <f aca="false">IF(A1743&lt;&gt;A1742,1,0)</f>
        <v>0</v>
      </c>
    </row>
    <row r="1744" customFormat="false" ht="15" hidden="false" customHeight="false" outlineLevel="0" collapsed="false">
      <c r="A1744" s="2" t="s">
        <v>1697</v>
      </c>
      <c r="B1744" s="13" t="n">
        <v>46287</v>
      </c>
      <c r="C1744" s="2" t="s">
        <v>89</v>
      </c>
      <c r="D1744" s="2" t="n">
        <v>3</v>
      </c>
      <c r="E1744" s="15" t="n">
        <v>0.827083333333333</v>
      </c>
      <c r="F1744" s="7" t="n">
        <v>14000</v>
      </c>
      <c r="G1744" s="7" t="n">
        <f aca="false">D1744*F1744</f>
        <v>42000</v>
      </c>
      <c r="H1744" s="2" t="str">
        <f aca="false">INDEX(Daftar_Menu!$B$2:$B$13,MATCH(C1744,Daftar_Menu!$A$2:$A$13,0))</f>
        <v>Makanan</v>
      </c>
      <c r="I1744" s="2" t="str">
        <f aca="false">CHOOSE(WEEKDAY(B1744,2),"Senin","Selasa","Rabu","Kamis","Jumat","Sabtu","Minggu")</f>
        <v>Selasa</v>
      </c>
      <c r="J1744" s="2" t="n">
        <f aca="false">HOUR(E1744)</f>
        <v>19</v>
      </c>
      <c r="K1744" s="2" t="str">
        <f aca="false">IF(J1744&lt;11,"Pagi",IF(J1744&lt;17,"Siang","Malam"))</f>
        <v>Malam</v>
      </c>
      <c r="L1744" s="2" t="n">
        <f aca="false">IF(A1744&lt;&gt;A1743,1,0)</f>
        <v>1</v>
      </c>
    </row>
    <row r="1745" customFormat="false" ht="15" hidden="false" customHeight="false" outlineLevel="0" collapsed="false">
      <c r="A1745" s="2" t="s">
        <v>1698</v>
      </c>
      <c r="B1745" s="13" t="n">
        <v>46287</v>
      </c>
      <c r="C1745" s="2" t="s">
        <v>89</v>
      </c>
      <c r="D1745" s="2" t="n">
        <v>2</v>
      </c>
      <c r="E1745" s="15" t="n">
        <v>0.834027777777778</v>
      </c>
      <c r="F1745" s="7" t="n">
        <v>14000</v>
      </c>
      <c r="G1745" s="7" t="n">
        <f aca="false">D1745*F1745</f>
        <v>28000</v>
      </c>
      <c r="H1745" s="2" t="str">
        <f aca="false">INDEX(Daftar_Menu!$B$2:$B$13,MATCH(C1745,Daftar_Menu!$A$2:$A$13,0))</f>
        <v>Makanan</v>
      </c>
      <c r="I1745" s="2" t="str">
        <f aca="false">CHOOSE(WEEKDAY(B1745,2),"Senin","Selasa","Rabu","Kamis","Jumat","Sabtu","Minggu")</f>
        <v>Selasa</v>
      </c>
      <c r="J1745" s="2" t="n">
        <f aca="false">HOUR(E1745)</f>
        <v>20</v>
      </c>
      <c r="K1745" s="2" t="str">
        <f aca="false">IF(J1745&lt;11,"Pagi",IF(J1745&lt;17,"Siang","Malam"))</f>
        <v>Malam</v>
      </c>
      <c r="L1745" s="2" t="n">
        <f aca="false">IF(A1745&lt;&gt;A1744,1,0)</f>
        <v>1</v>
      </c>
    </row>
    <row r="1746" customFormat="false" ht="15" hidden="false" customHeight="false" outlineLevel="0" collapsed="false">
      <c r="A1746" s="2" t="s">
        <v>1698</v>
      </c>
      <c r="B1746" s="13" t="n">
        <v>46287</v>
      </c>
      <c r="C1746" s="2" t="s">
        <v>112</v>
      </c>
      <c r="D1746" s="2" t="n">
        <v>2</v>
      </c>
      <c r="E1746" s="15" t="n">
        <v>0.834027777777778</v>
      </c>
      <c r="F1746" s="7" t="n">
        <v>10000</v>
      </c>
      <c r="G1746" s="7" t="n">
        <f aca="false">D1746*F1746</f>
        <v>20000</v>
      </c>
      <c r="H1746" s="2" t="str">
        <f aca="false">INDEX(Daftar_Menu!$B$2:$B$13,MATCH(C1746,Daftar_Menu!$A$2:$A$13,0))</f>
        <v>Minuman</v>
      </c>
      <c r="I1746" s="2" t="str">
        <f aca="false">CHOOSE(WEEKDAY(B1746,2),"Senin","Selasa","Rabu","Kamis","Jumat","Sabtu","Minggu")</f>
        <v>Selasa</v>
      </c>
      <c r="J1746" s="2" t="n">
        <f aca="false">HOUR(E1746)</f>
        <v>20</v>
      </c>
      <c r="K1746" s="2" t="str">
        <f aca="false">IF(J1746&lt;11,"Pagi",IF(J1746&lt;17,"Siang","Malam"))</f>
        <v>Malam</v>
      </c>
      <c r="L1746" s="2" t="n">
        <f aca="false">IF(A1746&lt;&gt;A1745,1,0)</f>
        <v>0</v>
      </c>
    </row>
    <row r="1747" customFormat="false" ht="15" hidden="false" customHeight="false" outlineLevel="0" collapsed="false">
      <c r="A1747" s="2" t="s">
        <v>1699</v>
      </c>
      <c r="B1747" s="13" t="n">
        <v>46287</v>
      </c>
      <c r="C1747" s="2" t="s">
        <v>126</v>
      </c>
      <c r="D1747" s="2" t="n">
        <v>1</v>
      </c>
      <c r="E1747" s="15" t="n">
        <v>0.850694444444444</v>
      </c>
      <c r="F1747" s="7" t="n">
        <v>3000</v>
      </c>
      <c r="G1747" s="7" t="n">
        <f aca="false">D1747*F1747</f>
        <v>3000</v>
      </c>
      <c r="H1747" s="2" t="str">
        <f aca="false">INDEX(Daftar_Menu!$B$2:$B$13,MATCH(C1747,Daftar_Menu!$A$2:$A$13,0))</f>
        <v>Minuman</v>
      </c>
      <c r="I1747" s="2" t="str">
        <f aca="false">CHOOSE(WEEKDAY(B1747,2),"Senin","Selasa","Rabu","Kamis","Jumat","Sabtu","Minggu")</f>
        <v>Selasa</v>
      </c>
      <c r="J1747" s="2" t="n">
        <f aca="false">HOUR(E1747)</f>
        <v>20</v>
      </c>
      <c r="K1747" s="2" t="str">
        <f aca="false">IF(J1747&lt;11,"Pagi",IF(J1747&lt;17,"Siang","Malam"))</f>
        <v>Malam</v>
      </c>
      <c r="L1747" s="2" t="n">
        <f aca="false">IF(A1747&lt;&gt;A1746,1,0)</f>
        <v>1</v>
      </c>
    </row>
    <row r="1748" customFormat="false" ht="15" hidden="false" customHeight="false" outlineLevel="0" collapsed="false">
      <c r="A1748" s="2" t="s">
        <v>1699</v>
      </c>
      <c r="B1748" s="13" t="n">
        <v>46287</v>
      </c>
      <c r="C1748" s="2" t="s">
        <v>84</v>
      </c>
      <c r="D1748" s="2" t="n">
        <v>1</v>
      </c>
      <c r="E1748" s="15" t="n">
        <v>0.850694444444444</v>
      </c>
      <c r="F1748" s="7" t="n">
        <v>5000</v>
      </c>
      <c r="G1748" s="7" t="n">
        <f aca="false">D1748*F1748</f>
        <v>5000</v>
      </c>
      <c r="H1748" s="2" t="str">
        <f aca="false">INDEX(Daftar_Menu!$B$2:$B$13,MATCH(C1748,Daftar_Menu!$A$2:$A$13,0))</f>
        <v>Minuman</v>
      </c>
      <c r="I1748" s="2" t="str">
        <f aca="false">CHOOSE(WEEKDAY(B1748,2),"Senin","Selasa","Rabu","Kamis","Jumat","Sabtu","Minggu")</f>
        <v>Selasa</v>
      </c>
      <c r="J1748" s="2" t="n">
        <f aca="false">HOUR(E1748)</f>
        <v>20</v>
      </c>
      <c r="K1748" s="2" t="str">
        <f aca="false">IF(J1748&lt;11,"Pagi",IF(J1748&lt;17,"Siang","Malam"))</f>
        <v>Malam</v>
      </c>
      <c r="L1748" s="2" t="n">
        <f aca="false">IF(A1748&lt;&gt;A1747,1,0)</f>
        <v>0</v>
      </c>
    </row>
    <row r="1749" customFormat="false" ht="15" hidden="false" customHeight="false" outlineLevel="0" collapsed="false">
      <c r="A1749" s="2" t="s">
        <v>1699</v>
      </c>
      <c r="B1749" s="13" t="n">
        <v>46287</v>
      </c>
      <c r="C1749" s="2" t="s">
        <v>81</v>
      </c>
      <c r="D1749" s="2" t="n">
        <v>1</v>
      </c>
      <c r="E1749" s="15" t="n">
        <v>0.850694444444444</v>
      </c>
      <c r="F1749" s="7" t="n">
        <v>15000</v>
      </c>
      <c r="G1749" s="7" t="n">
        <f aca="false">D1749*F1749</f>
        <v>15000</v>
      </c>
      <c r="H1749" s="2" t="str">
        <f aca="false">INDEX(Daftar_Menu!$B$2:$B$13,MATCH(C1749,Daftar_Menu!$A$2:$A$13,0))</f>
        <v>Makanan</v>
      </c>
      <c r="I1749" s="2" t="str">
        <f aca="false">CHOOSE(WEEKDAY(B1749,2),"Senin","Selasa","Rabu","Kamis","Jumat","Sabtu","Minggu")</f>
        <v>Selasa</v>
      </c>
      <c r="J1749" s="2" t="n">
        <f aca="false">HOUR(E1749)</f>
        <v>20</v>
      </c>
      <c r="K1749" s="2" t="str">
        <f aca="false">IF(J1749&lt;11,"Pagi",IF(J1749&lt;17,"Siang","Malam"))</f>
        <v>Malam</v>
      </c>
      <c r="L1749" s="2" t="n">
        <f aca="false">IF(A1749&lt;&gt;A1748,1,0)</f>
        <v>0</v>
      </c>
    </row>
    <row r="1750" customFormat="false" ht="15" hidden="false" customHeight="false" outlineLevel="0" collapsed="false">
      <c r="A1750" s="2" t="s">
        <v>1701</v>
      </c>
      <c r="B1750" s="13" t="n">
        <v>46287</v>
      </c>
      <c r="C1750" s="2" t="s">
        <v>84</v>
      </c>
      <c r="D1750" s="2" t="n">
        <v>2</v>
      </c>
      <c r="E1750" s="15" t="n">
        <v>0.863888888888889</v>
      </c>
      <c r="F1750" s="7" t="n">
        <v>5000</v>
      </c>
      <c r="G1750" s="7" t="n">
        <f aca="false">D1750*F1750</f>
        <v>10000</v>
      </c>
      <c r="H1750" s="2" t="str">
        <f aca="false">INDEX(Daftar_Menu!$B$2:$B$13,MATCH(C1750,Daftar_Menu!$A$2:$A$13,0))</f>
        <v>Minuman</v>
      </c>
      <c r="I1750" s="2" t="str">
        <f aca="false">CHOOSE(WEEKDAY(B1750,2),"Senin","Selasa","Rabu","Kamis","Jumat","Sabtu","Minggu")</f>
        <v>Selasa</v>
      </c>
      <c r="J1750" s="2" t="n">
        <f aca="false">HOUR(E1750)</f>
        <v>20</v>
      </c>
      <c r="K1750" s="2" t="str">
        <f aca="false">IF(J1750&lt;11,"Pagi",IF(J1750&lt;17,"Siang","Malam"))</f>
        <v>Malam</v>
      </c>
      <c r="L1750" s="2" t="n">
        <f aca="false">IF(A1750&lt;&gt;A1749,1,0)</f>
        <v>1</v>
      </c>
    </row>
    <row r="1751" customFormat="false" ht="15" hidden="false" customHeight="false" outlineLevel="0" collapsed="false">
      <c r="A1751" s="2" t="s">
        <v>1701</v>
      </c>
      <c r="B1751" s="13" t="n">
        <v>46287</v>
      </c>
      <c r="C1751" s="2" t="s">
        <v>112</v>
      </c>
      <c r="D1751" s="2" t="n">
        <v>1</v>
      </c>
      <c r="E1751" s="15" t="n">
        <v>0.863888888888889</v>
      </c>
      <c r="F1751" s="7" t="n">
        <v>10000</v>
      </c>
      <c r="G1751" s="7" t="n">
        <f aca="false">D1751*F1751</f>
        <v>10000</v>
      </c>
      <c r="H1751" s="2" t="str">
        <f aca="false">INDEX(Daftar_Menu!$B$2:$B$13,MATCH(C1751,Daftar_Menu!$A$2:$A$13,0))</f>
        <v>Minuman</v>
      </c>
      <c r="I1751" s="2" t="str">
        <f aca="false">CHOOSE(WEEKDAY(B1751,2),"Senin","Selasa","Rabu","Kamis","Jumat","Sabtu","Minggu")</f>
        <v>Selasa</v>
      </c>
      <c r="J1751" s="2" t="n">
        <f aca="false">HOUR(E1751)</f>
        <v>20</v>
      </c>
      <c r="K1751" s="2" t="str">
        <f aca="false">IF(J1751&lt;11,"Pagi",IF(J1751&lt;17,"Siang","Malam"))</f>
        <v>Malam</v>
      </c>
      <c r="L1751" s="2" t="n">
        <f aca="false">IF(A1751&lt;&gt;A1750,1,0)</f>
        <v>0</v>
      </c>
    </row>
    <row r="1752" customFormat="false" ht="15" hidden="false" customHeight="false" outlineLevel="0" collapsed="false">
      <c r="A1752" s="2" t="s">
        <v>1702</v>
      </c>
      <c r="B1752" s="13" t="n">
        <v>46288</v>
      </c>
      <c r="C1752" s="2" t="s">
        <v>81</v>
      </c>
      <c r="D1752" s="2" t="n">
        <v>1</v>
      </c>
      <c r="E1752" s="15" t="n">
        <v>0.347916666666667</v>
      </c>
      <c r="F1752" s="7" t="n">
        <v>15000</v>
      </c>
      <c r="G1752" s="7" t="n">
        <f aca="false">D1752*F1752</f>
        <v>15000</v>
      </c>
      <c r="H1752" s="2" t="str">
        <f aca="false">INDEX(Daftar_Menu!$B$2:$B$13,MATCH(C1752,Daftar_Menu!$A$2:$A$13,0))</f>
        <v>Makanan</v>
      </c>
      <c r="I1752" s="2" t="str">
        <f aca="false">CHOOSE(WEEKDAY(B1752,2),"Senin","Selasa","Rabu","Kamis","Jumat","Sabtu","Minggu")</f>
        <v>Rabu</v>
      </c>
      <c r="J1752" s="2" t="n">
        <f aca="false">HOUR(E1752)</f>
        <v>8</v>
      </c>
      <c r="K1752" s="2" t="str">
        <f aca="false">IF(J1752&lt;11,"Pagi",IF(J1752&lt;17,"Siang","Malam"))</f>
        <v>Pagi</v>
      </c>
      <c r="L1752" s="2" t="n">
        <f aca="false">IF(A1752&lt;&gt;A1751,1,0)</f>
        <v>1</v>
      </c>
    </row>
    <row r="1753" customFormat="false" ht="15" hidden="false" customHeight="false" outlineLevel="0" collapsed="false">
      <c r="A1753" s="2" t="s">
        <v>1702</v>
      </c>
      <c r="B1753" s="13" t="n">
        <v>46288</v>
      </c>
      <c r="C1753" s="2" t="s">
        <v>89</v>
      </c>
      <c r="D1753" s="2" t="n">
        <v>1</v>
      </c>
      <c r="E1753" s="15" t="n">
        <v>0.347916666666667</v>
      </c>
      <c r="F1753" s="7" t="n">
        <v>14000</v>
      </c>
      <c r="G1753" s="7" t="n">
        <f aca="false">D1753*F1753</f>
        <v>14000</v>
      </c>
      <c r="H1753" s="2" t="str">
        <f aca="false">INDEX(Daftar_Menu!$B$2:$B$13,MATCH(C1753,Daftar_Menu!$A$2:$A$13,0))</f>
        <v>Makanan</v>
      </c>
      <c r="I1753" s="2" t="str">
        <f aca="false">CHOOSE(WEEKDAY(B1753,2),"Senin","Selasa","Rabu","Kamis","Jumat","Sabtu","Minggu")</f>
        <v>Rabu</v>
      </c>
      <c r="J1753" s="2" t="n">
        <f aca="false">HOUR(E1753)</f>
        <v>8</v>
      </c>
      <c r="K1753" s="2" t="str">
        <f aca="false">IF(J1753&lt;11,"Pagi",IF(J1753&lt;17,"Siang","Malam"))</f>
        <v>Pagi</v>
      </c>
      <c r="L1753" s="2" t="n">
        <f aca="false">IF(A1753&lt;&gt;A1752,1,0)</f>
        <v>0</v>
      </c>
    </row>
    <row r="1754" customFormat="false" ht="15" hidden="false" customHeight="false" outlineLevel="0" collapsed="false">
      <c r="A1754" s="2" t="s">
        <v>1703</v>
      </c>
      <c r="B1754" s="13" t="n">
        <v>46288</v>
      </c>
      <c r="C1754" s="2" t="s">
        <v>92</v>
      </c>
      <c r="D1754" s="2" t="n">
        <v>1</v>
      </c>
      <c r="E1754" s="15" t="n">
        <v>0.351388888888889</v>
      </c>
      <c r="F1754" s="7" t="n">
        <v>4000</v>
      </c>
      <c r="G1754" s="7" t="n">
        <f aca="false">D1754*F1754</f>
        <v>4000</v>
      </c>
      <c r="H1754" s="2" t="str">
        <f aca="false">INDEX(Daftar_Menu!$B$2:$B$13,MATCH(C1754,Daftar_Menu!$A$2:$A$13,0))</f>
        <v>Minuman</v>
      </c>
      <c r="I1754" s="2" t="str">
        <f aca="false">CHOOSE(WEEKDAY(B1754,2),"Senin","Selasa","Rabu","Kamis","Jumat","Sabtu","Minggu")</f>
        <v>Rabu</v>
      </c>
      <c r="J1754" s="2" t="n">
        <f aca="false">HOUR(E1754)</f>
        <v>8</v>
      </c>
      <c r="K1754" s="2" t="str">
        <f aca="false">IF(J1754&lt;11,"Pagi",IF(J1754&lt;17,"Siang","Malam"))</f>
        <v>Pagi</v>
      </c>
      <c r="L1754" s="2" t="n">
        <f aca="false">IF(A1754&lt;&gt;A1753,1,0)</f>
        <v>1</v>
      </c>
    </row>
    <row r="1755" customFormat="false" ht="15" hidden="false" customHeight="false" outlineLevel="0" collapsed="false">
      <c r="A1755" s="2" t="s">
        <v>1704</v>
      </c>
      <c r="B1755" s="13" t="n">
        <v>46288</v>
      </c>
      <c r="C1755" s="2" t="s">
        <v>108</v>
      </c>
      <c r="D1755" s="2" t="n">
        <v>1</v>
      </c>
      <c r="E1755" s="15" t="n">
        <v>0.358333333333333</v>
      </c>
      <c r="F1755" s="7" t="n">
        <v>20000</v>
      </c>
      <c r="G1755" s="7" t="n">
        <f aca="false">D1755*F1755</f>
        <v>20000</v>
      </c>
      <c r="H1755" s="2" t="str">
        <f aca="false">INDEX(Daftar_Menu!$B$2:$B$13,MATCH(C1755,Daftar_Menu!$A$2:$A$13,0))</f>
        <v>Makanan</v>
      </c>
      <c r="I1755" s="2" t="str">
        <f aca="false">CHOOSE(WEEKDAY(B1755,2),"Senin","Selasa","Rabu","Kamis","Jumat","Sabtu","Minggu")</f>
        <v>Rabu</v>
      </c>
      <c r="J1755" s="2" t="n">
        <f aca="false">HOUR(E1755)</f>
        <v>8</v>
      </c>
      <c r="K1755" s="2" t="str">
        <f aca="false">IF(J1755&lt;11,"Pagi",IF(J1755&lt;17,"Siang","Malam"))</f>
        <v>Pagi</v>
      </c>
      <c r="L1755" s="2" t="n">
        <f aca="false">IF(A1755&lt;&gt;A1754,1,0)</f>
        <v>1</v>
      </c>
    </row>
    <row r="1756" customFormat="false" ht="15" hidden="false" customHeight="false" outlineLevel="0" collapsed="false">
      <c r="A1756" s="2" t="s">
        <v>1706</v>
      </c>
      <c r="B1756" s="13" t="n">
        <v>46288</v>
      </c>
      <c r="C1756" s="2" t="s">
        <v>84</v>
      </c>
      <c r="D1756" s="2" t="n">
        <v>1</v>
      </c>
      <c r="E1756" s="15" t="n">
        <v>0.393055555555556</v>
      </c>
      <c r="F1756" s="7" t="n">
        <v>5000</v>
      </c>
      <c r="G1756" s="7" t="n">
        <f aca="false">D1756*F1756</f>
        <v>5000</v>
      </c>
      <c r="H1756" s="2" t="str">
        <f aca="false">INDEX(Daftar_Menu!$B$2:$B$13,MATCH(C1756,Daftar_Menu!$A$2:$A$13,0))</f>
        <v>Minuman</v>
      </c>
      <c r="I1756" s="2" t="str">
        <f aca="false">CHOOSE(WEEKDAY(B1756,2),"Senin","Selasa","Rabu","Kamis","Jumat","Sabtu","Minggu")</f>
        <v>Rabu</v>
      </c>
      <c r="J1756" s="2" t="n">
        <f aca="false">HOUR(E1756)</f>
        <v>9</v>
      </c>
      <c r="K1756" s="2" t="str">
        <f aca="false">IF(J1756&lt;11,"Pagi",IF(J1756&lt;17,"Siang","Malam"))</f>
        <v>Pagi</v>
      </c>
      <c r="L1756" s="2" t="n">
        <f aca="false">IF(A1756&lt;&gt;A1755,1,0)</f>
        <v>1</v>
      </c>
    </row>
    <row r="1757" customFormat="false" ht="15" hidden="false" customHeight="false" outlineLevel="0" collapsed="false">
      <c r="A1757" s="2" t="s">
        <v>1707</v>
      </c>
      <c r="B1757" s="13" t="n">
        <v>46288</v>
      </c>
      <c r="C1757" s="2" t="s">
        <v>84</v>
      </c>
      <c r="D1757" s="2" t="n">
        <v>1</v>
      </c>
      <c r="E1757" s="15" t="n">
        <v>0.39375</v>
      </c>
      <c r="F1757" s="7" t="n">
        <v>5000</v>
      </c>
      <c r="G1757" s="7" t="n">
        <f aca="false">D1757*F1757</f>
        <v>5000</v>
      </c>
      <c r="H1757" s="2" t="str">
        <f aca="false">INDEX(Daftar_Menu!$B$2:$B$13,MATCH(C1757,Daftar_Menu!$A$2:$A$13,0))</f>
        <v>Minuman</v>
      </c>
      <c r="I1757" s="2" t="str">
        <f aca="false">CHOOSE(WEEKDAY(B1757,2),"Senin","Selasa","Rabu","Kamis","Jumat","Sabtu","Minggu")</f>
        <v>Rabu</v>
      </c>
      <c r="J1757" s="2" t="n">
        <f aca="false">HOUR(E1757)</f>
        <v>9</v>
      </c>
      <c r="K1757" s="2" t="str">
        <f aca="false">IF(J1757&lt;11,"Pagi",IF(J1757&lt;17,"Siang","Malam"))</f>
        <v>Pagi</v>
      </c>
      <c r="L1757" s="2" t="n">
        <f aca="false">IF(A1757&lt;&gt;A1756,1,0)</f>
        <v>1</v>
      </c>
    </row>
    <row r="1758" customFormat="false" ht="15" hidden="false" customHeight="false" outlineLevel="0" collapsed="false">
      <c r="A1758" s="2" t="s">
        <v>1709</v>
      </c>
      <c r="B1758" s="13" t="n">
        <v>46288</v>
      </c>
      <c r="C1758" s="2" t="s">
        <v>101</v>
      </c>
      <c r="D1758" s="2" t="n">
        <v>1</v>
      </c>
      <c r="E1758" s="15" t="n">
        <v>0.448611111111111</v>
      </c>
      <c r="F1758" s="7" t="n">
        <v>18000</v>
      </c>
      <c r="G1758" s="7" t="n">
        <f aca="false">D1758*F1758</f>
        <v>18000</v>
      </c>
      <c r="H1758" s="2" t="str">
        <f aca="false">INDEX(Daftar_Menu!$B$2:$B$13,MATCH(C1758,Daftar_Menu!$A$2:$A$13,0))</f>
        <v>Makanan</v>
      </c>
      <c r="I1758" s="2" t="str">
        <f aca="false">CHOOSE(WEEKDAY(B1758,2),"Senin","Selasa","Rabu","Kamis","Jumat","Sabtu","Minggu")</f>
        <v>Rabu</v>
      </c>
      <c r="J1758" s="2" t="n">
        <f aca="false">HOUR(E1758)</f>
        <v>10</v>
      </c>
      <c r="K1758" s="2" t="str">
        <f aca="false">IF(J1758&lt;11,"Pagi",IF(J1758&lt;17,"Siang","Malam"))</f>
        <v>Pagi</v>
      </c>
      <c r="L1758" s="2" t="n">
        <f aca="false">IF(A1758&lt;&gt;A1757,1,0)</f>
        <v>1</v>
      </c>
    </row>
    <row r="1759" customFormat="false" ht="15" hidden="false" customHeight="false" outlineLevel="0" collapsed="false">
      <c r="A1759" s="2" t="s">
        <v>1711</v>
      </c>
      <c r="B1759" s="13" t="n">
        <v>46288</v>
      </c>
      <c r="C1759" s="2" t="s">
        <v>186</v>
      </c>
      <c r="D1759" s="2" t="n">
        <v>2</v>
      </c>
      <c r="E1759" s="15" t="n">
        <v>0.477777777777778</v>
      </c>
      <c r="F1759" s="7" t="n">
        <v>7000</v>
      </c>
      <c r="G1759" s="7" t="n">
        <f aca="false">D1759*F1759</f>
        <v>14000</v>
      </c>
      <c r="H1759" s="2" t="str">
        <f aca="false">INDEX(Daftar_Menu!$B$2:$B$13,MATCH(C1759,Daftar_Menu!$A$2:$A$13,0))</f>
        <v>Minuman</v>
      </c>
      <c r="I1759" s="2" t="str">
        <f aca="false">CHOOSE(WEEKDAY(B1759,2),"Senin","Selasa","Rabu","Kamis","Jumat","Sabtu","Minggu")</f>
        <v>Rabu</v>
      </c>
      <c r="J1759" s="2" t="n">
        <f aca="false">HOUR(E1759)</f>
        <v>11</v>
      </c>
      <c r="K1759" s="2" t="str">
        <f aca="false">IF(J1759&lt;11,"Pagi",IF(J1759&lt;17,"Siang","Malam"))</f>
        <v>Siang</v>
      </c>
      <c r="L1759" s="2" t="n">
        <f aca="false">IF(A1759&lt;&gt;A1758,1,0)</f>
        <v>1</v>
      </c>
    </row>
    <row r="1760" customFormat="false" ht="15" hidden="false" customHeight="false" outlineLevel="0" collapsed="false">
      <c r="A1760" s="2" t="s">
        <v>1712</v>
      </c>
      <c r="B1760" s="13" t="n">
        <v>46288</v>
      </c>
      <c r="C1760" s="2" t="s">
        <v>101</v>
      </c>
      <c r="D1760" s="2" t="n">
        <v>1</v>
      </c>
      <c r="E1760" s="15" t="n">
        <v>0.481944444444445</v>
      </c>
      <c r="F1760" s="7" t="n">
        <v>18000</v>
      </c>
      <c r="G1760" s="7" t="n">
        <f aca="false">D1760*F1760</f>
        <v>18000</v>
      </c>
      <c r="H1760" s="2" t="str">
        <f aca="false">INDEX(Daftar_Menu!$B$2:$B$13,MATCH(C1760,Daftar_Menu!$A$2:$A$13,0))</f>
        <v>Makanan</v>
      </c>
      <c r="I1760" s="2" t="str">
        <f aca="false">CHOOSE(WEEKDAY(B1760,2),"Senin","Selasa","Rabu","Kamis","Jumat","Sabtu","Minggu")</f>
        <v>Rabu</v>
      </c>
      <c r="J1760" s="2" t="n">
        <f aca="false">HOUR(E1760)</f>
        <v>11</v>
      </c>
      <c r="K1760" s="2" t="str">
        <f aca="false">IF(J1760&lt;11,"Pagi",IF(J1760&lt;17,"Siang","Malam"))</f>
        <v>Siang</v>
      </c>
      <c r="L1760" s="2" t="n">
        <f aca="false">IF(A1760&lt;&gt;A1759,1,0)</f>
        <v>1</v>
      </c>
    </row>
    <row r="1761" customFormat="false" ht="15" hidden="false" customHeight="false" outlineLevel="0" collapsed="false">
      <c r="A1761" s="2" t="s">
        <v>1712</v>
      </c>
      <c r="B1761" s="13" t="n">
        <v>46288</v>
      </c>
      <c r="C1761" s="2" t="s">
        <v>186</v>
      </c>
      <c r="D1761" s="2" t="n">
        <v>1</v>
      </c>
      <c r="E1761" s="15" t="n">
        <v>0.481944444444445</v>
      </c>
      <c r="F1761" s="7" t="n">
        <v>7000</v>
      </c>
      <c r="G1761" s="7" t="n">
        <f aca="false">D1761*F1761</f>
        <v>7000</v>
      </c>
      <c r="H1761" s="2" t="str">
        <f aca="false">INDEX(Daftar_Menu!$B$2:$B$13,MATCH(C1761,Daftar_Menu!$A$2:$A$13,0))</f>
        <v>Minuman</v>
      </c>
      <c r="I1761" s="2" t="str">
        <f aca="false">CHOOSE(WEEKDAY(B1761,2),"Senin","Selasa","Rabu","Kamis","Jumat","Sabtu","Minggu")</f>
        <v>Rabu</v>
      </c>
      <c r="J1761" s="2" t="n">
        <f aca="false">HOUR(E1761)</f>
        <v>11</v>
      </c>
      <c r="K1761" s="2" t="str">
        <f aca="false">IF(J1761&lt;11,"Pagi",IF(J1761&lt;17,"Siang","Malam"))</f>
        <v>Siang</v>
      </c>
      <c r="L1761" s="2" t="n">
        <f aca="false">IF(A1761&lt;&gt;A1760,1,0)</f>
        <v>0</v>
      </c>
    </row>
    <row r="1762" customFormat="false" ht="15" hidden="false" customHeight="false" outlineLevel="0" collapsed="false">
      <c r="A1762" s="2" t="s">
        <v>1713</v>
      </c>
      <c r="B1762" s="13" t="n">
        <v>46288</v>
      </c>
      <c r="C1762" s="2" t="s">
        <v>112</v>
      </c>
      <c r="D1762" s="2" t="n">
        <v>1</v>
      </c>
      <c r="E1762" s="15" t="n">
        <v>0.485416666666667</v>
      </c>
      <c r="F1762" s="7" t="n">
        <v>10000</v>
      </c>
      <c r="G1762" s="7" t="n">
        <f aca="false">D1762*F1762</f>
        <v>10000</v>
      </c>
      <c r="H1762" s="2" t="str">
        <f aca="false">INDEX(Daftar_Menu!$B$2:$B$13,MATCH(C1762,Daftar_Menu!$A$2:$A$13,0))</f>
        <v>Minuman</v>
      </c>
      <c r="I1762" s="2" t="str">
        <f aca="false">CHOOSE(WEEKDAY(B1762,2),"Senin","Selasa","Rabu","Kamis","Jumat","Sabtu","Minggu")</f>
        <v>Rabu</v>
      </c>
      <c r="J1762" s="2" t="n">
        <f aca="false">HOUR(E1762)</f>
        <v>11</v>
      </c>
      <c r="K1762" s="2" t="str">
        <f aca="false">IF(J1762&lt;11,"Pagi",IF(J1762&lt;17,"Siang","Malam"))</f>
        <v>Siang</v>
      </c>
      <c r="L1762" s="2" t="n">
        <f aca="false">IF(A1762&lt;&gt;A1761,1,0)</f>
        <v>1</v>
      </c>
    </row>
    <row r="1763" customFormat="false" ht="15" hidden="false" customHeight="false" outlineLevel="0" collapsed="false">
      <c r="A1763" s="2" t="s">
        <v>1713</v>
      </c>
      <c r="B1763" s="13" t="n">
        <v>46288</v>
      </c>
      <c r="C1763" s="2" t="s">
        <v>126</v>
      </c>
      <c r="D1763" s="2" t="n">
        <v>1</v>
      </c>
      <c r="E1763" s="15" t="n">
        <v>0.485416666666667</v>
      </c>
      <c r="F1763" s="7" t="n">
        <v>3000</v>
      </c>
      <c r="G1763" s="7" t="n">
        <f aca="false">D1763*F1763</f>
        <v>3000</v>
      </c>
      <c r="H1763" s="2" t="str">
        <f aca="false">INDEX(Daftar_Menu!$B$2:$B$13,MATCH(C1763,Daftar_Menu!$A$2:$A$13,0))</f>
        <v>Minuman</v>
      </c>
      <c r="I1763" s="2" t="str">
        <f aca="false">CHOOSE(WEEKDAY(B1763,2),"Senin","Selasa","Rabu","Kamis","Jumat","Sabtu","Minggu")</f>
        <v>Rabu</v>
      </c>
      <c r="J1763" s="2" t="n">
        <f aca="false">HOUR(E1763)</f>
        <v>11</v>
      </c>
      <c r="K1763" s="2" t="str">
        <f aca="false">IF(J1763&lt;11,"Pagi",IF(J1763&lt;17,"Siang","Malam"))</f>
        <v>Siang</v>
      </c>
      <c r="L1763" s="2" t="n">
        <f aca="false">IF(A1763&lt;&gt;A1762,1,0)</f>
        <v>0</v>
      </c>
    </row>
    <row r="1764" customFormat="false" ht="15" hidden="false" customHeight="false" outlineLevel="0" collapsed="false">
      <c r="A1764" s="2" t="s">
        <v>1715</v>
      </c>
      <c r="B1764" s="13" t="n">
        <v>46288</v>
      </c>
      <c r="C1764" s="2" t="s">
        <v>126</v>
      </c>
      <c r="D1764" s="2" t="n">
        <v>1</v>
      </c>
      <c r="E1764" s="15" t="n">
        <v>0.4875</v>
      </c>
      <c r="F1764" s="7" t="n">
        <v>3000</v>
      </c>
      <c r="G1764" s="7" t="n">
        <f aca="false">D1764*F1764</f>
        <v>3000</v>
      </c>
      <c r="H1764" s="2" t="str">
        <f aca="false">INDEX(Daftar_Menu!$B$2:$B$13,MATCH(C1764,Daftar_Menu!$A$2:$A$13,0))</f>
        <v>Minuman</v>
      </c>
      <c r="I1764" s="2" t="str">
        <f aca="false">CHOOSE(WEEKDAY(B1764,2),"Senin","Selasa","Rabu","Kamis","Jumat","Sabtu","Minggu")</f>
        <v>Rabu</v>
      </c>
      <c r="J1764" s="2" t="n">
        <f aca="false">HOUR(E1764)</f>
        <v>11</v>
      </c>
      <c r="K1764" s="2" t="str">
        <f aca="false">IF(J1764&lt;11,"Pagi",IF(J1764&lt;17,"Siang","Malam"))</f>
        <v>Siang</v>
      </c>
      <c r="L1764" s="2" t="n">
        <f aca="false">IF(A1764&lt;&gt;A1763,1,0)</f>
        <v>1</v>
      </c>
    </row>
    <row r="1765" customFormat="false" ht="15" hidden="false" customHeight="false" outlineLevel="0" collapsed="false">
      <c r="A1765" s="2" t="s">
        <v>1716</v>
      </c>
      <c r="B1765" s="13" t="n">
        <v>46288</v>
      </c>
      <c r="C1765" s="2" t="s">
        <v>84</v>
      </c>
      <c r="D1765" s="2" t="n">
        <v>2</v>
      </c>
      <c r="E1765" s="15" t="n">
        <v>0.502083333333333</v>
      </c>
      <c r="F1765" s="7" t="n">
        <v>5000</v>
      </c>
      <c r="G1765" s="7" t="n">
        <f aca="false">D1765*F1765</f>
        <v>10000</v>
      </c>
      <c r="H1765" s="2" t="str">
        <f aca="false">INDEX(Daftar_Menu!$B$2:$B$13,MATCH(C1765,Daftar_Menu!$A$2:$A$13,0))</f>
        <v>Minuman</v>
      </c>
      <c r="I1765" s="2" t="str">
        <f aca="false">CHOOSE(WEEKDAY(B1765,2),"Senin","Selasa","Rabu","Kamis","Jumat","Sabtu","Minggu")</f>
        <v>Rabu</v>
      </c>
      <c r="J1765" s="2" t="n">
        <f aca="false">HOUR(E1765)</f>
        <v>12</v>
      </c>
      <c r="K1765" s="2" t="str">
        <f aca="false">IF(J1765&lt;11,"Pagi",IF(J1765&lt;17,"Siang","Malam"))</f>
        <v>Siang</v>
      </c>
      <c r="L1765" s="2" t="n">
        <f aca="false">IF(A1765&lt;&gt;A1764,1,0)</f>
        <v>1</v>
      </c>
    </row>
    <row r="1766" customFormat="false" ht="15" hidden="false" customHeight="false" outlineLevel="0" collapsed="false">
      <c r="A1766" s="2" t="s">
        <v>1716</v>
      </c>
      <c r="B1766" s="13" t="n">
        <v>46288</v>
      </c>
      <c r="C1766" s="2" t="s">
        <v>89</v>
      </c>
      <c r="D1766" s="2" t="n">
        <v>2</v>
      </c>
      <c r="E1766" s="15" t="n">
        <v>0.502083333333333</v>
      </c>
      <c r="F1766" s="7" t="n">
        <v>14000</v>
      </c>
      <c r="G1766" s="7" t="n">
        <f aca="false">D1766*F1766</f>
        <v>28000</v>
      </c>
      <c r="H1766" s="2" t="str">
        <f aca="false">INDEX(Daftar_Menu!$B$2:$B$13,MATCH(C1766,Daftar_Menu!$A$2:$A$13,0))</f>
        <v>Makanan</v>
      </c>
      <c r="I1766" s="2" t="str">
        <f aca="false">CHOOSE(WEEKDAY(B1766,2),"Senin","Selasa","Rabu","Kamis","Jumat","Sabtu","Minggu")</f>
        <v>Rabu</v>
      </c>
      <c r="J1766" s="2" t="n">
        <f aca="false">HOUR(E1766)</f>
        <v>12</v>
      </c>
      <c r="K1766" s="2" t="str">
        <f aca="false">IF(J1766&lt;11,"Pagi",IF(J1766&lt;17,"Siang","Malam"))</f>
        <v>Siang</v>
      </c>
      <c r="L1766" s="2" t="n">
        <f aca="false">IF(A1766&lt;&gt;A1765,1,0)</f>
        <v>0</v>
      </c>
    </row>
    <row r="1767" customFormat="false" ht="15" hidden="false" customHeight="false" outlineLevel="0" collapsed="false">
      <c r="A1767" s="2" t="s">
        <v>1717</v>
      </c>
      <c r="B1767" s="13" t="n">
        <v>46288</v>
      </c>
      <c r="C1767" s="2" t="s">
        <v>89</v>
      </c>
      <c r="D1767" s="2" t="n">
        <v>2</v>
      </c>
      <c r="E1767" s="15" t="n">
        <v>0.507638888888889</v>
      </c>
      <c r="F1767" s="7" t="n">
        <v>14000</v>
      </c>
      <c r="G1767" s="7" t="n">
        <f aca="false">D1767*F1767</f>
        <v>28000</v>
      </c>
      <c r="H1767" s="2" t="str">
        <f aca="false">INDEX(Daftar_Menu!$B$2:$B$13,MATCH(C1767,Daftar_Menu!$A$2:$A$13,0))</f>
        <v>Makanan</v>
      </c>
      <c r="I1767" s="2" t="str">
        <f aca="false">CHOOSE(WEEKDAY(B1767,2),"Senin","Selasa","Rabu","Kamis","Jumat","Sabtu","Minggu")</f>
        <v>Rabu</v>
      </c>
      <c r="J1767" s="2" t="n">
        <f aca="false">HOUR(E1767)</f>
        <v>12</v>
      </c>
      <c r="K1767" s="2" t="str">
        <f aca="false">IF(J1767&lt;11,"Pagi",IF(J1767&lt;17,"Siang","Malam"))</f>
        <v>Siang</v>
      </c>
      <c r="L1767" s="2" t="n">
        <f aca="false">IF(A1767&lt;&gt;A1766,1,0)</f>
        <v>1</v>
      </c>
    </row>
    <row r="1768" customFormat="false" ht="15" hidden="false" customHeight="false" outlineLevel="0" collapsed="false">
      <c r="A1768" s="2" t="s">
        <v>1718</v>
      </c>
      <c r="B1768" s="13" t="n">
        <v>46288</v>
      </c>
      <c r="C1768" s="2" t="s">
        <v>84</v>
      </c>
      <c r="D1768" s="2" t="n">
        <v>1</v>
      </c>
      <c r="E1768" s="15" t="n">
        <v>0.509722222222222</v>
      </c>
      <c r="F1768" s="7" t="n">
        <v>5000</v>
      </c>
      <c r="G1768" s="7" t="n">
        <f aca="false">D1768*F1768</f>
        <v>5000</v>
      </c>
      <c r="H1768" s="2" t="str">
        <f aca="false">INDEX(Daftar_Menu!$B$2:$B$13,MATCH(C1768,Daftar_Menu!$A$2:$A$13,0))</f>
        <v>Minuman</v>
      </c>
      <c r="I1768" s="2" t="str">
        <f aca="false">CHOOSE(WEEKDAY(B1768,2),"Senin","Selasa","Rabu","Kamis","Jumat","Sabtu","Minggu")</f>
        <v>Rabu</v>
      </c>
      <c r="J1768" s="2" t="n">
        <f aca="false">HOUR(E1768)</f>
        <v>12</v>
      </c>
      <c r="K1768" s="2" t="str">
        <f aca="false">IF(J1768&lt;11,"Pagi",IF(J1768&lt;17,"Siang","Malam"))</f>
        <v>Siang</v>
      </c>
      <c r="L1768" s="2" t="n">
        <f aca="false">IF(A1768&lt;&gt;A1767,1,0)</f>
        <v>1</v>
      </c>
    </row>
    <row r="1769" customFormat="false" ht="15" hidden="false" customHeight="false" outlineLevel="0" collapsed="false">
      <c r="A1769" s="2" t="s">
        <v>1719</v>
      </c>
      <c r="B1769" s="13" t="n">
        <v>46288</v>
      </c>
      <c r="C1769" s="2" t="s">
        <v>108</v>
      </c>
      <c r="D1769" s="2" t="n">
        <v>1</v>
      </c>
      <c r="E1769" s="15" t="n">
        <v>0.509722222222222</v>
      </c>
      <c r="F1769" s="7" t="n">
        <v>20000</v>
      </c>
      <c r="G1769" s="7" t="n">
        <f aca="false">D1769*F1769</f>
        <v>20000</v>
      </c>
      <c r="H1769" s="2" t="str">
        <f aca="false">INDEX(Daftar_Menu!$B$2:$B$13,MATCH(C1769,Daftar_Menu!$A$2:$A$13,0))</f>
        <v>Makanan</v>
      </c>
      <c r="I1769" s="2" t="str">
        <f aca="false">CHOOSE(WEEKDAY(B1769,2),"Senin","Selasa","Rabu","Kamis","Jumat","Sabtu","Minggu")</f>
        <v>Rabu</v>
      </c>
      <c r="J1769" s="2" t="n">
        <f aca="false">HOUR(E1769)</f>
        <v>12</v>
      </c>
      <c r="K1769" s="2" t="str">
        <f aca="false">IF(J1769&lt;11,"Pagi",IF(J1769&lt;17,"Siang","Malam"))</f>
        <v>Siang</v>
      </c>
      <c r="L1769" s="2" t="n">
        <f aca="false">IF(A1769&lt;&gt;A1768,1,0)</f>
        <v>1</v>
      </c>
    </row>
    <row r="1770" customFormat="false" ht="15" hidden="false" customHeight="false" outlineLevel="0" collapsed="false">
      <c r="A1770" s="2" t="s">
        <v>1720</v>
      </c>
      <c r="B1770" s="13" t="n">
        <v>46288</v>
      </c>
      <c r="C1770" s="2" t="s">
        <v>79</v>
      </c>
      <c r="D1770" s="2" t="n">
        <v>1</v>
      </c>
      <c r="E1770" s="15" t="n">
        <v>0.522222222222222</v>
      </c>
      <c r="F1770" s="7" t="n">
        <v>16000</v>
      </c>
      <c r="G1770" s="7" t="n">
        <f aca="false">D1770*F1770</f>
        <v>16000</v>
      </c>
      <c r="H1770" s="2" t="str">
        <f aca="false">INDEX(Daftar_Menu!$B$2:$B$13,MATCH(C1770,Daftar_Menu!$A$2:$A$13,0))</f>
        <v>Makanan</v>
      </c>
      <c r="I1770" s="2" t="str">
        <f aca="false">CHOOSE(WEEKDAY(B1770,2),"Senin","Selasa","Rabu","Kamis","Jumat","Sabtu","Minggu")</f>
        <v>Rabu</v>
      </c>
      <c r="J1770" s="2" t="n">
        <f aca="false">HOUR(E1770)</f>
        <v>12</v>
      </c>
      <c r="K1770" s="2" t="str">
        <f aca="false">IF(J1770&lt;11,"Pagi",IF(J1770&lt;17,"Siang","Malam"))</f>
        <v>Siang</v>
      </c>
      <c r="L1770" s="2" t="n">
        <f aca="false">IF(A1770&lt;&gt;A1769,1,0)</f>
        <v>1</v>
      </c>
    </row>
    <row r="1771" customFormat="false" ht="15" hidden="false" customHeight="false" outlineLevel="0" collapsed="false">
      <c r="A1771" s="2" t="s">
        <v>1720</v>
      </c>
      <c r="B1771" s="13" t="n">
        <v>46288</v>
      </c>
      <c r="C1771" s="2" t="s">
        <v>89</v>
      </c>
      <c r="D1771" s="2" t="n">
        <v>1</v>
      </c>
      <c r="E1771" s="15" t="n">
        <v>0.522222222222222</v>
      </c>
      <c r="F1771" s="7" t="n">
        <v>14000</v>
      </c>
      <c r="G1771" s="7" t="n">
        <f aca="false">D1771*F1771</f>
        <v>14000</v>
      </c>
      <c r="H1771" s="2" t="str">
        <f aca="false">INDEX(Daftar_Menu!$B$2:$B$13,MATCH(C1771,Daftar_Menu!$A$2:$A$13,0))</f>
        <v>Makanan</v>
      </c>
      <c r="I1771" s="2" t="str">
        <f aca="false">CHOOSE(WEEKDAY(B1771,2),"Senin","Selasa","Rabu","Kamis","Jumat","Sabtu","Minggu")</f>
        <v>Rabu</v>
      </c>
      <c r="J1771" s="2" t="n">
        <f aca="false">HOUR(E1771)</f>
        <v>12</v>
      </c>
      <c r="K1771" s="2" t="str">
        <f aca="false">IF(J1771&lt;11,"Pagi",IF(J1771&lt;17,"Siang","Malam"))</f>
        <v>Siang</v>
      </c>
      <c r="L1771" s="2" t="n">
        <f aca="false">IF(A1771&lt;&gt;A1770,1,0)</f>
        <v>0</v>
      </c>
    </row>
    <row r="1772" customFormat="false" ht="15" hidden="false" customHeight="false" outlineLevel="0" collapsed="false">
      <c r="A1772" s="2" t="s">
        <v>1721</v>
      </c>
      <c r="B1772" s="13" t="n">
        <v>46288</v>
      </c>
      <c r="C1772" s="2" t="s">
        <v>79</v>
      </c>
      <c r="D1772" s="2" t="n">
        <v>2</v>
      </c>
      <c r="E1772" s="15" t="n">
        <v>0.531944444444444</v>
      </c>
      <c r="F1772" s="7" t="n">
        <v>16000</v>
      </c>
      <c r="G1772" s="7" t="n">
        <f aca="false">D1772*F1772</f>
        <v>32000</v>
      </c>
      <c r="H1772" s="2" t="str">
        <f aca="false">INDEX(Daftar_Menu!$B$2:$B$13,MATCH(C1772,Daftar_Menu!$A$2:$A$13,0))</f>
        <v>Makanan</v>
      </c>
      <c r="I1772" s="2" t="str">
        <f aca="false">CHOOSE(WEEKDAY(B1772,2),"Senin","Selasa","Rabu","Kamis","Jumat","Sabtu","Minggu")</f>
        <v>Rabu</v>
      </c>
      <c r="J1772" s="2" t="n">
        <f aca="false">HOUR(E1772)</f>
        <v>12</v>
      </c>
      <c r="K1772" s="2" t="str">
        <f aca="false">IF(J1772&lt;11,"Pagi",IF(J1772&lt;17,"Siang","Malam"))</f>
        <v>Siang</v>
      </c>
      <c r="L1772" s="2" t="n">
        <f aca="false">IF(A1772&lt;&gt;A1771,1,0)</f>
        <v>1</v>
      </c>
    </row>
    <row r="1773" customFormat="false" ht="15" hidden="false" customHeight="false" outlineLevel="0" collapsed="false">
      <c r="A1773" s="2" t="s">
        <v>1721</v>
      </c>
      <c r="B1773" s="13" t="n">
        <v>46288</v>
      </c>
      <c r="C1773" s="2" t="s">
        <v>81</v>
      </c>
      <c r="D1773" s="2" t="n">
        <v>1</v>
      </c>
      <c r="E1773" s="15" t="n">
        <v>0.531944444444444</v>
      </c>
      <c r="F1773" s="7" t="n">
        <v>15000</v>
      </c>
      <c r="G1773" s="7" t="n">
        <f aca="false">D1773*F1773</f>
        <v>15000</v>
      </c>
      <c r="H1773" s="2" t="str">
        <f aca="false">INDEX(Daftar_Menu!$B$2:$B$13,MATCH(C1773,Daftar_Menu!$A$2:$A$13,0))</f>
        <v>Makanan</v>
      </c>
      <c r="I1773" s="2" t="str">
        <f aca="false">CHOOSE(WEEKDAY(B1773,2),"Senin","Selasa","Rabu","Kamis","Jumat","Sabtu","Minggu")</f>
        <v>Rabu</v>
      </c>
      <c r="J1773" s="2" t="n">
        <f aca="false">HOUR(E1773)</f>
        <v>12</v>
      </c>
      <c r="K1773" s="2" t="str">
        <f aca="false">IF(J1773&lt;11,"Pagi",IF(J1773&lt;17,"Siang","Malam"))</f>
        <v>Siang</v>
      </c>
      <c r="L1773" s="2" t="n">
        <f aca="false">IF(A1773&lt;&gt;A1772,1,0)</f>
        <v>0</v>
      </c>
    </row>
    <row r="1774" customFormat="false" ht="15" hidden="false" customHeight="false" outlineLevel="0" collapsed="false">
      <c r="A1774" s="2" t="s">
        <v>1721</v>
      </c>
      <c r="B1774" s="13" t="n">
        <v>46288</v>
      </c>
      <c r="C1774" s="2" t="s">
        <v>186</v>
      </c>
      <c r="D1774" s="2" t="n">
        <v>1</v>
      </c>
      <c r="E1774" s="15" t="n">
        <v>0.531944444444444</v>
      </c>
      <c r="F1774" s="7" t="n">
        <v>7000</v>
      </c>
      <c r="G1774" s="7" t="n">
        <f aca="false">D1774*F1774</f>
        <v>7000</v>
      </c>
      <c r="H1774" s="2" t="str">
        <f aca="false">INDEX(Daftar_Menu!$B$2:$B$13,MATCH(C1774,Daftar_Menu!$A$2:$A$13,0))</f>
        <v>Minuman</v>
      </c>
      <c r="I1774" s="2" t="str">
        <f aca="false">CHOOSE(WEEKDAY(B1774,2),"Senin","Selasa","Rabu","Kamis","Jumat","Sabtu","Minggu")</f>
        <v>Rabu</v>
      </c>
      <c r="J1774" s="2" t="n">
        <f aca="false">HOUR(E1774)</f>
        <v>12</v>
      </c>
      <c r="K1774" s="2" t="str">
        <f aca="false">IF(J1774&lt;11,"Pagi",IF(J1774&lt;17,"Siang","Malam"))</f>
        <v>Siang</v>
      </c>
      <c r="L1774" s="2" t="n">
        <f aca="false">IF(A1774&lt;&gt;A1773,1,0)</f>
        <v>0</v>
      </c>
    </row>
    <row r="1775" customFormat="false" ht="15" hidden="false" customHeight="false" outlineLevel="0" collapsed="false">
      <c r="A1775" s="2" t="s">
        <v>1723</v>
      </c>
      <c r="B1775" s="13" t="n">
        <v>46288</v>
      </c>
      <c r="C1775" s="2" t="s">
        <v>84</v>
      </c>
      <c r="D1775" s="2" t="n">
        <v>2</v>
      </c>
      <c r="E1775" s="15" t="n">
        <v>0.536805555555556</v>
      </c>
      <c r="F1775" s="7" t="n">
        <v>5000</v>
      </c>
      <c r="G1775" s="7" t="n">
        <f aca="false">D1775*F1775</f>
        <v>10000</v>
      </c>
      <c r="H1775" s="2" t="str">
        <f aca="false">INDEX(Daftar_Menu!$B$2:$B$13,MATCH(C1775,Daftar_Menu!$A$2:$A$13,0))</f>
        <v>Minuman</v>
      </c>
      <c r="I1775" s="2" t="str">
        <f aca="false">CHOOSE(WEEKDAY(B1775,2),"Senin","Selasa","Rabu","Kamis","Jumat","Sabtu","Minggu")</f>
        <v>Rabu</v>
      </c>
      <c r="J1775" s="2" t="n">
        <f aca="false">HOUR(E1775)</f>
        <v>12</v>
      </c>
      <c r="K1775" s="2" t="str">
        <f aca="false">IF(J1775&lt;11,"Pagi",IF(J1775&lt;17,"Siang","Malam"))</f>
        <v>Siang</v>
      </c>
      <c r="L1775" s="2" t="n">
        <f aca="false">IF(A1775&lt;&gt;A1774,1,0)</f>
        <v>1</v>
      </c>
    </row>
    <row r="1776" customFormat="false" ht="15" hidden="false" customHeight="false" outlineLevel="0" collapsed="false">
      <c r="A1776" s="2" t="s">
        <v>1723</v>
      </c>
      <c r="B1776" s="13" t="n">
        <v>46288</v>
      </c>
      <c r="C1776" s="2" t="s">
        <v>89</v>
      </c>
      <c r="D1776" s="2" t="n">
        <v>1</v>
      </c>
      <c r="E1776" s="15" t="n">
        <v>0.536805555555556</v>
      </c>
      <c r="F1776" s="7" t="n">
        <v>14000</v>
      </c>
      <c r="G1776" s="7" t="n">
        <f aca="false">D1776*F1776</f>
        <v>14000</v>
      </c>
      <c r="H1776" s="2" t="str">
        <f aca="false">INDEX(Daftar_Menu!$B$2:$B$13,MATCH(C1776,Daftar_Menu!$A$2:$A$13,0))</f>
        <v>Makanan</v>
      </c>
      <c r="I1776" s="2" t="str">
        <f aca="false">CHOOSE(WEEKDAY(B1776,2),"Senin","Selasa","Rabu","Kamis","Jumat","Sabtu","Minggu")</f>
        <v>Rabu</v>
      </c>
      <c r="J1776" s="2" t="n">
        <f aca="false">HOUR(E1776)</f>
        <v>12</v>
      </c>
      <c r="K1776" s="2" t="str">
        <f aca="false">IF(J1776&lt;11,"Pagi",IF(J1776&lt;17,"Siang","Malam"))</f>
        <v>Siang</v>
      </c>
      <c r="L1776" s="2" t="n">
        <f aca="false">IF(A1776&lt;&gt;A1775,1,0)</f>
        <v>0</v>
      </c>
    </row>
    <row r="1777" customFormat="false" ht="15" hidden="false" customHeight="false" outlineLevel="0" collapsed="false">
      <c r="A1777" s="2" t="s">
        <v>1723</v>
      </c>
      <c r="B1777" s="13" t="n">
        <v>46288</v>
      </c>
      <c r="C1777" s="2" t="s">
        <v>132</v>
      </c>
      <c r="D1777" s="2" t="n">
        <v>2</v>
      </c>
      <c r="E1777" s="15" t="n">
        <v>0.536805555555556</v>
      </c>
      <c r="F1777" s="7" t="n">
        <v>15000</v>
      </c>
      <c r="G1777" s="7" t="n">
        <f aca="false">D1777*F1777</f>
        <v>30000</v>
      </c>
      <c r="H1777" s="2" t="str">
        <f aca="false">INDEX(Daftar_Menu!$B$2:$B$13,MATCH(C1777,Daftar_Menu!$A$2:$A$13,0))</f>
        <v>Makanan</v>
      </c>
      <c r="I1777" s="2" t="str">
        <f aca="false">CHOOSE(WEEKDAY(B1777,2),"Senin","Selasa","Rabu","Kamis","Jumat","Sabtu","Minggu")</f>
        <v>Rabu</v>
      </c>
      <c r="J1777" s="2" t="n">
        <f aca="false">HOUR(E1777)</f>
        <v>12</v>
      </c>
      <c r="K1777" s="2" t="str">
        <f aca="false">IF(J1777&lt;11,"Pagi",IF(J1777&lt;17,"Siang","Malam"))</f>
        <v>Siang</v>
      </c>
      <c r="L1777" s="2" t="n">
        <f aca="false">IF(A1777&lt;&gt;A1776,1,0)</f>
        <v>0</v>
      </c>
    </row>
    <row r="1778" customFormat="false" ht="15" hidden="false" customHeight="false" outlineLevel="0" collapsed="false">
      <c r="A1778" s="2" t="s">
        <v>1724</v>
      </c>
      <c r="B1778" s="13" t="n">
        <v>46288</v>
      </c>
      <c r="C1778" s="2" t="s">
        <v>89</v>
      </c>
      <c r="D1778" s="2" t="n">
        <v>1</v>
      </c>
      <c r="E1778" s="15" t="n">
        <v>0.54375</v>
      </c>
      <c r="F1778" s="7" t="n">
        <v>14000</v>
      </c>
      <c r="G1778" s="7" t="n">
        <f aca="false">D1778*F1778</f>
        <v>14000</v>
      </c>
      <c r="H1778" s="2" t="str">
        <f aca="false">INDEX(Daftar_Menu!$B$2:$B$13,MATCH(C1778,Daftar_Menu!$A$2:$A$13,0))</f>
        <v>Makanan</v>
      </c>
      <c r="I1778" s="2" t="str">
        <f aca="false">CHOOSE(WEEKDAY(B1778,2),"Senin","Selasa","Rabu","Kamis","Jumat","Sabtu","Minggu")</f>
        <v>Rabu</v>
      </c>
      <c r="J1778" s="2" t="n">
        <f aca="false">HOUR(E1778)</f>
        <v>13</v>
      </c>
      <c r="K1778" s="2" t="str">
        <f aca="false">IF(J1778&lt;11,"Pagi",IF(J1778&lt;17,"Siang","Malam"))</f>
        <v>Siang</v>
      </c>
      <c r="L1778" s="2" t="n">
        <f aca="false">IF(A1778&lt;&gt;A1777,1,0)</f>
        <v>1</v>
      </c>
    </row>
    <row r="1779" customFormat="false" ht="15" hidden="false" customHeight="false" outlineLevel="0" collapsed="false">
      <c r="A1779" s="2" t="s">
        <v>1725</v>
      </c>
      <c r="B1779" s="13" t="n">
        <v>46288</v>
      </c>
      <c r="C1779" s="2" t="s">
        <v>82</v>
      </c>
      <c r="D1779" s="2" t="n">
        <v>1</v>
      </c>
      <c r="E1779" s="15" t="n">
        <v>0.552777777777778</v>
      </c>
      <c r="F1779" s="7" t="n">
        <v>13000</v>
      </c>
      <c r="G1779" s="7" t="n">
        <f aca="false">D1779*F1779</f>
        <v>13000</v>
      </c>
      <c r="H1779" s="2" t="str">
        <f aca="false">INDEX(Daftar_Menu!$B$2:$B$13,MATCH(C1779,Daftar_Menu!$A$2:$A$13,0))</f>
        <v>Makanan</v>
      </c>
      <c r="I1779" s="2" t="str">
        <f aca="false">CHOOSE(WEEKDAY(B1779,2),"Senin","Selasa","Rabu","Kamis","Jumat","Sabtu","Minggu")</f>
        <v>Rabu</v>
      </c>
      <c r="J1779" s="2" t="n">
        <f aca="false">HOUR(E1779)</f>
        <v>13</v>
      </c>
      <c r="K1779" s="2" t="str">
        <f aca="false">IF(J1779&lt;11,"Pagi",IF(J1779&lt;17,"Siang","Malam"))</f>
        <v>Siang</v>
      </c>
      <c r="L1779" s="2" t="n">
        <f aca="false">IF(A1779&lt;&gt;A1778,1,0)</f>
        <v>1</v>
      </c>
    </row>
    <row r="1780" customFormat="false" ht="15" hidden="false" customHeight="false" outlineLevel="0" collapsed="false">
      <c r="A1780" s="2" t="s">
        <v>1725</v>
      </c>
      <c r="B1780" s="13" t="n">
        <v>46288</v>
      </c>
      <c r="C1780" s="2" t="s">
        <v>108</v>
      </c>
      <c r="D1780" s="2" t="n">
        <v>1</v>
      </c>
      <c r="E1780" s="15" t="n">
        <v>0.552777777777778</v>
      </c>
      <c r="F1780" s="7" t="n">
        <v>20000</v>
      </c>
      <c r="G1780" s="7" t="n">
        <f aca="false">D1780*F1780</f>
        <v>20000</v>
      </c>
      <c r="H1780" s="2" t="str">
        <f aca="false">INDEX(Daftar_Menu!$B$2:$B$13,MATCH(C1780,Daftar_Menu!$A$2:$A$13,0))</f>
        <v>Makanan</v>
      </c>
      <c r="I1780" s="2" t="str">
        <f aca="false">CHOOSE(WEEKDAY(B1780,2),"Senin","Selasa","Rabu","Kamis","Jumat","Sabtu","Minggu")</f>
        <v>Rabu</v>
      </c>
      <c r="J1780" s="2" t="n">
        <f aca="false">HOUR(E1780)</f>
        <v>13</v>
      </c>
      <c r="K1780" s="2" t="str">
        <f aca="false">IF(J1780&lt;11,"Pagi",IF(J1780&lt;17,"Siang","Malam"))</f>
        <v>Siang</v>
      </c>
      <c r="L1780" s="2" t="n">
        <f aca="false">IF(A1780&lt;&gt;A1779,1,0)</f>
        <v>0</v>
      </c>
    </row>
    <row r="1781" customFormat="false" ht="15" hidden="false" customHeight="false" outlineLevel="0" collapsed="false">
      <c r="A1781" s="2" t="s">
        <v>1725</v>
      </c>
      <c r="B1781" s="13" t="n">
        <v>46288</v>
      </c>
      <c r="C1781" s="2" t="s">
        <v>112</v>
      </c>
      <c r="D1781" s="2" t="n">
        <v>1</v>
      </c>
      <c r="E1781" s="15" t="n">
        <v>0.552777777777778</v>
      </c>
      <c r="F1781" s="7" t="n">
        <v>10000</v>
      </c>
      <c r="G1781" s="7" t="n">
        <f aca="false">D1781*F1781</f>
        <v>10000</v>
      </c>
      <c r="H1781" s="2" t="str">
        <f aca="false">INDEX(Daftar_Menu!$B$2:$B$13,MATCH(C1781,Daftar_Menu!$A$2:$A$13,0))</f>
        <v>Minuman</v>
      </c>
      <c r="I1781" s="2" t="str">
        <f aca="false">CHOOSE(WEEKDAY(B1781,2),"Senin","Selasa","Rabu","Kamis","Jumat","Sabtu","Minggu")</f>
        <v>Rabu</v>
      </c>
      <c r="J1781" s="2" t="n">
        <f aca="false">HOUR(E1781)</f>
        <v>13</v>
      </c>
      <c r="K1781" s="2" t="str">
        <f aca="false">IF(J1781&lt;11,"Pagi",IF(J1781&lt;17,"Siang","Malam"))</f>
        <v>Siang</v>
      </c>
      <c r="L1781" s="2" t="n">
        <f aca="false">IF(A1781&lt;&gt;A1780,1,0)</f>
        <v>0</v>
      </c>
    </row>
    <row r="1782" customFormat="false" ht="15" hidden="false" customHeight="false" outlineLevel="0" collapsed="false">
      <c r="A1782" s="2" t="s">
        <v>1727</v>
      </c>
      <c r="B1782" s="13" t="n">
        <v>46288</v>
      </c>
      <c r="C1782" s="2" t="s">
        <v>81</v>
      </c>
      <c r="D1782" s="2" t="n">
        <v>2</v>
      </c>
      <c r="E1782" s="15" t="n">
        <v>0.553472222222222</v>
      </c>
      <c r="F1782" s="7" t="n">
        <v>15000</v>
      </c>
      <c r="G1782" s="7" t="n">
        <f aca="false">D1782*F1782</f>
        <v>30000</v>
      </c>
      <c r="H1782" s="2" t="str">
        <f aca="false">INDEX(Daftar_Menu!$B$2:$B$13,MATCH(C1782,Daftar_Menu!$A$2:$A$13,0))</f>
        <v>Makanan</v>
      </c>
      <c r="I1782" s="2" t="str">
        <f aca="false">CHOOSE(WEEKDAY(B1782,2),"Senin","Selasa","Rabu","Kamis","Jumat","Sabtu","Minggu")</f>
        <v>Rabu</v>
      </c>
      <c r="J1782" s="2" t="n">
        <f aca="false">HOUR(E1782)</f>
        <v>13</v>
      </c>
      <c r="K1782" s="2" t="str">
        <f aca="false">IF(J1782&lt;11,"Pagi",IF(J1782&lt;17,"Siang","Malam"))</f>
        <v>Siang</v>
      </c>
      <c r="L1782" s="2" t="n">
        <f aca="false">IF(A1782&lt;&gt;A1781,1,0)</f>
        <v>1</v>
      </c>
    </row>
    <row r="1783" customFormat="false" ht="15" hidden="false" customHeight="false" outlineLevel="0" collapsed="false">
      <c r="A1783" s="2" t="s">
        <v>1728</v>
      </c>
      <c r="B1783" s="13" t="n">
        <v>46288</v>
      </c>
      <c r="C1783" s="2" t="s">
        <v>81</v>
      </c>
      <c r="D1783" s="2" t="n">
        <v>2</v>
      </c>
      <c r="E1783" s="15" t="n">
        <v>0.561805555555556</v>
      </c>
      <c r="F1783" s="7" t="n">
        <v>15000</v>
      </c>
      <c r="G1783" s="7" t="n">
        <f aca="false">D1783*F1783</f>
        <v>30000</v>
      </c>
      <c r="H1783" s="2" t="str">
        <f aca="false">INDEX(Daftar_Menu!$B$2:$B$13,MATCH(C1783,Daftar_Menu!$A$2:$A$13,0))</f>
        <v>Makanan</v>
      </c>
      <c r="I1783" s="2" t="str">
        <f aca="false">CHOOSE(WEEKDAY(B1783,2),"Senin","Selasa","Rabu","Kamis","Jumat","Sabtu","Minggu")</f>
        <v>Rabu</v>
      </c>
      <c r="J1783" s="2" t="n">
        <f aca="false">HOUR(E1783)</f>
        <v>13</v>
      </c>
      <c r="K1783" s="2" t="str">
        <f aca="false">IF(J1783&lt;11,"Pagi",IF(J1783&lt;17,"Siang","Malam"))</f>
        <v>Siang</v>
      </c>
      <c r="L1783" s="2" t="n">
        <f aca="false">IF(A1783&lt;&gt;A1782,1,0)</f>
        <v>1</v>
      </c>
    </row>
    <row r="1784" customFormat="false" ht="15" hidden="false" customHeight="false" outlineLevel="0" collapsed="false">
      <c r="A1784" s="2" t="s">
        <v>1728</v>
      </c>
      <c r="B1784" s="13" t="n">
        <v>46288</v>
      </c>
      <c r="C1784" s="2" t="s">
        <v>132</v>
      </c>
      <c r="D1784" s="2" t="n">
        <v>2</v>
      </c>
      <c r="E1784" s="15" t="n">
        <v>0.561805555555556</v>
      </c>
      <c r="F1784" s="7" t="n">
        <v>15000</v>
      </c>
      <c r="G1784" s="7" t="n">
        <f aca="false">D1784*F1784</f>
        <v>30000</v>
      </c>
      <c r="H1784" s="2" t="str">
        <f aca="false">INDEX(Daftar_Menu!$B$2:$B$13,MATCH(C1784,Daftar_Menu!$A$2:$A$13,0))</f>
        <v>Makanan</v>
      </c>
      <c r="I1784" s="2" t="str">
        <f aca="false">CHOOSE(WEEKDAY(B1784,2),"Senin","Selasa","Rabu","Kamis","Jumat","Sabtu","Minggu")</f>
        <v>Rabu</v>
      </c>
      <c r="J1784" s="2" t="n">
        <f aca="false">HOUR(E1784)</f>
        <v>13</v>
      </c>
      <c r="K1784" s="2" t="str">
        <f aca="false">IF(J1784&lt;11,"Pagi",IF(J1784&lt;17,"Siang","Malam"))</f>
        <v>Siang</v>
      </c>
      <c r="L1784" s="2" t="n">
        <f aca="false">IF(A1784&lt;&gt;A1783,1,0)</f>
        <v>0</v>
      </c>
    </row>
    <row r="1785" customFormat="false" ht="15" hidden="false" customHeight="false" outlineLevel="0" collapsed="false">
      <c r="A1785" s="2" t="s">
        <v>1729</v>
      </c>
      <c r="B1785" s="13" t="n">
        <v>46288</v>
      </c>
      <c r="C1785" s="2" t="s">
        <v>186</v>
      </c>
      <c r="D1785" s="2" t="n">
        <v>3</v>
      </c>
      <c r="E1785" s="15" t="n">
        <v>0.567361111111111</v>
      </c>
      <c r="F1785" s="7" t="n">
        <v>7000</v>
      </c>
      <c r="G1785" s="7" t="n">
        <f aca="false">D1785*F1785</f>
        <v>21000</v>
      </c>
      <c r="H1785" s="2" t="str">
        <f aca="false">INDEX(Daftar_Menu!$B$2:$B$13,MATCH(C1785,Daftar_Menu!$A$2:$A$13,0))</f>
        <v>Minuman</v>
      </c>
      <c r="I1785" s="2" t="str">
        <f aca="false">CHOOSE(WEEKDAY(B1785,2),"Senin","Selasa","Rabu","Kamis","Jumat","Sabtu","Minggu")</f>
        <v>Rabu</v>
      </c>
      <c r="J1785" s="2" t="n">
        <f aca="false">HOUR(E1785)</f>
        <v>13</v>
      </c>
      <c r="K1785" s="2" t="str">
        <f aca="false">IF(J1785&lt;11,"Pagi",IF(J1785&lt;17,"Siang","Malam"))</f>
        <v>Siang</v>
      </c>
      <c r="L1785" s="2" t="n">
        <f aca="false">IF(A1785&lt;&gt;A1784,1,0)</f>
        <v>1</v>
      </c>
    </row>
    <row r="1786" customFormat="false" ht="15" hidden="false" customHeight="false" outlineLevel="0" collapsed="false">
      <c r="A1786" s="2" t="s">
        <v>1729</v>
      </c>
      <c r="B1786" s="13" t="n">
        <v>46288</v>
      </c>
      <c r="C1786" s="2" t="s">
        <v>82</v>
      </c>
      <c r="D1786" s="2" t="n">
        <v>1</v>
      </c>
      <c r="E1786" s="15" t="n">
        <v>0.567361111111111</v>
      </c>
      <c r="F1786" s="7" t="n">
        <v>13000</v>
      </c>
      <c r="G1786" s="7" t="n">
        <f aca="false">D1786*F1786</f>
        <v>13000</v>
      </c>
      <c r="H1786" s="2" t="str">
        <f aca="false">INDEX(Daftar_Menu!$B$2:$B$13,MATCH(C1786,Daftar_Menu!$A$2:$A$13,0))</f>
        <v>Makanan</v>
      </c>
      <c r="I1786" s="2" t="str">
        <f aca="false">CHOOSE(WEEKDAY(B1786,2),"Senin","Selasa","Rabu","Kamis","Jumat","Sabtu","Minggu")</f>
        <v>Rabu</v>
      </c>
      <c r="J1786" s="2" t="n">
        <f aca="false">HOUR(E1786)</f>
        <v>13</v>
      </c>
      <c r="K1786" s="2" t="str">
        <f aca="false">IF(J1786&lt;11,"Pagi",IF(J1786&lt;17,"Siang","Malam"))</f>
        <v>Siang</v>
      </c>
      <c r="L1786" s="2" t="n">
        <f aca="false">IF(A1786&lt;&gt;A1785,1,0)</f>
        <v>0</v>
      </c>
    </row>
    <row r="1787" customFormat="false" ht="15" hidden="false" customHeight="false" outlineLevel="0" collapsed="false">
      <c r="A1787" s="2" t="s">
        <v>1730</v>
      </c>
      <c r="B1787" s="13" t="n">
        <v>46288</v>
      </c>
      <c r="C1787" s="2" t="s">
        <v>92</v>
      </c>
      <c r="D1787" s="2" t="n">
        <v>1</v>
      </c>
      <c r="E1787" s="15" t="n">
        <v>0.578472222222222</v>
      </c>
      <c r="F1787" s="7" t="n">
        <v>4000</v>
      </c>
      <c r="G1787" s="7" t="n">
        <f aca="false">D1787*F1787</f>
        <v>4000</v>
      </c>
      <c r="H1787" s="2" t="str">
        <f aca="false">INDEX(Daftar_Menu!$B$2:$B$13,MATCH(C1787,Daftar_Menu!$A$2:$A$13,0))</f>
        <v>Minuman</v>
      </c>
      <c r="I1787" s="2" t="str">
        <f aca="false">CHOOSE(WEEKDAY(B1787,2),"Senin","Selasa","Rabu","Kamis","Jumat","Sabtu","Minggu")</f>
        <v>Rabu</v>
      </c>
      <c r="J1787" s="2" t="n">
        <f aca="false">HOUR(E1787)</f>
        <v>13</v>
      </c>
      <c r="K1787" s="2" t="str">
        <f aca="false">IF(J1787&lt;11,"Pagi",IF(J1787&lt;17,"Siang","Malam"))</f>
        <v>Siang</v>
      </c>
      <c r="L1787" s="2" t="n">
        <f aca="false">IF(A1787&lt;&gt;A1786,1,0)</f>
        <v>1</v>
      </c>
    </row>
    <row r="1788" customFormat="false" ht="15" hidden="false" customHeight="false" outlineLevel="0" collapsed="false">
      <c r="A1788" s="2" t="s">
        <v>1731</v>
      </c>
      <c r="B1788" s="13" t="n">
        <v>46288</v>
      </c>
      <c r="C1788" s="2" t="s">
        <v>84</v>
      </c>
      <c r="D1788" s="2" t="n">
        <v>1</v>
      </c>
      <c r="E1788" s="15" t="n">
        <v>0.60625</v>
      </c>
      <c r="F1788" s="7" t="n">
        <v>5000</v>
      </c>
      <c r="G1788" s="7" t="n">
        <f aca="false">D1788*F1788</f>
        <v>5000</v>
      </c>
      <c r="H1788" s="2" t="str">
        <f aca="false">INDEX(Daftar_Menu!$B$2:$B$13,MATCH(C1788,Daftar_Menu!$A$2:$A$13,0))</f>
        <v>Minuman</v>
      </c>
      <c r="I1788" s="2" t="str">
        <f aca="false">CHOOSE(WEEKDAY(B1788,2),"Senin","Selasa","Rabu","Kamis","Jumat","Sabtu","Minggu")</f>
        <v>Rabu</v>
      </c>
      <c r="J1788" s="2" t="n">
        <f aca="false">HOUR(E1788)</f>
        <v>14</v>
      </c>
      <c r="K1788" s="2" t="str">
        <f aca="false">IF(J1788&lt;11,"Pagi",IF(J1788&lt;17,"Siang","Malam"))</f>
        <v>Siang</v>
      </c>
      <c r="L1788" s="2" t="n">
        <f aca="false">IF(A1788&lt;&gt;A1787,1,0)</f>
        <v>1</v>
      </c>
    </row>
    <row r="1789" customFormat="false" ht="15" hidden="false" customHeight="false" outlineLevel="0" collapsed="false">
      <c r="A1789" s="2" t="s">
        <v>1731</v>
      </c>
      <c r="B1789" s="13" t="n">
        <v>46288</v>
      </c>
      <c r="C1789" s="2" t="s">
        <v>101</v>
      </c>
      <c r="D1789" s="2" t="n">
        <v>1</v>
      </c>
      <c r="E1789" s="15" t="n">
        <v>0.60625</v>
      </c>
      <c r="F1789" s="7" t="n">
        <v>18000</v>
      </c>
      <c r="G1789" s="7" t="n">
        <f aca="false">D1789*F1789</f>
        <v>18000</v>
      </c>
      <c r="H1789" s="2" t="str">
        <f aca="false">INDEX(Daftar_Menu!$B$2:$B$13,MATCH(C1789,Daftar_Menu!$A$2:$A$13,0))</f>
        <v>Makanan</v>
      </c>
      <c r="I1789" s="2" t="str">
        <f aca="false">CHOOSE(WEEKDAY(B1789,2),"Senin","Selasa","Rabu","Kamis","Jumat","Sabtu","Minggu")</f>
        <v>Rabu</v>
      </c>
      <c r="J1789" s="2" t="n">
        <f aca="false">HOUR(E1789)</f>
        <v>14</v>
      </c>
      <c r="K1789" s="2" t="str">
        <f aca="false">IF(J1789&lt;11,"Pagi",IF(J1789&lt;17,"Siang","Malam"))</f>
        <v>Siang</v>
      </c>
      <c r="L1789" s="2" t="n">
        <f aca="false">IF(A1789&lt;&gt;A1788,1,0)</f>
        <v>0</v>
      </c>
    </row>
    <row r="1790" customFormat="false" ht="15" hidden="false" customHeight="false" outlineLevel="0" collapsed="false">
      <c r="A1790" s="2" t="s">
        <v>1732</v>
      </c>
      <c r="B1790" s="13" t="n">
        <v>46288</v>
      </c>
      <c r="C1790" s="2" t="s">
        <v>79</v>
      </c>
      <c r="D1790" s="2" t="n">
        <v>2</v>
      </c>
      <c r="E1790" s="15" t="n">
        <v>0.618055555555556</v>
      </c>
      <c r="F1790" s="7" t="n">
        <v>16000</v>
      </c>
      <c r="G1790" s="7" t="n">
        <f aca="false">D1790*F1790</f>
        <v>32000</v>
      </c>
      <c r="H1790" s="2" t="str">
        <f aca="false">INDEX(Daftar_Menu!$B$2:$B$13,MATCH(C1790,Daftar_Menu!$A$2:$A$13,0))</f>
        <v>Makanan</v>
      </c>
      <c r="I1790" s="2" t="str">
        <f aca="false">CHOOSE(WEEKDAY(B1790,2),"Senin","Selasa","Rabu","Kamis","Jumat","Sabtu","Minggu")</f>
        <v>Rabu</v>
      </c>
      <c r="J1790" s="2" t="n">
        <f aca="false">HOUR(E1790)</f>
        <v>14</v>
      </c>
      <c r="K1790" s="2" t="str">
        <f aca="false">IF(J1790&lt;11,"Pagi",IF(J1790&lt;17,"Siang","Malam"))</f>
        <v>Siang</v>
      </c>
      <c r="L1790" s="2" t="n">
        <f aca="false">IF(A1790&lt;&gt;A1789,1,0)</f>
        <v>1</v>
      </c>
    </row>
    <row r="1791" customFormat="false" ht="15" hidden="false" customHeight="false" outlineLevel="0" collapsed="false">
      <c r="A1791" s="2" t="s">
        <v>1734</v>
      </c>
      <c r="B1791" s="13" t="n">
        <v>46288</v>
      </c>
      <c r="C1791" s="2" t="s">
        <v>132</v>
      </c>
      <c r="D1791" s="2" t="n">
        <v>1</v>
      </c>
      <c r="E1791" s="15" t="n">
        <v>0.661111111111111</v>
      </c>
      <c r="F1791" s="7" t="n">
        <v>15000</v>
      </c>
      <c r="G1791" s="7" t="n">
        <f aca="false">D1791*F1791</f>
        <v>15000</v>
      </c>
      <c r="H1791" s="2" t="str">
        <f aca="false">INDEX(Daftar_Menu!$B$2:$B$13,MATCH(C1791,Daftar_Menu!$A$2:$A$13,0))</f>
        <v>Makanan</v>
      </c>
      <c r="I1791" s="2" t="str">
        <f aca="false">CHOOSE(WEEKDAY(B1791,2),"Senin","Selasa","Rabu","Kamis","Jumat","Sabtu","Minggu")</f>
        <v>Rabu</v>
      </c>
      <c r="J1791" s="2" t="n">
        <f aca="false">HOUR(E1791)</f>
        <v>15</v>
      </c>
      <c r="K1791" s="2" t="str">
        <f aca="false">IF(J1791&lt;11,"Pagi",IF(J1791&lt;17,"Siang","Malam"))</f>
        <v>Siang</v>
      </c>
      <c r="L1791" s="2" t="n">
        <f aca="false">IF(A1791&lt;&gt;A1790,1,0)</f>
        <v>1</v>
      </c>
    </row>
    <row r="1792" customFormat="false" ht="15" hidden="false" customHeight="false" outlineLevel="0" collapsed="false">
      <c r="A1792" s="2" t="s">
        <v>1736</v>
      </c>
      <c r="B1792" s="13" t="n">
        <v>46288</v>
      </c>
      <c r="C1792" s="2" t="s">
        <v>132</v>
      </c>
      <c r="D1792" s="2" t="n">
        <v>1</v>
      </c>
      <c r="E1792" s="15" t="n">
        <v>0.702083333333333</v>
      </c>
      <c r="F1792" s="7" t="n">
        <v>15000</v>
      </c>
      <c r="G1792" s="7" t="n">
        <f aca="false">D1792*F1792</f>
        <v>15000</v>
      </c>
      <c r="H1792" s="2" t="str">
        <f aca="false">INDEX(Daftar_Menu!$B$2:$B$13,MATCH(C1792,Daftar_Menu!$A$2:$A$13,0))</f>
        <v>Makanan</v>
      </c>
      <c r="I1792" s="2" t="str">
        <f aca="false">CHOOSE(WEEKDAY(B1792,2),"Senin","Selasa","Rabu","Kamis","Jumat","Sabtu","Minggu")</f>
        <v>Rabu</v>
      </c>
      <c r="J1792" s="2" t="n">
        <f aca="false">HOUR(E1792)</f>
        <v>16</v>
      </c>
      <c r="K1792" s="2" t="str">
        <f aca="false">IF(J1792&lt;11,"Pagi",IF(J1792&lt;17,"Siang","Malam"))</f>
        <v>Siang</v>
      </c>
      <c r="L1792" s="2" t="n">
        <f aca="false">IF(A1792&lt;&gt;A1791,1,0)</f>
        <v>1</v>
      </c>
    </row>
    <row r="1793" customFormat="false" ht="15" hidden="false" customHeight="false" outlineLevel="0" collapsed="false">
      <c r="A1793" s="2" t="s">
        <v>1736</v>
      </c>
      <c r="B1793" s="13" t="n">
        <v>46288</v>
      </c>
      <c r="C1793" s="2" t="s">
        <v>81</v>
      </c>
      <c r="D1793" s="2" t="n">
        <v>2</v>
      </c>
      <c r="E1793" s="15" t="n">
        <v>0.702083333333333</v>
      </c>
      <c r="F1793" s="7" t="n">
        <v>15000</v>
      </c>
      <c r="G1793" s="7" t="n">
        <f aca="false">D1793*F1793</f>
        <v>30000</v>
      </c>
      <c r="H1793" s="2" t="str">
        <f aca="false">INDEX(Daftar_Menu!$B$2:$B$13,MATCH(C1793,Daftar_Menu!$A$2:$A$13,0))</f>
        <v>Makanan</v>
      </c>
      <c r="I1793" s="2" t="str">
        <f aca="false">CHOOSE(WEEKDAY(B1793,2),"Senin","Selasa","Rabu","Kamis","Jumat","Sabtu","Minggu")</f>
        <v>Rabu</v>
      </c>
      <c r="J1793" s="2" t="n">
        <f aca="false">HOUR(E1793)</f>
        <v>16</v>
      </c>
      <c r="K1793" s="2" t="str">
        <f aca="false">IF(J1793&lt;11,"Pagi",IF(J1793&lt;17,"Siang","Malam"))</f>
        <v>Siang</v>
      </c>
      <c r="L1793" s="2" t="n">
        <f aca="false">IF(A1793&lt;&gt;A1792,1,0)</f>
        <v>0</v>
      </c>
    </row>
    <row r="1794" customFormat="false" ht="15" hidden="false" customHeight="false" outlineLevel="0" collapsed="false">
      <c r="A1794" s="2" t="s">
        <v>1737</v>
      </c>
      <c r="B1794" s="13" t="n">
        <v>46288</v>
      </c>
      <c r="C1794" s="2" t="s">
        <v>108</v>
      </c>
      <c r="D1794" s="2" t="n">
        <v>2</v>
      </c>
      <c r="E1794" s="15" t="n">
        <v>0.722916666666667</v>
      </c>
      <c r="F1794" s="7" t="n">
        <v>20000</v>
      </c>
      <c r="G1794" s="7" t="n">
        <f aca="false">D1794*F1794</f>
        <v>40000</v>
      </c>
      <c r="H1794" s="2" t="str">
        <f aca="false">INDEX(Daftar_Menu!$B$2:$B$13,MATCH(C1794,Daftar_Menu!$A$2:$A$13,0))</f>
        <v>Makanan</v>
      </c>
      <c r="I1794" s="2" t="str">
        <f aca="false">CHOOSE(WEEKDAY(B1794,2),"Senin","Selasa","Rabu","Kamis","Jumat","Sabtu","Minggu")</f>
        <v>Rabu</v>
      </c>
      <c r="J1794" s="2" t="n">
        <f aca="false">HOUR(E1794)</f>
        <v>17</v>
      </c>
      <c r="K1794" s="2" t="str">
        <f aca="false">IF(J1794&lt;11,"Pagi",IF(J1794&lt;17,"Siang","Malam"))</f>
        <v>Malam</v>
      </c>
      <c r="L1794" s="2" t="n">
        <f aca="false">IF(A1794&lt;&gt;A1793,1,0)</f>
        <v>1</v>
      </c>
    </row>
    <row r="1795" customFormat="false" ht="15" hidden="false" customHeight="false" outlineLevel="0" collapsed="false">
      <c r="A1795" s="2" t="s">
        <v>1737</v>
      </c>
      <c r="B1795" s="13" t="n">
        <v>46288</v>
      </c>
      <c r="C1795" s="2" t="s">
        <v>81</v>
      </c>
      <c r="D1795" s="2" t="n">
        <v>1</v>
      </c>
      <c r="E1795" s="15" t="n">
        <v>0.722916666666667</v>
      </c>
      <c r="F1795" s="7" t="n">
        <v>15000</v>
      </c>
      <c r="G1795" s="7" t="n">
        <f aca="false">D1795*F1795</f>
        <v>15000</v>
      </c>
      <c r="H1795" s="2" t="str">
        <f aca="false">INDEX(Daftar_Menu!$B$2:$B$13,MATCH(C1795,Daftar_Menu!$A$2:$A$13,0))</f>
        <v>Makanan</v>
      </c>
      <c r="I1795" s="2" t="str">
        <f aca="false">CHOOSE(WEEKDAY(B1795,2),"Senin","Selasa","Rabu","Kamis","Jumat","Sabtu","Minggu")</f>
        <v>Rabu</v>
      </c>
      <c r="J1795" s="2" t="n">
        <f aca="false">HOUR(E1795)</f>
        <v>17</v>
      </c>
      <c r="K1795" s="2" t="str">
        <f aca="false">IF(J1795&lt;11,"Pagi",IF(J1795&lt;17,"Siang","Malam"))</f>
        <v>Malam</v>
      </c>
      <c r="L1795" s="2" t="n">
        <f aca="false">IF(A1795&lt;&gt;A1794,1,0)</f>
        <v>0</v>
      </c>
    </row>
    <row r="1796" customFormat="false" ht="15" hidden="false" customHeight="false" outlineLevel="0" collapsed="false">
      <c r="A1796" s="2" t="s">
        <v>1738</v>
      </c>
      <c r="B1796" s="13" t="n">
        <v>46288</v>
      </c>
      <c r="C1796" s="2" t="s">
        <v>81</v>
      </c>
      <c r="D1796" s="2" t="n">
        <v>1</v>
      </c>
      <c r="E1796" s="15" t="n">
        <v>0.725694444444444</v>
      </c>
      <c r="F1796" s="7" t="n">
        <v>15000</v>
      </c>
      <c r="G1796" s="7" t="n">
        <f aca="false">D1796*F1796</f>
        <v>15000</v>
      </c>
      <c r="H1796" s="2" t="str">
        <f aca="false">INDEX(Daftar_Menu!$B$2:$B$13,MATCH(C1796,Daftar_Menu!$A$2:$A$13,0))</f>
        <v>Makanan</v>
      </c>
      <c r="I1796" s="2" t="str">
        <f aca="false">CHOOSE(WEEKDAY(B1796,2),"Senin","Selasa","Rabu","Kamis","Jumat","Sabtu","Minggu")</f>
        <v>Rabu</v>
      </c>
      <c r="J1796" s="2" t="n">
        <f aca="false">HOUR(E1796)</f>
        <v>17</v>
      </c>
      <c r="K1796" s="2" t="str">
        <f aca="false">IF(J1796&lt;11,"Pagi",IF(J1796&lt;17,"Siang","Malam"))</f>
        <v>Malam</v>
      </c>
      <c r="L1796" s="2" t="n">
        <f aca="false">IF(A1796&lt;&gt;A1795,1,0)</f>
        <v>1</v>
      </c>
    </row>
    <row r="1797" customFormat="false" ht="15" hidden="false" customHeight="false" outlineLevel="0" collapsed="false">
      <c r="A1797" s="2" t="s">
        <v>1738</v>
      </c>
      <c r="B1797" s="13" t="n">
        <v>46288</v>
      </c>
      <c r="C1797" s="2" t="s">
        <v>132</v>
      </c>
      <c r="D1797" s="2" t="n">
        <v>1</v>
      </c>
      <c r="E1797" s="15" t="n">
        <v>0.725694444444444</v>
      </c>
      <c r="F1797" s="7" t="n">
        <v>15000</v>
      </c>
      <c r="G1797" s="7" t="n">
        <f aca="false">D1797*F1797</f>
        <v>15000</v>
      </c>
      <c r="H1797" s="2" t="str">
        <f aca="false">INDEX(Daftar_Menu!$B$2:$B$13,MATCH(C1797,Daftar_Menu!$A$2:$A$13,0))</f>
        <v>Makanan</v>
      </c>
      <c r="I1797" s="2" t="str">
        <f aca="false">CHOOSE(WEEKDAY(B1797,2),"Senin","Selasa","Rabu","Kamis","Jumat","Sabtu","Minggu")</f>
        <v>Rabu</v>
      </c>
      <c r="J1797" s="2" t="n">
        <f aca="false">HOUR(E1797)</f>
        <v>17</v>
      </c>
      <c r="K1797" s="2" t="str">
        <f aca="false">IF(J1797&lt;11,"Pagi",IF(J1797&lt;17,"Siang","Malam"))</f>
        <v>Malam</v>
      </c>
      <c r="L1797" s="2" t="n">
        <f aca="false">IF(A1797&lt;&gt;A1796,1,0)</f>
        <v>0</v>
      </c>
    </row>
    <row r="1798" customFormat="false" ht="15" hidden="false" customHeight="false" outlineLevel="0" collapsed="false">
      <c r="A1798" s="2" t="s">
        <v>1738</v>
      </c>
      <c r="B1798" s="13" t="n">
        <v>46288</v>
      </c>
      <c r="C1798" s="2" t="s">
        <v>112</v>
      </c>
      <c r="D1798" s="2" t="n">
        <v>3</v>
      </c>
      <c r="E1798" s="15" t="n">
        <v>0.725694444444444</v>
      </c>
      <c r="F1798" s="7" t="n">
        <v>10000</v>
      </c>
      <c r="G1798" s="7" t="n">
        <f aca="false">D1798*F1798</f>
        <v>30000</v>
      </c>
      <c r="H1798" s="2" t="str">
        <f aca="false">INDEX(Daftar_Menu!$B$2:$B$13,MATCH(C1798,Daftar_Menu!$A$2:$A$13,0))</f>
        <v>Minuman</v>
      </c>
      <c r="I1798" s="2" t="str">
        <f aca="false">CHOOSE(WEEKDAY(B1798,2),"Senin","Selasa","Rabu","Kamis","Jumat","Sabtu","Minggu")</f>
        <v>Rabu</v>
      </c>
      <c r="J1798" s="2" t="n">
        <f aca="false">HOUR(E1798)</f>
        <v>17</v>
      </c>
      <c r="K1798" s="2" t="str">
        <f aca="false">IF(J1798&lt;11,"Pagi",IF(J1798&lt;17,"Siang","Malam"))</f>
        <v>Malam</v>
      </c>
      <c r="L1798" s="2" t="n">
        <f aca="false">IF(A1798&lt;&gt;A1797,1,0)</f>
        <v>0</v>
      </c>
    </row>
    <row r="1799" customFormat="false" ht="15" hidden="false" customHeight="false" outlineLevel="0" collapsed="false">
      <c r="A1799" s="2" t="s">
        <v>1739</v>
      </c>
      <c r="B1799" s="13" t="n">
        <v>46288</v>
      </c>
      <c r="C1799" s="2" t="s">
        <v>108</v>
      </c>
      <c r="D1799" s="2" t="n">
        <v>1</v>
      </c>
      <c r="E1799" s="15" t="n">
        <v>0.729861111111111</v>
      </c>
      <c r="F1799" s="7" t="n">
        <v>20000</v>
      </c>
      <c r="G1799" s="7" t="n">
        <f aca="false">D1799*F1799</f>
        <v>20000</v>
      </c>
      <c r="H1799" s="2" t="str">
        <f aca="false">INDEX(Daftar_Menu!$B$2:$B$13,MATCH(C1799,Daftar_Menu!$A$2:$A$13,0))</f>
        <v>Makanan</v>
      </c>
      <c r="I1799" s="2" t="str">
        <f aca="false">CHOOSE(WEEKDAY(B1799,2),"Senin","Selasa","Rabu","Kamis","Jumat","Sabtu","Minggu")</f>
        <v>Rabu</v>
      </c>
      <c r="J1799" s="2" t="n">
        <f aca="false">HOUR(E1799)</f>
        <v>17</v>
      </c>
      <c r="K1799" s="2" t="str">
        <f aca="false">IF(J1799&lt;11,"Pagi",IF(J1799&lt;17,"Siang","Malam"))</f>
        <v>Malam</v>
      </c>
      <c r="L1799" s="2" t="n">
        <f aca="false">IF(A1799&lt;&gt;A1798,1,0)</f>
        <v>1</v>
      </c>
    </row>
    <row r="1800" customFormat="false" ht="15" hidden="false" customHeight="false" outlineLevel="0" collapsed="false">
      <c r="A1800" s="2" t="s">
        <v>1739</v>
      </c>
      <c r="B1800" s="13" t="n">
        <v>46288</v>
      </c>
      <c r="C1800" s="2" t="s">
        <v>132</v>
      </c>
      <c r="D1800" s="2" t="n">
        <v>2</v>
      </c>
      <c r="E1800" s="15" t="n">
        <v>0.729861111111111</v>
      </c>
      <c r="F1800" s="7" t="n">
        <v>15000</v>
      </c>
      <c r="G1800" s="7" t="n">
        <f aca="false">D1800*F1800</f>
        <v>30000</v>
      </c>
      <c r="H1800" s="2" t="str">
        <f aca="false">INDEX(Daftar_Menu!$B$2:$B$13,MATCH(C1800,Daftar_Menu!$A$2:$A$13,0))</f>
        <v>Makanan</v>
      </c>
      <c r="I1800" s="2" t="str">
        <f aca="false">CHOOSE(WEEKDAY(B1800,2),"Senin","Selasa","Rabu","Kamis","Jumat","Sabtu","Minggu")</f>
        <v>Rabu</v>
      </c>
      <c r="J1800" s="2" t="n">
        <f aca="false">HOUR(E1800)</f>
        <v>17</v>
      </c>
      <c r="K1800" s="2" t="str">
        <f aca="false">IF(J1800&lt;11,"Pagi",IF(J1800&lt;17,"Siang","Malam"))</f>
        <v>Malam</v>
      </c>
      <c r="L1800" s="2" t="n">
        <f aca="false">IF(A1800&lt;&gt;A1799,1,0)</f>
        <v>0</v>
      </c>
    </row>
    <row r="1801" customFormat="false" ht="15" hidden="false" customHeight="false" outlineLevel="0" collapsed="false">
      <c r="A1801" s="2" t="s">
        <v>1740</v>
      </c>
      <c r="B1801" s="13" t="n">
        <v>46288</v>
      </c>
      <c r="C1801" s="2" t="s">
        <v>79</v>
      </c>
      <c r="D1801" s="2" t="n">
        <v>1</v>
      </c>
      <c r="E1801" s="15" t="n">
        <v>0.753472222222222</v>
      </c>
      <c r="F1801" s="7" t="n">
        <v>16000</v>
      </c>
      <c r="G1801" s="7" t="n">
        <f aca="false">D1801*F1801</f>
        <v>16000</v>
      </c>
      <c r="H1801" s="2" t="str">
        <f aca="false">INDEX(Daftar_Menu!$B$2:$B$13,MATCH(C1801,Daftar_Menu!$A$2:$A$13,0))</f>
        <v>Makanan</v>
      </c>
      <c r="I1801" s="2" t="str">
        <f aca="false">CHOOSE(WEEKDAY(B1801,2),"Senin","Selasa","Rabu","Kamis","Jumat","Sabtu","Minggu")</f>
        <v>Rabu</v>
      </c>
      <c r="J1801" s="2" t="n">
        <f aca="false">HOUR(E1801)</f>
        <v>18</v>
      </c>
      <c r="K1801" s="2" t="str">
        <f aca="false">IF(J1801&lt;11,"Pagi",IF(J1801&lt;17,"Siang","Malam"))</f>
        <v>Malam</v>
      </c>
      <c r="L1801" s="2" t="n">
        <f aca="false">IF(A1801&lt;&gt;A1800,1,0)</f>
        <v>1</v>
      </c>
    </row>
    <row r="1802" customFormat="false" ht="15" hidden="false" customHeight="false" outlineLevel="0" collapsed="false">
      <c r="A1802" s="2" t="s">
        <v>1741</v>
      </c>
      <c r="B1802" s="13" t="n">
        <v>46288</v>
      </c>
      <c r="C1802" s="2" t="s">
        <v>79</v>
      </c>
      <c r="D1802" s="2" t="n">
        <v>1</v>
      </c>
      <c r="E1802" s="15" t="n">
        <v>0.776388888888889</v>
      </c>
      <c r="F1802" s="7" t="n">
        <v>16000</v>
      </c>
      <c r="G1802" s="7" t="n">
        <f aca="false">D1802*F1802</f>
        <v>16000</v>
      </c>
      <c r="H1802" s="2" t="str">
        <f aca="false">INDEX(Daftar_Menu!$B$2:$B$13,MATCH(C1802,Daftar_Menu!$A$2:$A$13,0))</f>
        <v>Makanan</v>
      </c>
      <c r="I1802" s="2" t="str">
        <f aca="false">CHOOSE(WEEKDAY(B1802,2),"Senin","Selasa","Rabu","Kamis","Jumat","Sabtu","Minggu")</f>
        <v>Rabu</v>
      </c>
      <c r="J1802" s="2" t="n">
        <f aca="false">HOUR(E1802)</f>
        <v>18</v>
      </c>
      <c r="K1802" s="2" t="str">
        <f aca="false">IF(J1802&lt;11,"Pagi",IF(J1802&lt;17,"Siang","Malam"))</f>
        <v>Malam</v>
      </c>
      <c r="L1802" s="2" t="n">
        <f aca="false">IF(A1802&lt;&gt;A1801,1,0)</f>
        <v>1</v>
      </c>
    </row>
    <row r="1803" customFormat="false" ht="15" hidden="false" customHeight="false" outlineLevel="0" collapsed="false">
      <c r="A1803" s="2" t="s">
        <v>1741</v>
      </c>
      <c r="B1803" s="13" t="n">
        <v>46288</v>
      </c>
      <c r="C1803" s="2" t="s">
        <v>132</v>
      </c>
      <c r="D1803" s="2" t="n">
        <v>1</v>
      </c>
      <c r="E1803" s="15" t="n">
        <v>0.776388888888889</v>
      </c>
      <c r="F1803" s="7" t="n">
        <v>15000</v>
      </c>
      <c r="G1803" s="7" t="n">
        <f aca="false">D1803*F1803</f>
        <v>15000</v>
      </c>
      <c r="H1803" s="2" t="str">
        <f aca="false">INDEX(Daftar_Menu!$B$2:$B$13,MATCH(C1803,Daftar_Menu!$A$2:$A$13,0))</f>
        <v>Makanan</v>
      </c>
      <c r="I1803" s="2" t="str">
        <f aca="false">CHOOSE(WEEKDAY(B1803,2),"Senin","Selasa","Rabu","Kamis","Jumat","Sabtu","Minggu")</f>
        <v>Rabu</v>
      </c>
      <c r="J1803" s="2" t="n">
        <f aca="false">HOUR(E1803)</f>
        <v>18</v>
      </c>
      <c r="K1803" s="2" t="str">
        <f aca="false">IF(J1803&lt;11,"Pagi",IF(J1803&lt;17,"Siang","Malam"))</f>
        <v>Malam</v>
      </c>
      <c r="L1803" s="2" t="n">
        <f aca="false">IF(A1803&lt;&gt;A1802,1,0)</f>
        <v>0</v>
      </c>
    </row>
    <row r="1804" customFormat="false" ht="15" hidden="false" customHeight="false" outlineLevel="0" collapsed="false">
      <c r="A1804" s="2" t="s">
        <v>1742</v>
      </c>
      <c r="B1804" s="13" t="n">
        <v>46288</v>
      </c>
      <c r="C1804" s="2" t="s">
        <v>108</v>
      </c>
      <c r="D1804" s="2" t="n">
        <v>1</v>
      </c>
      <c r="E1804" s="15" t="n">
        <v>0.777083333333333</v>
      </c>
      <c r="F1804" s="7" t="n">
        <v>20000</v>
      </c>
      <c r="G1804" s="7" t="n">
        <f aca="false">D1804*F1804</f>
        <v>20000</v>
      </c>
      <c r="H1804" s="2" t="str">
        <f aca="false">INDEX(Daftar_Menu!$B$2:$B$13,MATCH(C1804,Daftar_Menu!$A$2:$A$13,0))</f>
        <v>Makanan</v>
      </c>
      <c r="I1804" s="2" t="str">
        <f aca="false">CHOOSE(WEEKDAY(B1804,2),"Senin","Selasa","Rabu","Kamis","Jumat","Sabtu","Minggu")</f>
        <v>Rabu</v>
      </c>
      <c r="J1804" s="2" t="n">
        <f aca="false">HOUR(E1804)</f>
        <v>18</v>
      </c>
      <c r="K1804" s="2" t="str">
        <f aca="false">IF(J1804&lt;11,"Pagi",IF(J1804&lt;17,"Siang","Malam"))</f>
        <v>Malam</v>
      </c>
      <c r="L1804" s="2" t="n">
        <f aca="false">IF(A1804&lt;&gt;A1803,1,0)</f>
        <v>1</v>
      </c>
    </row>
    <row r="1805" customFormat="false" ht="15" hidden="false" customHeight="false" outlineLevel="0" collapsed="false">
      <c r="A1805" s="2" t="s">
        <v>1742</v>
      </c>
      <c r="B1805" s="13" t="n">
        <v>46288</v>
      </c>
      <c r="C1805" s="2" t="s">
        <v>132</v>
      </c>
      <c r="D1805" s="2" t="n">
        <v>2</v>
      </c>
      <c r="E1805" s="15" t="n">
        <v>0.777083333333333</v>
      </c>
      <c r="F1805" s="7" t="n">
        <v>15000</v>
      </c>
      <c r="G1805" s="7" t="n">
        <f aca="false">D1805*F1805</f>
        <v>30000</v>
      </c>
      <c r="H1805" s="2" t="str">
        <f aca="false">INDEX(Daftar_Menu!$B$2:$B$13,MATCH(C1805,Daftar_Menu!$A$2:$A$13,0))</f>
        <v>Makanan</v>
      </c>
      <c r="I1805" s="2" t="str">
        <f aca="false">CHOOSE(WEEKDAY(B1805,2),"Senin","Selasa","Rabu","Kamis","Jumat","Sabtu","Minggu")</f>
        <v>Rabu</v>
      </c>
      <c r="J1805" s="2" t="n">
        <f aca="false">HOUR(E1805)</f>
        <v>18</v>
      </c>
      <c r="K1805" s="2" t="str">
        <f aca="false">IF(J1805&lt;11,"Pagi",IF(J1805&lt;17,"Siang","Malam"))</f>
        <v>Malam</v>
      </c>
      <c r="L1805" s="2" t="n">
        <f aca="false">IF(A1805&lt;&gt;A1804,1,0)</f>
        <v>0</v>
      </c>
    </row>
    <row r="1806" customFormat="false" ht="15" hidden="false" customHeight="false" outlineLevel="0" collapsed="false">
      <c r="A1806" s="2" t="s">
        <v>1744</v>
      </c>
      <c r="B1806" s="13" t="n">
        <v>46288</v>
      </c>
      <c r="C1806" s="2" t="s">
        <v>79</v>
      </c>
      <c r="D1806" s="2" t="n">
        <v>1</v>
      </c>
      <c r="E1806" s="15" t="n">
        <v>0.7875</v>
      </c>
      <c r="F1806" s="7" t="n">
        <v>16000</v>
      </c>
      <c r="G1806" s="7" t="n">
        <f aca="false">D1806*F1806</f>
        <v>16000</v>
      </c>
      <c r="H1806" s="2" t="str">
        <f aca="false">INDEX(Daftar_Menu!$B$2:$B$13,MATCH(C1806,Daftar_Menu!$A$2:$A$13,0))</f>
        <v>Makanan</v>
      </c>
      <c r="I1806" s="2" t="str">
        <f aca="false">CHOOSE(WEEKDAY(B1806,2),"Senin","Selasa","Rabu","Kamis","Jumat","Sabtu","Minggu")</f>
        <v>Rabu</v>
      </c>
      <c r="J1806" s="2" t="n">
        <f aca="false">HOUR(E1806)</f>
        <v>18</v>
      </c>
      <c r="K1806" s="2" t="str">
        <f aca="false">IF(J1806&lt;11,"Pagi",IF(J1806&lt;17,"Siang","Malam"))</f>
        <v>Malam</v>
      </c>
      <c r="L1806" s="2" t="n">
        <f aca="false">IF(A1806&lt;&gt;A1805,1,0)</f>
        <v>1</v>
      </c>
    </row>
    <row r="1807" customFormat="false" ht="15" hidden="false" customHeight="false" outlineLevel="0" collapsed="false">
      <c r="A1807" s="2" t="s">
        <v>1744</v>
      </c>
      <c r="B1807" s="13" t="n">
        <v>46288</v>
      </c>
      <c r="C1807" s="2" t="s">
        <v>84</v>
      </c>
      <c r="D1807" s="2" t="n">
        <v>1</v>
      </c>
      <c r="E1807" s="15" t="n">
        <v>0.7875</v>
      </c>
      <c r="F1807" s="7" t="n">
        <v>5000</v>
      </c>
      <c r="G1807" s="7" t="n">
        <f aca="false">D1807*F1807</f>
        <v>5000</v>
      </c>
      <c r="H1807" s="2" t="str">
        <f aca="false">INDEX(Daftar_Menu!$B$2:$B$13,MATCH(C1807,Daftar_Menu!$A$2:$A$13,0))</f>
        <v>Minuman</v>
      </c>
      <c r="I1807" s="2" t="str">
        <f aca="false">CHOOSE(WEEKDAY(B1807,2),"Senin","Selasa","Rabu","Kamis","Jumat","Sabtu","Minggu")</f>
        <v>Rabu</v>
      </c>
      <c r="J1807" s="2" t="n">
        <f aca="false">HOUR(E1807)</f>
        <v>18</v>
      </c>
      <c r="K1807" s="2" t="str">
        <f aca="false">IF(J1807&lt;11,"Pagi",IF(J1807&lt;17,"Siang","Malam"))</f>
        <v>Malam</v>
      </c>
      <c r="L1807" s="2" t="n">
        <f aca="false">IF(A1807&lt;&gt;A1806,1,0)</f>
        <v>0</v>
      </c>
    </row>
    <row r="1808" customFormat="false" ht="15" hidden="false" customHeight="false" outlineLevel="0" collapsed="false">
      <c r="A1808" s="2" t="s">
        <v>1745</v>
      </c>
      <c r="B1808" s="13" t="n">
        <v>46288</v>
      </c>
      <c r="C1808" s="2" t="s">
        <v>132</v>
      </c>
      <c r="D1808" s="2" t="n">
        <v>1</v>
      </c>
      <c r="E1808" s="15" t="n">
        <v>0.797222222222222</v>
      </c>
      <c r="F1808" s="7" t="n">
        <v>15000</v>
      </c>
      <c r="G1808" s="7" t="n">
        <f aca="false">D1808*F1808</f>
        <v>15000</v>
      </c>
      <c r="H1808" s="2" t="str">
        <f aca="false">INDEX(Daftar_Menu!$B$2:$B$13,MATCH(C1808,Daftar_Menu!$A$2:$A$13,0))</f>
        <v>Makanan</v>
      </c>
      <c r="I1808" s="2" t="str">
        <f aca="false">CHOOSE(WEEKDAY(B1808,2),"Senin","Selasa","Rabu","Kamis","Jumat","Sabtu","Minggu")</f>
        <v>Rabu</v>
      </c>
      <c r="J1808" s="2" t="n">
        <f aca="false">HOUR(E1808)</f>
        <v>19</v>
      </c>
      <c r="K1808" s="2" t="str">
        <f aca="false">IF(J1808&lt;11,"Pagi",IF(J1808&lt;17,"Siang","Malam"))</f>
        <v>Malam</v>
      </c>
      <c r="L1808" s="2" t="n">
        <f aca="false">IF(A1808&lt;&gt;A1807,1,0)</f>
        <v>1</v>
      </c>
    </row>
    <row r="1809" customFormat="false" ht="15" hidden="false" customHeight="false" outlineLevel="0" collapsed="false">
      <c r="A1809" s="2" t="s">
        <v>1746</v>
      </c>
      <c r="B1809" s="13" t="n">
        <v>46288</v>
      </c>
      <c r="C1809" s="2" t="s">
        <v>81</v>
      </c>
      <c r="D1809" s="2" t="n">
        <v>1</v>
      </c>
      <c r="E1809" s="15" t="n">
        <v>0.808333333333333</v>
      </c>
      <c r="F1809" s="7" t="n">
        <v>15000</v>
      </c>
      <c r="G1809" s="7" t="n">
        <f aca="false">D1809*F1809</f>
        <v>15000</v>
      </c>
      <c r="H1809" s="2" t="str">
        <f aca="false">INDEX(Daftar_Menu!$B$2:$B$13,MATCH(C1809,Daftar_Menu!$A$2:$A$13,0))</f>
        <v>Makanan</v>
      </c>
      <c r="I1809" s="2" t="str">
        <f aca="false">CHOOSE(WEEKDAY(B1809,2),"Senin","Selasa","Rabu","Kamis","Jumat","Sabtu","Minggu")</f>
        <v>Rabu</v>
      </c>
      <c r="J1809" s="2" t="n">
        <f aca="false">HOUR(E1809)</f>
        <v>19</v>
      </c>
      <c r="K1809" s="2" t="str">
        <f aca="false">IF(J1809&lt;11,"Pagi",IF(J1809&lt;17,"Siang","Malam"))</f>
        <v>Malam</v>
      </c>
      <c r="L1809" s="2" t="n">
        <f aca="false">IF(A1809&lt;&gt;A1808,1,0)</f>
        <v>1</v>
      </c>
    </row>
    <row r="1810" customFormat="false" ht="15" hidden="false" customHeight="false" outlineLevel="0" collapsed="false">
      <c r="A1810" s="2" t="s">
        <v>1746</v>
      </c>
      <c r="B1810" s="13" t="n">
        <v>46288</v>
      </c>
      <c r="C1810" s="2" t="s">
        <v>89</v>
      </c>
      <c r="D1810" s="2" t="n">
        <v>1</v>
      </c>
      <c r="E1810" s="15" t="n">
        <v>0.808333333333333</v>
      </c>
      <c r="F1810" s="7" t="n">
        <v>14000</v>
      </c>
      <c r="G1810" s="7" t="n">
        <f aca="false">D1810*F1810</f>
        <v>14000</v>
      </c>
      <c r="H1810" s="2" t="str">
        <f aca="false">INDEX(Daftar_Menu!$B$2:$B$13,MATCH(C1810,Daftar_Menu!$A$2:$A$13,0))</f>
        <v>Makanan</v>
      </c>
      <c r="I1810" s="2" t="str">
        <f aca="false">CHOOSE(WEEKDAY(B1810,2),"Senin","Selasa","Rabu","Kamis","Jumat","Sabtu","Minggu")</f>
        <v>Rabu</v>
      </c>
      <c r="J1810" s="2" t="n">
        <f aca="false">HOUR(E1810)</f>
        <v>19</v>
      </c>
      <c r="K1810" s="2" t="str">
        <f aca="false">IF(J1810&lt;11,"Pagi",IF(J1810&lt;17,"Siang","Malam"))</f>
        <v>Malam</v>
      </c>
      <c r="L1810" s="2" t="n">
        <f aca="false">IF(A1810&lt;&gt;A1809,1,0)</f>
        <v>0</v>
      </c>
    </row>
    <row r="1811" customFormat="false" ht="15" hidden="false" customHeight="false" outlineLevel="0" collapsed="false">
      <c r="A1811" s="2" t="s">
        <v>1747</v>
      </c>
      <c r="B1811" s="13" t="n">
        <v>46288</v>
      </c>
      <c r="C1811" s="2" t="s">
        <v>79</v>
      </c>
      <c r="D1811" s="2" t="n">
        <v>2</v>
      </c>
      <c r="E1811" s="15" t="n">
        <v>0.811805555555556</v>
      </c>
      <c r="F1811" s="7" t="n">
        <v>16000</v>
      </c>
      <c r="G1811" s="7" t="n">
        <f aca="false">D1811*F1811</f>
        <v>32000</v>
      </c>
      <c r="H1811" s="2" t="str">
        <f aca="false">INDEX(Daftar_Menu!$B$2:$B$13,MATCH(C1811,Daftar_Menu!$A$2:$A$13,0))</f>
        <v>Makanan</v>
      </c>
      <c r="I1811" s="2" t="str">
        <f aca="false">CHOOSE(WEEKDAY(B1811,2),"Senin","Selasa","Rabu","Kamis","Jumat","Sabtu","Minggu")</f>
        <v>Rabu</v>
      </c>
      <c r="J1811" s="2" t="n">
        <f aca="false">HOUR(E1811)</f>
        <v>19</v>
      </c>
      <c r="K1811" s="2" t="str">
        <f aca="false">IF(J1811&lt;11,"Pagi",IF(J1811&lt;17,"Siang","Malam"))</f>
        <v>Malam</v>
      </c>
      <c r="L1811" s="2" t="n">
        <f aca="false">IF(A1811&lt;&gt;A1810,1,0)</f>
        <v>1</v>
      </c>
    </row>
    <row r="1812" customFormat="false" ht="15" hidden="false" customHeight="false" outlineLevel="0" collapsed="false">
      <c r="A1812" s="2" t="s">
        <v>1748</v>
      </c>
      <c r="B1812" s="13" t="n">
        <v>46288</v>
      </c>
      <c r="C1812" s="2" t="s">
        <v>89</v>
      </c>
      <c r="D1812" s="2" t="n">
        <v>1</v>
      </c>
      <c r="E1812" s="15" t="n">
        <v>0.818055555555556</v>
      </c>
      <c r="F1812" s="7" t="n">
        <v>14000</v>
      </c>
      <c r="G1812" s="7" t="n">
        <f aca="false">D1812*F1812</f>
        <v>14000</v>
      </c>
      <c r="H1812" s="2" t="str">
        <f aca="false">INDEX(Daftar_Menu!$B$2:$B$13,MATCH(C1812,Daftar_Menu!$A$2:$A$13,0))</f>
        <v>Makanan</v>
      </c>
      <c r="I1812" s="2" t="str">
        <f aca="false">CHOOSE(WEEKDAY(B1812,2),"Senin","Selasa","Rabu","Kamis","Jumat","Sabtu","Minggu")</f>
        <v>Rabu</v>
      </c>
      <c r="J1812" s="2" t="n">
        <f aca="false">HOUR(E1812)</f>
        <v>19</v>
      </c>
      <c r="K1812" s="2" t="str">
        <f aca="false">IF(J1812&lt;11,"Pagi",IF(J1812&lt;17,"Siang","Malam"))</f>
        <v>Malam</v>
      </c>
      <c r="L1812" s="2" t="n">
        <f aca="false">IF(A1812&lt;&gt;A1811,1,0)</f>
        <v>1</v>
      </c>
    </row>
    <row r="1813" customFormat="false" ht="15" hidden="false" customHeight="false" outlineLevel="0" collapsed="false">
      <c r="A1813" s="2" t="s">
        <v>1749</v>
      </c>
      <c r="B1813" s="13" t="n">
        <v>46288</v>
      </c>
      <c r="C1813" s="2" t="s">
        <v>108</v>
      </c>
      <c r="D1813" s="2" t="n">
        <v>1</v>
      </c>
      <c r="E1813" s="15" t="n">
        <v>0.819444444444444</v>
      </c>
      <c r="F1813" s="7" t="n">
        <v>20000</v>
      </c>
      <c r="G1813" s="7" t="n">
        <f aca="false">D1813*F1813</f>
        <v>20000</v>
      </c>
      <c r="H1813" s="2" t="str">
        <f aca="false">INDEX(Daftar_Menu!$B$2:$B$13,MATCH(C1813,Daftar_Menu!$A$2:$A$13,0))</f>
        <v>Makanan</v>
      </c>
      <c r="I1813" s="2" t="str">
        <f aca="false">CHOOSE(WEEKDAY(B1813,2),"Senin","Selasa","Rabu","Kamis","Jumat","Sabtu","Minggu")</f>
        <v>Rabu</v>
      </c>
      <c r="J1813" s="2" t="n">
        <f aca="false">HOUR(E1813)</f>
        <v>19</v>
      </c>
      <c r="K1813" s="2" t="str">
        <f aca="false">IF(J1813&lt;11,"Pagi",IF(J1813&lt;17,"Siang","Malam"))</f>
        <v>Malam</v>
      </c>
      <c r="L1813" s="2" t="n">
        <f aca="false">IF(A1813&lt;&gt;A1812,1,0)</f>
        <v>1</v>
      </c>
    </row>
    <row r="1814" customFormat="false" ht="15" hidden="false" customHeight="false" outlineLevel="0" collapsed="false">
      <c r="A1814" s="2" t="s">
        <v>1749</v>
      </c>
      <c r="B1814" s="13" t="n">
        <v>46288</v>
      </c>
      <c r="C1814" s="2" t="s">
        <v>92</v>
      </c>
      <c r="D1814" s="2" t="n">
        <v>1</v>
      </c>
      <c r="E1814" s="15" t="n">
        <v>0.819444444444444</v>
      </c>
      <c r="F1814" s="7" t="n">
        <v>4000</v>
      </c>
      <c r="G1814" s="7" t="n">
        <f aca="false">D1814*F1814</f>
        <v>4000</v>
      </c>
      <c r="H1814" s="2" t="str">
        <f aca="false">INDEX(Daftar_Menu!$B$2:$B$13,MATCH(C1814,Daftar_Menu!$A$2:$A$13,0))</f>
        <v>Minuman</v>
      </c>
      <c r="I1814" s="2" t="str">
        <f aca="false">CHOOSE(WEEKDAY(B1814,2),"Senin","Selasa","Rabu","Kamis","Jumat","Sabtu","Minggu")</f>
        <v>Rabu</v>
      </c>
      <c r="J1814" s="2" t="n">
        <f aca="false">HOUR(E1814)</f>
        <v>19</v>
      </c>
      <c r="K1814" s="2" t="str">
        <f aca="false">IF(J1814&lt;11,"Pagi",IF(J1814&lt;17,"Siang","Malam"))</f>
        <v>Malam</v>
      </c>
      <c r="L1814" s="2" t="n">
        <f aca="false">IF(A1814&lt;&gt;A1813,1,0)</f>
        <v>0</v>
      </c>
    </row>
    <row r="1815" customFormat="false" ht="15" hidden="false" customHeight="false" outlineLevel="0" collapsed="false">
      <c r="A1815" s="2" t="s">
        <v>1752</v>
      </c>
      <c r="B1815" s="13" t="n">
        <v>46288</v>
      </c>
      <c r="C1815" s="2" t="s">
        <v>92</v>
      </c>
      <c r="D1815" s="2" t="n">
        <v>2</v>
      </c>
      <c r="E1815" s="15" t="n">
        <v>0.830555555555556</v>
      </c>
      <c r="F1815" s="7" t="n">
        <v>4000</v>
      </c>
      <c r="G1815" s="7" t="n">
        <f aca="false">D1815*F1815</f>
        <v>8000</v>
      </c>
      <c r="H1815" s="2" t="str">
        <f aca="false">INDEX(Daftar_Menu!$B$2:$B$13,MATCH(C1815,Daftar_Menu!$A$2:$A$13,0))</f>
        <v>Minuman</v>
      </c>
      <c r="I1815" s="2" t="str">
        <f aca="false">CHOOSE(WEEKDAY(B1815,2),"Senin","Selasa","Rabu","Kamis","Jumat","Sabtu","Minggu")</f>
        <v>Rabu</v>
      </c>
      <c r="J1815" s="2" t="n">
        <f aca="false">HOUR(E1815)</f>
        <v>19</v>
      </c>
      <c r="K1815" s="2" t="str">
        <f aca="false">IF(J1815&lt;11,"Pagi",IF(J1815&lt;17,"Siang","Malam"))</f>
        <v>Malam</v>
      </c>
      <c r="L1815" s="2" t="n">
        <f aca="false">IF(A1815&lt;&gt;A1814,1,0)</f>
        <v>1</v>
      </c>
    </row>
    <row r="1816" customFormat="false" ht="15" hidden="false" customHeight="false" outlineLevel="0" collapsed="false">
      <c r="A1816" s="2" t="s">
        <v>1752</v>
      </c>
      <c r="B1816" s="13" t="n">
        <v>46288</v>
      </c>
      <c r="C1816" s="2" t="s">
        <v>89</v>
      </c>
      <c r="D1816" s="2" t="n">
        <v>1</v>
      </c>
      <c r="E1816" s="15" t="n">
        <v>0.830555555555556</v>
      </c>
      <c r="F1816" s="7" t="n">
        <v>14000</v>
      </c>
      <c r="G1816" s="7" t="n">
        <f aca="false">D1816*F1816</f>
        <v>14000</v>
      </c>
      <c r="H1816" s="2" t="str">
        <f aca="false">INDEX(Daftar_Menu!$B$2:$B$13,MATCH(C1816,Daftar_Menu!$A$2:$A$13,0))</f>
        <v>Makanan</v>
      </c>
      <c r="I1816" s="2" t="str">
        <f aca="false">CHOOSE(WEEKDAY(B1816,2),"Senin","Selasa","Rabu","Kamis","Jumat","Sabtu","Minggu")</f>
        <v>Rabu</v>
      </c>
      <c r="J1816" s="2" t="n">
        <f aca="false">HOUR(E1816)</f>
        <v>19</v>
      </c>
      <c r="K1816" s="2" t="str">
        <f aca="false">IF(J1816&lt;11,"Pagi",IF(J1816&lt;17,"Siang","Malam"))</f>
        <v>Malam</v>
      </c>
      <c r="L1816" s="2" t="n">
        <f aca="false">IF(A1816&lt;&gt;A1815,1,0)</f>
        <v>0</v>
      </c>
    </row>
    <row r="1817" customFormat="false" ht="15" hidden="false" customHeight="false" outlineLevel="0" collapsed="false">
      <c r="A1817" s="2" t="s">
        <v>1752</v>
      </c>
      <c r="B1817" s="13" t="n">
        <v>46288</v>
      </c>
      <c r="C1817" s="2" t="s">
        <v>81</v>
      </c>
      <c r="D1817" s="2" t="n">
        <v>1</v>
      </c>
      <c r="E1817" s="15" t="n">
        <v>0.830555555555556</v>
      </c>
      <c r="F1817" s="7" t="n">
        <v>15000</v>
      </c>
      <c r="G1817" s="7" t="n">
        <f aca="false">D1817*F1817</f>
        <v>15000</v>
      </c>
      <c r="H1817" s="2" t="str">
        <f aca="false">INDEX(Daftar_Menu!$B$2:$B$13,MATCH(C1817,Daftar_Menu!$A$2:$A$13,0))</f>
        <v>Makanan</v>
      </c>
      <c r="I1817" s="2" t="str">
        <f aca="false">CHOOSE(WEEKDAY(B1817,2),"Senin","Selasa","Rabu","Kamis","Jumat","Sabtu","Minggu")</f>
        <v>Rabu</v>
      </c>
      <c r="J1817" s="2" t="n">
        <f aca="false">HOUR(E1817)</f>
        <v>19</v>
      </c>
      <c r="K1817" s="2" t="str">
        <f aca="false">IF(J1817&lt;11,"Pagi",IF(J1817&lt;17,"Siang","Malam"))</f>
        <v>Malam</v>
      </c>
      <c r="L1817" s="2" t="n">
        <f aca="false">IF(A1817&lt;&gt;A1816,1,0)</f>
        <v>0</v>
      </c>
    </row>
    <row r="1818" customFormat="false" ht="15" hidden="false" customHeight="false" outlineLevel="0" collapsed="false">
      <c r="A1818" s="2" t="s">
        <v>1753</v>
      </c>
      <c r="B1818" s="13" t="n">
        <v>46288</v>
      </c>
      <c r="C1818" s="2" t="s">
        <v>84</v>
      </c>
      <c r="D1818" s="2" t="n">
        <v>1</v>
      </c>
      <c r="E1818" s="15" t="n">
        <v>0.831944444444445</v>
      </c>
      <c r="F1818" s="7" t="n">
        <v>5000</v>
      </c>
      <c r="G1818" s="7" t="n">
        <f aca="false">D1818*F1818</f>
        <v>5000</v>
      </c>
      <c r="H1818" s="2" t="str">
        <f aca="false">INDEX(Daftar_Menu!$B$2:$B$13,MATCH(C1818,Daftar_Menu!$A$2:$A$13,0))</f>
        <v>Minuman</v>
      </c>
      <c r="I1818" s="2" t="str">
        <f aca="false">CHOOSE(WEEKDAY(B1818,2),"Senin","Selasa","Rabu","Kamis","Jumat","Sabtu","Minggu")</f>
        <v>Rabu</v>
      </c>
      <c r="J1818" s="2" t="n">
        <f aca="false">HOUR(E1818)</f>
        <v>19</v>
      </c>
      <c r="K1818" s="2" t="str">
        <f aca="false">IF(J1818&lt;11,"Pagi",IF(J1818&lt;17,"Siang","Malam"))</f>
        <v>Malam</v>
      </c>
      <c r="L1818" s="2" t="n">
        <f aca="false">IF(A1818&lt;&gt;A1817,1,0)</f>
        <v>1</v>
      </c>
    </row>
    <row r="1819" customFormat="false" ht="15" hidden="false" customHeight="false" outlineLevel="0" collapsed="false">
      <c r="A1819" s="2" t="s">
        <v>1754</v>
      </c>
      <c r="B1819" s="13" t="n">
        <v>46288</v>
      </c>
      <c r="C1819" s="2" t="s">
        <v>112</v>
      </c>
      <c r="D1819" s="2" t="n">
        <v>1</v>
      </c>
      <c r="E1819" s="15" t="n">
        <v>0.84375</v>
      </c>
      <c r="F1819" s="7" t="n">
        <v>10000</v>
      </c>
      <c r="G1819" s="7" t="n">
        <f aca="false">D1819*F1819</f>
        <v>10000</v>
      </c>
      <c r="H1819" s="2" t="str">
        <f aca="false">INDEX(Daftar_Menu!$B$2:$B$13,MATCH(C1819,Daftar_Menu!$A$2:$A$13,0))</f>
        <v>Minuman</v>
      </c>
      <c r="I1819" s="2" t="str">
        <f aca="false">CHOOSE(WEEKDAY(B1819,2),"Senin","Selasa","Rabu","Kamis","Jumat","Sabtu","Minggu")</f>
        <v>Rabu</v>
      </c>
      <c r="J1819" s="2" t="n">
        <f aca="false">HOUR(E1819)</f>
        <v>20</v>
      </c>
      <c r="K1819" s="2" t="str">
        <f aca="false">IF(J1819&lt;11,"Pagi",IF(J1819&lt;17,"Siang","Malam"))</f>
        <v>Malam</v>
      </c>
      <c r="L1819" s="2" t="n">
        <f aca="false">IF(A1819&lt;&gt;A1818,1,0)</f>
        <v>1</v>
      </c>
    </row>
    <row r="1820" customFormat="false" ht="15" hidden="false" customHeight="false" outlineLevel="0" collapsed="false">
      <c r="A1820" s="2" t="s">
        <v>1756</v>
      </c>
      <c r="B1820" s="13" t="n">
        <v>46288</v>
      </c>
      <c r="C1820" s="2" t="s">
        <v>92</v>
      </c>
      <c r="D1820" s="2" t="n">
        <v>1</v>
      </c>
      <c r="E1820" s="15" t="n">
        <v>0.848611111111111</v>
      </c>
      <c r="F1820" s="7" t="n">
        <v>4000</v>
      </c>
      <c r="G1820" s="7" t="n">
        <f aca="false">D1820*F1820</f>
        <v>4000</v>
      </c>
      <c r="H1820" s="2" t="str">
        <f aca="false">INDEX(Daftar_Menu!$B$2:$B$13,MATCH(C1820,Daftar_Menu!$A$2:$A$13,0))</f>
        <v>Minuman</v>
      </c>
      <c r="I1820" s="2" t="str">
        <f aca="false">CHOOSE(WEEKDAY(B1820,2),"Senin","Selasa","Rabu","Kamis","Jumat","Sabtu","Minggu")</f>
        <v>Rabu</v>
      </c>
      <c r="J1820" s="2" t="n">
        <f aca="false">HOUR(E1820)</f>
        <v>20</v>
      </c>
      <c r="K1820" s="2" t="str">
        <f aca="false">IF(J1820&lt;11,"Pagi",IF(J1820&lt;17,"Siang","Malam"))</f>
        <v>Malam</v>
      </c>
      <c r="L1820" s="2" t="n">
        <f aca="false">IF(A1820&lt;&gt;A1819,1,0)</f>
        <v>1</v>
      </c>
    </row>
    <row r="1821" customFormat="false" ht="15" hidden="false" customHeight="false" outlineLevel="0" collapsed="false">
      <c r="A1821" s="2" t="s">
        <v>1756</v>
      </c>
      <c r="B1821" s="13" t="n">
        <v>46288</v>
      </c>
      <c r="C1821" s="2" t="s">
        <v>82</v>
      </c>
      <c r="D1821" s="2" t="n">
        <v>1</v>
      </c>
      <c r="E1821" s="15" t="n">
        <v>0.848611111111111</v>
      </c>
      <c r="F1821" s="7" t="n">
        <v>13000</v>
      </c>
      <c r="G1821" s="7" t="n">
        <f aca="false">D1821*F1821</f>
        <v>13000</v>
      </c>
      <c r="H1821" s="2" t="str">
        <f aca="false">INDEX(Daftar_Menu!$B$2:$B$13,MATCH(C1821,Daftar_Menu!$A$2:$A$13,0))</f>
        <v>Makanan</v>
      </c>
      <c r="I1821" s="2" t="str">
        <f aca="false">CHOOSE(WEEKDAY(B1821,2),"Senin","Selasa","Rabu","Kamis","Jumat","Sabtu","Minggu")</f>
        <v>Rabu</v>
      </c>
      <c r="J1821" s="2" t="n">
        <f aca="false">HOUR(E1821)</f>
        <v>20</v>
      </c>
      <c r="K1821" s="2" t="str">
        <f aca="false">IF(J1821&lt;11,"Pagi",IF(J1821&lt;17,"Siang","Malam"))</f>
        <v>Malam</v>
      </c>
      <c r="L1821" s="2" t="n">
        <f aca="false">IF(A1821&lt;&gt;A1820,1,0)</f>
        <v>0</v>
      </c>
    </row>
    <row r="1822" customFormat="false" ht="15" hidden="false" customHeight="false" outlineLevel="0" collapsed="false">
      <c r="A1822" s="2" t="s">
        <v>1757</v>
      </c>
      <c r="B1822" s="13" t="n">
        <v>46288</v>
      </c>
      <c r="C1822" s="2" t="s">
        <v>186</v>
      </c>
      <c r="D1822" s="2" t="n">
        <v>1</v>
      </c>
      <c r="E1822" s="15" t="n">
        <v>0.873611111111111</v>
      </c>
      <c r="F1822" s="7" t="n">
        <v>7000</v>
      </c>
      <c r="G1822" s="7" t="n">
        <f aca="false">D1822*F1822</f>
        <v>7000</v>
      </c>
      <c r="H1822" s="2" t="str">
        <f aca="false">INDEX(Daftar_Menu!$B$2:$B$13,MATCH(C1822,Daftar_Menu!$A$2:$A$13,0))</f>
        <v>Minuman</v>
      </c>
      <c r="I1822" s="2" t="str">
        <f aca="false">CHOOSE(WEEKDAY(B1822,2),"Senin","Selasa","Rabu","Kamis","Jumat","Sabtu","Minggu")</f>
        <v>Rabu</v>
      </c>
      <c r="J1822" s="2" t="n">
        <f aca="false">HOUR(E1822)</f>
        <v>20</v>
      </c>
      <c r="K1822" s="2" t="str">
        <f aca="false">IF(J1822&lt;11,"Pagi",IF(J1822&lt;17,"Siang","Malam"))</f>
        <v>Malam</v>
      </c>
      <c r="L1822" s="2" t="n">
        <f aca="false">IF(A1822&lt;&gt;A1821,1,0)</f>
        <v>1</v>
      </c>
    </row>
    <row r="1823" customFormat="false" ht="15" hidden="false" customHeight="false" outlineLevel="0" collapsed="false">
      <c r="A1823" s="2" t="s">
        <v>1757</v>
      </c>
      <c r="B1823" s="13" t="n">
        <v>46288</v>
      </c>
      <c r="C1823" s="2" t="s">
        <v>84</v>
      </c>
      <c r="D1823" s="2" t="n">
        <v>1</v>
      </c>
      <c r="E1823" s="15" t="n">
        <v>0.873611111111111</v>
      </c>
      <c r="F1823" s="7" t="n">
        <v>5000</v>
      </c>
      <c r="G1823" s="7" t="n">
        <f aca="false">D1823*F1823</f>
        <v>5000</v>
      </c>
      <c r="H1823" s="2" t="str">
        <f aca="false">INDEX(Daftar_Menu!$B$2:$B$13,MATCH(C1823,Daftar_Menu!$A$2:$A$13,0))</f>
        <v>Minuman</v>
      </c>
      <c r="I1823" s="2" t="str">
        <f aca="false">CHOOSE(WEEKDAY(B1823,2),"Senin","Selasa","Rabu","Kamis","Jumat","Sabtu","Minggu")</f>
        <v>Rabu</v>
      </c>
      <c r="J1823" s="2" t="n">
        <f aca="false">HOUR(E1823)</f>
        <v>20</v>
      </c>
      <c r="K1823" s="2" t="str">
        <f aca="false">IF(J1823&lt;11,"Pagi",IF(J1823&lt;17,"Siang","Malam"))</f>
        <v>Malam</v>
      </c>
      <c r="L1823" s="2" t="n">
        <f aca="false">IF(A1823&lt;&gt;A1822,1,0)</f>
        <v>0</v>
      </c>
    </row>
    <row r="1824" customFormat="false" ht="15" hidden="false" customHeight="false" outlineLevel="0" collapsed="false">
      <c r="A1824" s="2" t="s">
        <v>1757</v>
      </c>
      <c r="B1824" s="13" t="n">
        <v>46288</v>
      </c>
      <c r="C1824" s="2" t="s">
        <v>126</v>
      </c>
      <c r="D1824" s="2" t="n">
        <v>1</v>
      </c>
      <c r="E1824" s="15" t="n">
        <v>0.873611111111111</v>
      </c>
      <c r="F1824" s="7" t="n">
        <v>3000</v>
      </c>
      <c r="G1824" s="7" t="n">
        <f aca="false">D1824*F1824</f>
        <v>3000</v>
      </c>
      <c r="H1824" s="2" t="str">
        <f aca="false">INDEX(Daftar_Menu!$B$2:$B$13,MATCH(C1824,Daftar_Menu!$A$2:$A$13,0))</f>
        <v>Minuman</v>
      </c>
      <c r="I1824" s="2" t="str">
        <f aca="false">CHOOSE(WEEKDAY(B1824,2),"Senin","Selasa","Rabu","Kamis","Jumat","Sabtu","Minggu")</f>
        <v>Rabu</v>
      </c>
      <c r="J1824" s="2" t="n">
        <f aca="false">HOUR(E1824)</f>
        <v>20</v>
      </c>
      <c r="K1824" s="2" t="str">
        <f aca="false">IF(J1824&lt;11,"Pagi",IF(J1824&lt;17,"Siang","Malam"))</f>
        <v>Malam</v>
      </c>
      <c r="L1824" s="2" t="n">
        <f aca="false">IF(A1824&lt;&gt;A1823,1,0)</f>
        <v>0</v>
      </c>
    </row>
    <row r="1825" customFormat="false" ht="15" hidden="false" customHeight="false" outlineLevel="0" collapsed="false">
      <c r="A1825" s="2" t="s">
        <v>1758</v>
      </c>
      <c r="B1825" s="13" t="n">
        <v>46289</v>
      </c>
      <c r="C1825" s="2" t="s">
        <v>84</v>
      </c>
      <c r="D1825" s="2" t="n">
        <v>1</v>
      </c>
      <c r="E1825" s="15" t="n">
        <v>0.384027777777778</v>
      </c>
      <c r="F1825" s="7" t="n">
        <v>5000</v>
      </c>
      <c r="G1825" s="7" t="n">
        <f aca="false">D1825*F1825</f>
        <v>5000</v>
      </c>
      <c r="H1825" s="2" t="str">
        <f aca="false">INDEX(Daftar_Menu!$B$2:$B$13,MATCH(C1825,Daftar_Menu!$A$2:$A$13,0))</f>
        <v>Minuman</v>
      </c>
      <c r="I1825" s="2" t="str">
        <f aca="false">CHOOSE(WEEKDAY(B1825,2),"Senin","Selasa","Rabu","Kamis","Jumat","Sabtu","Minggu")</f>
        <v>Kamis</v>
      </c>
      <c r="J1825" s="2" t="n">
        <f aca="false">HOUR(E1825)</f>
        <v>9</v>
      </c>
      <c r="K1825" s="2" t="str">
        <f aca="false">IF(J1825&lt;11,"Pagi",IF(J1825&lt;17,"Siang","Malam"))</f>
        <v>Pagi</v>
      </c>
      <c r="L1825" s="2" t="n">
        <f aca="false">IF(A1825&lt;&gt;A1824,1,0)</f>
        <v>1</v>
      </c>
    </row>
    <row r="1826" customFormat="false" ht="15" hidden="false" customHeight="false" outlineLevel="0" collapsed="false">
      <c r="A1826" s="2" t="s">
        <v>1760</v>
      </c>
      <c r="B1826" s="13" t="n">
        <v>46289</v>
      </c>
      <c r="C1826" s="2" t="s">
        <v>92</v>
      </c>
      <c r="D1826" s="2" t="n">
        <v>1</v>
      </c>
      <c r="E1826" s="15" t="n">
        <v>0.408333333333333</v>
      </c>
      <c r="F1826" s="7" t="n">
        <v>4000</v>
      </c>
      <c r="G1826" s="7" t="n">
        <f aca="false">D1826*F1826</f>
        <v>4000</v>
      </c>
      <c r="H1826" s="2" t="str">
        <f aca="false">INDEX(Daftar_Menu!$B$2:$B$13,MATCH(C1826,Daftar_Menu!$A$2:$A$13,0))</f>
        <v>Minuman</v>
      </c>
      <c r="I1826" s="2" t="str">
        <f aca="false">CHOOSE(WEEKDAY(B1826,2),"Senin","Selasa","Rabu","Kamis","Jumat","Sabtu","Minggu")</f>
        <v>Kamis</v>
      </c>
      <c r="J1826" s="2" t="n">
        <f aca="false">HOUR(E1826)</f>
        <v>9</v>
      </c>
      <c r="K1826" s="2" t="str">
        <f aca="false">IF(J1826&lt;11,"Pagi",IF(J1826&lt;17,"Siang","Malam"))</f>
        <v>Pagi</v>
      </c>
      <c r="L1826" s="2" t="n">
        <f aca="false">IF(A1826&lt;&gt;A1825,1,0)</f>
        <v>1</v>
      </c>
    </row>
    <row r="1827" customFormat="false" ht="15" hidden="false" customHeight="false" outlineLevel="0" collapsed="false">
      <c r="A1827" s="2" t="s">
        <v>1760</v>
      </c>
      <c r="B1827" s="13" t="n">
        <v>46289</v>
      </c>
      <c r="C1827" s="2" t="s">
        <v>89</v>
      </c>
      <c r="D1827" s="2" t="n">
        <v>1</v>
      </c>
      <c r="E1827" s="15" t="n">
        <v>0.408333333333333</v>
      </c>
      <c r="F1827" s="7" t="n">
        <v>14000</v>
      </c>
      <c r="G1827" s="7" t="n">
        <f aca="false">D1827*F1827</f>
        <v>14000</v>
      </c>
      <c r="H1827" s="2" t="str">
        <f aca="false">INDEX(Daftar_Menu!$B$2:$B$13,MATCH(C1827,Daftar_Menu!$A$2:$A$13,0))</f>
        <v>Makanan</v>
      </c>
      <c r="I1827" s="2" t="str">
        <f aca="false">CHOOSE(WEEKDAY(B1827,2),"Senin","Selasa","Rabu","Kamis","Jumat","Sabtu","Minggu")</f>
        <v>Kamis</v>
      </c>
      <c r="J1827" s="2" t="n">
        <f aca="false">HOUR(E1827)</f>
        <v>9</v>
      </c>
      <c r="K1827" s="2" t="str">
        <f aca="false">IF(J1827&lt;11,"Pagi",IF(J1827&lt;17,"Siang","Malam"))</f>
        <v>Pagi</v>
      </c>
      <c r="L1827" s="2" t="n">
        <f aca="false">IF(A1827&lt;&gt;A1826,1,0)</f>
        <v>0</v>
      </c>
    </row>
    <row r="1828" customFormat="false" ht="15" hidden="false" customHeight="false" outlineLevel="0" collapsed="false">
      <c r="A1828" s="2" t="s">
        <v>1762</v>
      </c>
      <c r="B1828" s="13" t="n">
        <v>46289</v>
      </c>
      <c r="C1828" s="2" t="s">
        <v>186</v>
      </c>
      <c r="D1828" s="2" t="n">
        <v>2</v>
      </c>
      <c r="E1828" s="15" t="n">
        <v>0.458333333333333</v>
      </c>
      <c r="F1828" s="7" t="n">
        <v>7000</v>
      </c>
      <c r="G1828" s="7" t="n">
        <f aca="false">D1828*F1828</f>
        <v>14000</v>
      </c>
      <c r="H1828" s="2" t="str">
        <f aca="false">INDEX(Daftar_Menu!$B$2:$B$13,MATCH(C1828,Daftar_Menu!$A$2:$A$13,0))</f>
        <v>Minuman</v>
      </c>
      <c r="I1828" s="2" t="str">
        <f aca="false">CHOOSE(WEEKDAY(B1828,2),"Senin","Selasa","Rabu","Kamis","Jumat","Sabtu","Minggu")</f>
        <v>Kamis</v>
      </c>
      <c r="J1828" s="2" t="n">
        <f aca="false">HOUR(E1828)</f>
        <v>11</v>
      </c>
      <c r="K1828" s="2" t="str">
        <f aca="false">IF(J1828&lt;11,"Pagi",IF(J1828&lt;17,"Siang","Malam"))</f>
        <v>Siang</v>
      </c>
      <c r="L1828" s="2" t="n">
        <f aca="false">IF(A1828&lt;&gt;A1827,1,0)</f>
        <v>1</v>
      </c>
    </row>
    <row r="1829" customFormat="false" ht="15" hidden="false" customHeight="false" outlineLevel="0" collapsed="false">
      <c r="A1829" s="2" t="s">
        <v>1762</v>
      </c>
      <c r="B1829" s="13" t="n">
        <v>46289</v>
      </c>
      <c r="C1829" s="2" t="s">
        <v>81</v>
      </c>
      <c r="D1829" s="2" t="n">
        <v>1</v>
      </c>
      <c r="E1829" s="15" t="n">
        <v>0.458333333333333</v>
      </c>
      <c r="F1829" s="7" t="n">
        <v>15000</v>
      </c>
      <c r="G1829" s="7" t="n">
        <f aca="false">D1829*F1829</f>
        <v>15000</v>
      </c>
      <c r="H1829" s="2" t="str">
        <f aca="false">INDEX(Daftar_Menu!$B$2:$B$13,MATCH(C1829,Daftar_Menu!$A$2:$A$13,0))</f>
        <v>Makanan</v>
      </c>
      <c r="I1829" s="2" t="str">
        <f aca="false">CHOOSE(WEEKDAY(B1829,2),"Senin","Selasa","Rabu","Kamis","Jumat","Sabtu","Minggu")</f>
        <v>Kamis</v>
      </c>
      <c r="J1829" s="2" t="n">
        <f aca="false">HOUR(E1829)</f>
        <v>11</v>
      </c>
      <c r="K1829" s="2" t="str">
        <f aca="false">IF(J1829&lt;11,"Pagi",IF(J1829&lt;17,"Siang","Malam"))</f>
        <v>Siang</v>
      </c>
      <c r="L1829" s="2" t="n">
        <f aca="false">IF(A1829&lt;&gt;A1828,1,0)</f>
        <v>0</v>
      </c>
    </row>
    <row r="1830" customFormat="false" ht="15" hidden="false" customHeight="false" outlineLevel="0" collapsed="false">
      <c r="A1830" s="2" t="s">
        <v>1763</v>
      </c>
      <c r="B1830" s="13" t="n">
        <v>46289</v>
      </c>
      <c r="C1830" s="2" t="s">
        <v>126</v>
      </c>
      <c r="D1830" s="2" t="n">
        <v>2</v>
      </c>
      <c r="E1830" s="15" t="n">
        <v>0.459027777777778</v>
      </c>
      <c r="F1830" s="7" t="n">
        <v>3000</v>
      </c>
      <c r="G1830" s="7" t="n">
        <f aca="false">D1830*F1830</f>
        <v>6000</v>
      </c>
      <c r="H1830" s="2" t="str">
        <f aca="false">INDEX(Daftar_Menu!$B$2:$B$13,MATCH(C1830,Daftar_Menu!$A$2:$A$13,0))</f>
        <v>Minuman</v>
      </c>
      <c r="I1830" s="2" t="str">
        <f aca="false">CHOOSE(WEEKDAY(B1830,2),"Senin","Selasa","Rabu","Kamis","Jumat","Sabtu","Minggu")</f>
        <v>Kamis</v>
      </c>
      <c r="J1830" s="2" t="n">
        <f aca="false">HOUR(E1830)</f>
        <v>11</v>
      </c>
      <c r="K1830" s="2" t="str">
        <f aca="false">IF(J1830&lt;11,"Pagi",IF(J1830&lt;17,"Siang","Malam"))</f>
        <v>Siang</v>
      </c>
      <c r="L1830" s="2" t="n">
        <f aca="false">IF(A1830&lt;&gt;A1829,1,0)</f>
        <v>1</v>
      </c>
    </row>
    <row r="1831" customFormat="false" ht="15" hidden="false" customHeight="false" outlineLevel="0" collapsed="false">
      <c r="A1831" s="2" t="s">
        <v>1764</v>
      </c>
      <c r="B1831" s="13" t="n">
        <v>46289</v>
      </c>
      <c r="C1831" s="2" t="s">
        <v>89</v>
      </c>
      <c r="D1831" s="2" t="n">
        <v>1</v>
      </c>
      <c r="E1831" s="15" t="n">
        <v>0.477083333333333</v>
      </c>
      <c r="F1831" s="7" t="n">
        <v>14000</v>
      </c>
      <c r="G1831" s="7" t="n">
        <f aca="false">D1831*F1831</f>
        <v>14000</v>
      </c>
      <c r="H1831" s="2" t="str">
        <f aca="false">INDEX(Daftar_Menu!$B$2:$B$13,MATCH(C1831,Daftar_Menu!$A$2:$A$13,0))</f>
        <v>Makanan</v>
      </c>
      <c r="I1831" s="2" t="str">
        <f aca="false">CHOOSE(WEEKDAY(B1831,2),"Senin","Selasa","Rabu","Kamis","Jumat","Sabtu","Minggu")</f>
        <v>Kamis</v>
      </c>
      <c r="J1831" s="2" t="n">
        <f aca="false">HOUR(E1831)</f>
        <v>11</v>
      </c>
      <c r="K1831" s="2" t="str">
        <f aca="false">IF(J1831&lt;11,"Pagi",IF(J1831&lt;17,"Siang","Malam"))</f>
        <v>Siang</v>
      </c>
      <c r="L1831" s="2" t="n">
        <f aca="false">IF(A1831&lt;&gt;A1830,1,0)</f>
        <v>1</v>
      </c>
    </row>
    <row r="1832" customFormat="false" ht="15" hidden="false" customHeight="false" outlineLevel="0" collapsed="false">
      <c r="A1832" s="2" t="s">
        <v>1765</v>
      </c>
      <c r="B1832" s="13" t="n">
        <v>46289</v>
      </c>
      <c r="C1832" s="2" t="s">
        <v>108</v>
      </c>
      <c r="D1832" s="2" t="n">
        <v>1</v>
      </c>
      <c r="E1832" s="15" t="n">
        <v>0.481944444444445</v>
      </c>
      <c r="F1832" s="7" t="n">
        <v>20000</v>
      </c>
      <c r="G1832" s="7" t="n">
        <f aca="false">D1832*F1832</f>
        <v>20000</v>
      </c>
      <c r="H1832" s="2" t="str">
        <f aca="false">INDEX(Daftar_Menu!$B$2:$B$13,MATCH(C1832,Daftar_Menu!$A$2:$A$13,0))</f>
        <v>Makanan</v>
      </c>
      <c r="I1832" s="2" t="str">
        <f aca="false">CHOOSE(WEEKDAY(B1832,2),"Senin","Selasa","Rabu","Kamis","Jumat","Sabtu","Minggu")</f>
        <v>Kamis</v>
      </c>
      <c r="J1832" s="2" t="n">
        <f aca="false">HOUR(E1832)</f>
        <v>11</v>
      </c>
      <c r="K1832" s="2" t="str">
        <f aca="false">IF(J1832&lt;11,"Pagi",IF(J1832&lt;17,"Siang","Malam"))</f>
        <v>Siang</v>
      </c>
      <c r="L1832" s="2" t="n">
        <f aca="false">IF(A1832&lt;&gt;A1831,1,0)</f>
        <v>1</v>
      </c>
    </row>
    <row r="1833" customFormat="false" ht="15" hidden="false" customHeight="false" outlineLevel="0" collapsed="false">
      <c r="A1833" s="2" t="s">
        <v>1765</v>
      </c>
      <c r="B1833" s="13" t="n">
        <v>46289</v>
      </c>
      <c r="C1833" s="2" t="s">
        <v>186</v>
      </c>
      <c r="D1833" s="2" t="n">
        <v>2</v>
      </c>
      <c r="E1833" s="15" t="n">
        <v>0.481944444444445</v>
      </c>
      <c r="F1833" s="7" t="n">
        <v>7000</v>
      </c>
      <c r="G1833" s="7" t="n">
        <f aca="false">D1833*F1833</f>
        <v>14000</v>
      </c>
      <c r="H1833" s="2" t="str">
        <f aca="false">INDEX(Daftar_Menu!$B$2:$B$13,MATCH(C1833,Daftar_Menu!$A$2:$A$13,0))</f>
        <v>Minuman</v>
      </c>
      <c r="I1833" s="2" t="str">
        <f aca="false">CHOOSE(WEEKDAY(B1833,2),"Senin","Selasa","Rabu","Kamis","Jumat","Sabtu","Minggu")</f>
        <v>Kamis</v>
      </c>
      <c r="J1833" s="2" t="n">
        <f aca="false">HOUR(E1833)</f>
        <v>11</v>
      </c>
      <c r="K1833" s="2" t="str">
        <f aca="false">IF(J1833&lt;11,"Pagi",IF(J1833&lt;17,"Siang","Malam"))</f>
        <v>Siang</v>
      </c>
      <c r="L1833" s="2" t="n">
        <f aca="false">IF(A1833&lt;&gt;A1832,1,0)</f>
        <v>0</v>
      </c>
    </row>
    <row r="1834" customFormat="false" ht="15" hidden="false" customHeight="false" outlineLevel="0" collapsed="false">
      <c r="A1834" s="2" t="s">
        <v>1766</v>
      </c>
      <c r="B1834" s="13" t="n">
        <v>46289</v>
      </c>
      <c r="C1834" s="2" t="s">
        <v>81</v>
      </c>
      <c r="D1834" s="2" t="n">
        <v>1</v>
      </c>
      <c r="E1834" s="15" t="n">
        <v>0.484027777777778</v>
      </c>
      <c r="F1834" s="7" t="n">
        <v>15000</v>
      </c>
      <c r="G1834" s="7" t="n">
        <f aca="false">D1834*F1834</f>
        <v>15000</v>
      </c>
      <c r="H1834" s="2" t="str">
        <f aca="false">INDEX(Daftar_Menu!$B$2:$B$13,MATCH(C1834,Daftar_Menu!$A$2:$A$13,0))</f>
        <v>Makanan</v>
      </c>
      <c r="I1834" s="2" t="str">
        <f aca="false">CHOOSE(WEEKDAY(B1834,2),"Senin","Selasa","Rabu","Kamis","Jumat","Sabtu","Minggu")</f>
        <v>Kamis</v>
      </c>
      <c r="J1834" s="2" t="n">
        <f aca="false">HOUR(E1834)</f>
        <v>11</v>
      </c>
      <c r="K1834" s="2" t="str">
        <f aca="false">IF(J1834&lt;11,"Pagi",IF(J1834&lt;17,"Siang","Malam"))</f>
        <v>Siang</v>
      </c>
      <c r="L1834" s="2" t="n">
        <f aca="false">IF(A1834&lt;&gt;A1833,1,0)</f>
        <v>1</v>
      </c>
    </row>
    <row r="1835" customFormat="false" ht="15" hidden="false" customHeight="false" outlineLevel="0" collapsed="false">
      <c r="A1835" s="2" t="s">
        <v>1767</v>
      </c>
      <c r="B1835" s="13" t="n">
        <v>46289</v>
      </c>
      <c r="C1835" s="2" t="s">
        <v>84</v>
      </c>
      <c r="D1835" s="2" t="n">
        <v>2</v>
      </c>
      <c r="E1835" s="15" t="n">
        <v>0.488888888888889</v>
      </c>
      <c r="F1835" s="7" t="n">
        <v>5000</v>
      </c>
      <c r="G1835" s="7" t="n">
        <f aca="false">D1835*F1835</f>
        <v>10000</v>
      </c>
      <c r="H1835" s="2" t="str">
        <f aca="false">INDEX(Daftar_Menu!$B$2:$B$13,MATCH(C1835,Daftar_Menu!$A$2:$A$13,0))</f>
        <v>Minuman</v>
      </c>
      <c r="I1835" s="2" t="str">
        <f aca="false">CHOOSE(WEEKDAY(B1835,2),"Senin","Selasa","Rabu","Kamis","Jumat","Sabtu","Minggu")</f>
        <v>Kamis</v>
      </c>
      <c r="J1835" s="2" t="n">
        <f aca="false">HOUR(E1835)</f>
        <v>11</v>
      </c>
      <c r="K1835" s="2" t="str">
        <f aca="false">IF(J1835&lt;11,"Pagi",IF(J1835&lt;17,"Siang","Malam"))</f>
        <v>Siang</v>
      </c>
      <c r="L1835" s="2" t="n">
        <f aca="false">IF(A1835&lt;&gt;A1834,1,0)</f>
        <v>1</v>
      </c>
    </row>
    <row r="1836" customFormat="false" ht="15" hidden="false" customHeight="false" outlineLevel="0" collapsed="false">
      <c r="A1836" s="2" t="s">
        <v>1768</v>
      </c>
      <c r="B1836" s="13" t="n">
        <v>46289</v>
      </c>
      <c r="C1836" s="2" t="s">
        <v>89</v>
      </c>
      <c r="D1836" s="2" t="n">
        <v>2</v>
      </c>
      <c r="E1836" s="15" t="n">
        <v>0.495833333333333</v>
      </c>
      <c r="F1836" s="7" t="n">
        <v>14000</v>
      </c>
      <c r="G1836" s="7" t="n">
        <f aca="false">D1836*F1836</f>
        <v>28000</v>
      </c>
      <c r="H1836" s="2" t="str">
        <f aca="false">INDEX(Daftar_Menu!$B$2:$B$13,MATCH(C1836,Daftar_Menu!$A$2:$A$13,0))</f>
        <v>Makanan</v>
      </c>
      <c r="I1836" s="2" t="str">
        <f aca="false">CHOOSE(WEEKDAY(B1836,2),"Senin","Selasa","Rabu","Kamis","Jumat","Sabtu","Minggu")</f>
        <v>Kamis</v>
      </c>
      <c r="J1836" s="2" t="n">
        <f aca="false">HOUR(E1836)</f>
        <v>11</v>
      </c>
      <c r="K1836" s="2" t="str">
        <f aca="false">IF(J1836&lt;11,"Pagi",IF(J1836&lt;17,"Siang","Malam"))</f>
        <v>Siang</v>
      </c>
      <c r="L1836" s="2" t="n">
        <f aca="false">IF(A1836&lt;&gt;A1835,1,0)</f>
        <v>1</v>
      </c>
    </row>
    <row r="1837" customFormat="false" ht="15" hidden="false" customHeight="false" outlineLevel="0" collapsed="false">
      <c r="A1837" s="2" t="s">
        <v>1769</v>
      </c>
      <c r="B1837" s="13" t="n">
        <v>46289</v>
      </c>
      <c r="C1837" s="2" t="s">
        <v>84</v>
      </c>
      <c r="D1837" s="2" t="n">
        <v>2</v>
      </c>
      <c r="E1837" s="15" t="n">
        <v>0.497222222222222</v>
      </c>
      <c r="F1837" s="7" t="n">
        <v>5000</v>
      </c>
      <c r="G1837" s="7" t="n">
        <f aca="false">D1837*F1837</f>
        <v>10000</v>
      </c>
      <c r="H1837" s="2" t="str">
        <f aca="false">INDEX(Daftar_Menu!$B$2:$B$13,MATCH(C1837,Daftar_Menu!$A$2:$A$13,0))</f>
        <v>Minuman</v>
      </c>
      <c r="I1837" s="2" t="str">
        <f aca="false">CHOOSE(WEEKDAY(B1837,2),"Senin","Selasa","Rabu","Kamis","Jumat","Sabtu","Minggu")</f>
        <v>Kamis</v>
      </c>
      <c r="J1837" s="2" t="n">
        <f aca="false">HOUR(E1837)</f>
        <v>11</v>
      </c>
      <c r="K1837" s="2" t="str">
        <f aca="false">IF(J1837&lt;11,"Pagi",IF(J1837&lt;17,"Siang","Malam"))</f>
        <v>Siang</v>
      </c>
      <c r="L1837" s="2" t="n">
        <f aca="false">IF(A1837&lt;&gt;A1836,1,0)</f>
        <v>1</v>
      </c>
    </row>
    <row r="1838" customFormat="false" ht="15" hidden="false" customHeight="false" outlineLevel="0" collapsed="false">
      <c r="A1838" s="2" t="s">
        <v>1770</v>
      </c>
      <c r="B1838" s="13" t="n">
        <v>46289</v>
      </c>
      <c r="C1838" s="2" t="s">
        <v>81</v>
      </c>
      <c r="D1838" s="2" t="n">
        <v>2</v>
      </c>
      <c r="E1838" s="15" t="n">
        <v>0.502777777777778</v>
      </c>
      <c r="F1838" s="7" t="n">
        <v>15000</v>
      </c>
      <c r="G1838" s="7" t="n">
        <f aca="false">D1838*F1838</f>
        <v>30000</v>
      </c>
      <c r="H1838" s="2" t="str">
        <f aca="false">INDEX(Daftar_Menu!$B$2:$B$13,MATCH(C1838,Daftar_Menu!$A$2:$A$13,0))</f>
        <v>Makanan</v>
      </c>
      <c r="I1838" s="2" t="str">
        <f aca="false">CHOOSE(WEEKDAY(B1838,2),"Senin","Selasa","Rabu","Kamis","Jumat","Sabtu","Minggu")</f>
        <v>Kamis</v>
      </c>
      <c r="J1838" s="2" t="n">
        <f aca="false">HOUR(E1838)</f>
        <v>12</v>
      </c>
      <c r="K1838" s="2" t="str">
        <f aca="false">IF(J1838&lt;11,"Pagi",IF(J1838&lt;17,"Siang","Malam"))</f>
        <v>Siang</v>
      </c>
      <c r="L1838" s="2" t="n">
        <f aca="false">IF(A1838&lt;&gt;A1837,1,0)</f>
        <v>1</v>
      </c>
    </row>
    <row r="1839" customFormat="false" ht="15" hidden="false" customHeight="false" outlineLevel="0" collapsed="false">
      <c r="A1839" s="2" t="s">
        <v>1771</v>
      </c>
      <c r="B1839" s="13" t="n">
        <v>46289</v>
      </c>
      <c r="C1839" s="2" t="s">
        <v>79</v>
      </c>
      <c r="D1839" s="2" t="n">
        <v>2</v>
      </c>
      <c r="E1839" s="15" t="n">
        <v>0.502777777777778</v>
      </c>
      <c r="F1839" s="7" t="n">
        <v>16000</v>
      </c>
      <c r="G1839" s="7" t="n">
        <f aca="false">D1839*F1839</f>
        <v>32000</v>
      </c>
      <c r="H1839" s="2" t="str">
        <f aca="false">INDEX(Daftar_Menu!$B$2:$B$13,MATCH(C1839,Daftar_Menu!$A$2:$A$13,0))</f>
        <v>Makanan</v>
      </c>
      <c r="I1839" s="2" t="str">
        <f aca="false">CHOOSE(WEEKDAY(B1839,2),"Senin","Selasa","Rabu","Kamis","Jumat","Sabtu","Minggu")</f>
        <v>Kamis</v>
      </c>
      <c r="J1839" s="2" t="n">
        <f aca="false">HOUR(E1839)</f>
        <v>12</v>
      </c>
      <c r="K1839" s="2" t="str">
        <f aca="false">IF(J1839&lt;11,"Pagi",IF(J1839&lt;17,"Siang","Malam"))</f>
        <v>Siang</v>
      </c>
      <c r="L1839" s="2" t="n">
        <f aca="false">IF(A1839&lt;&gt;A1838,1,0)</f>
        <v>1</v>
      </c>
    </row>
    <row r="1840" customFormat="false" ht="15" hidden="false" customHeight="false" outlineLevel="0" collapsed="false">
      <c r="A1840" s="2" t="s">
        <v>1772</v>
      </c>
      <c r="B1840" s="13" t="n">
        <v>46289</v>
      </c>
      <c r="C1840" s="2" t="s">
        <v>186</v>
      </c>
      <c r="D1840" s="2" t="n">
        <v>1</v>
      </c>
      <c r="E1840" s="15" t="n">
        <v>0.506944444444444</v>
      </c>
      <c r="F1840" s="7" t="n">
        <v>7000</v>
      </c>
      <c r="G1840" s="7" t="n">
        <f aca="false">D1840*F1840</f>
        <v>7000</v>
      </c>
      <c r="H1840" s="2" t="str">
        <f aca="false">INDEX(Daftar_Menu!$B$2:$B$13,MATCH(C1840,Daftar_Menu!$A$2:$A$13,0))</f>
        <v>Minuman</v>
      </c>
      <c r="I1840" s="2" t="str">
        <f aca="false">CHOOSE(WEEKDAY(B1840,2),"Senin","Selasa","Rabu","Kamis","Jumat","Sabtu","Minggu")</f>
        <v>Kamis</v>
      </c>
      <c r="J1840" s="2" t="n">
        <f aca="false">HOUR(E1840)</f>
        <v>12</v>
      </c>
      <c r="K1840" s="2" t="str">
        <f aca="false">IF(J1840&lt;11,"Pagi",IF(J1840&lt;17,"Siang","Malam"))</f>
        <v>Siang</v>
      </c>
      <c r="L1840" s="2" t="n">
        <f aca="false">IF(A1840&lt;&gt;A1839,1,0)</f>
        <v>1</v>
      </c>
    </row>
    <row r="1841" customFormat="false" ht="15" hidden="false" customHeight="false" outlineLevel="0" collapsed="false">
      <c r="A1841" s="2" t="s">
        <v>1772</v>
      </c>
      <c r="B1841" s="13" t="n">
        <v>46289</v>
      </c>
      <c r="C1841" s="2" t="s">
        <v>126</v>
      </c>
      <c r="D1841" s="2" t="n">
        <v>1</v>
      </c>
      <c r="E1841" s="15" t="n">
        <v>0.506944444444444</v>
      </c>
      <c r="F1841" s="7" t="n">
        <v>3000</v>
      </c>
      <c r="G1841" s="7" t="n">
        <f aca="false">D1841*F1841</f>
        <v>3000</v>
      </c>
      <c r="H1841" s="2" t="str">
        <f aca="false">INDEX(Daftar_Menu!$B$2:$B$13,MATCH(C1841,Daftar_Menu!$A$2:$A$13,0))</f>
        <v>Minuman</v>
      </c>
      <c r="I1841" s="2" t="str">
        <f aca="false">CHOOSE(WEEKDAY(B1841,2),"Senin","Selasa","Rabu","Kamis","Jumat","Sabtu","Minggu")</f>
        <v>Kamis</v>
      </c>
      <c r="J1841" s="2" t="n">
        <f aca="false">HOUR(E1841)</f>
        <v>12</v>
      </c>
      <c r="K1841" s="2" t="str">
        <f aca="false">IF(J1841&lt;11,"Pagi",IF(J1841&lt;17,"Siang","Malam"))</f>
        <v>Siang</v>
      </c>
      <c r="L1841" s="2" t="n">
        <f aca="false">IF(A1841&lt;&gt;A1840,1,0)</f>
        <v>0</v>
      </c>
    </row>
    <row r="1842" customFormat="false" ht="15" hidden="false" customHeight="false" outlineLevel="0" collapsed="false">
      <c r="A1842" s="2" t="s">
        <v>1773</v>
      </c>
      <c r="B1842" s="13" t="n">
        <v>46289</v>
      </c>
      <c r="C1842" s="2" t="s">
        <v>132</v>
      </c>
      <c r="D1842" s="2" t="n">
        <v>1</v>
      </c>
      <c r="E1842" s="15" t="n">
        <v>0.507638888888889</v>
      </c>
      <c r="F1842" s="7" t="n">
        <v>15000</v>
      </c>
      <c r="G1842" s="7" t="n">
        <f aca="false">D1842*F1842</f>
        <v>15000</v>
      </c>
      <c r="H1842" s="2" t="str">
        <f aca="false">INDEX(Daftar_Menu!$B$2:$B$13,MATCH(C1842,Daftar_Menu!$A$2:$A$13,0))</f>
        <v>Makanan</v>
      </c>
      <c r="I1842" s="2" t="str">
        <f aca="false">CHOOSE(WEEKDAY(B1842,2),"Senin","Selasa","Rabu","Kamis","Jumat","Sabtu","Minggu")</f>
        <v>Kamis</v>
      </c>
      <c r="J1842" s="2" t="n">
        <f aca="false">HOUR(E1842)</f>
        <v>12</v>
      </c>
      <c r="K1842" s="2" t="str">
        <f aca="false">IF(J1842&lt;11,"Pagi",IF(J1842&lt;17,"Siang","Malam"))</f>
        <v>Siang</v>
      </c>
      <c r="L1842" s="2" t="n">
        <f aca="false">IF(A1842&lt;&gt;A1841,1,0)</f>
        <v>1</v>
      </c>
    </row>
    <row r="1843" customFormat="false" ht="15" hidden="false" customHeight="false" outlineLevel="0" collapsed="false">
      <c r="A1843" s="2" t="s">
        <v>1773</v>
      </c>
      <c r="B1843" s="13" t="n">
        <v>46289</v>
      </c>
      <c r="C1843" s="2" t="s">
        <v>84</v>
      </c>
      <c r="D1843" s="2" t="n">
        <v>1</v>
      </c>
      <c r="E1843" s="15" t="n">
        <v>0.507638888888889</v>
      </c>
      <c r="F1843" s="7" t="n">
        <v>5000</v>
      </c>
      <c r="G1843" s="7" t="n">
        <f aca="false">D1843*F1843</f>
        <v>5000</v>
      </c>
      <c r="H1843" s="2" t="str">
        <f aca="false">INDEX(Daftar_Menu!$B$2:$B$13,MATCH(C1843,Daftar_Menu!$A$2:$A$13,0))</f>
        <v>Minuman</v>
      </c>
      <c r="I1843" s="2" t="str">
        <f aca="false">CHOOSE(WEEKDAY(B1843,2),"Senin","Selasa","Rabu","Kamis","Jumat","Sabtu","Minggu")</f>
        <v>Kamis</v>
      </c>
      <c r="J1843" s="2" t="n">
        <f aca="false">HOUR(E1843)</f>
        <v>12</v>
      </c>
      <c r="K1843" s="2" t="str">
        <f aca="false">IF(J1843&lt;11,"Pagi",IF(J1843&lt;17,"Siang","Malam"))</f>
        <v>Siang</v>
      </c>
      <c r="L1843" s="2" t="n">
        <f aca="false">IF(A1843&lt;&gt;A1842,1,0)</f>
        <v>0</v>
      </c>
    </row>
    <row r="1844" customFormat="false" ht="15" hidden="false" customHeight="false" outlineLevel="0" collapsed="false">
      <c r="A1844" s="2" t="s">
        <v>1774</v>
      </c>
      <c r="B1844" s="13" t="n">
        <v>46289</v>
      </c>
      <c r="C1844" s="2" t="s">
        <v>84</v>
      </c>
      <c r="D1844" s="2" t="n">
        <v>1</v>
      </c>
      <c r="E1844" s="15" t="n">
        <v>0.530555555555556</v>
      </c>
      <c r="F1844" s="7" t="n">
        <v>5000</v>
      </c>
      <c r="G1844" s="7" t="n">
        <f aca="false">D1844*F1844</f>
        <v>5000</v>
      </c>
      <c r="H1844" s="2" t="str">
        <f aca="false">INDEX(Daftar_Menu!$B$2:$B$13,MATCH(C1844,Daftar_Menu!$A$2:$A$13,0))</f>
        <v>Minuman</v>
      </c>
      <c r="I1844" s="2" t="str">
        <f aca="false">CHOOSE(WEEKDAY(B1844,2),"Senin","Selasa","Rabu","Kamis","Jumat","Sabtu","Minggu")</f>
        <v>Kamis</v>
      </c>
      <c r="J1844" s="2" t="n">
        <f aca="false">HOUR(E1844)</f>
        <v>12</v>
      </c>
      <c r="K1844" s="2" t="str">
        <f aca="false">IF(J1844&lt;11,"Pagi",IF(J1844&lt;17,"Siang","Malam"))</f>
        <v>Siang</v>
      </c>
      <c r="L1844" s="2" t="n">
        <f aca="false">IF(A1844&lt;&gt;A1843,1,0)</f>
        <v>1</v>
      </c>
    </row>
    <row r="1845" customFormat="false" ht="15" hidden="false" customHeight="false" outlineLevel="0" collapsed="false">
      <c r="A1845" s="2" t="s">
        <v>1775</v>
      </c>
      <c r="B1845" s="13" t="n">
        <v>46289</v>
      </c>
      <c r="C1845" s="2" t="s">
        <v>89</v>
      </c>
      <c r="D1845" s="2" t="n">
        <v>1</v>
      </c>
      <c r="E1845" s="15" t="n">
        <v>0.531944444444444</v>
      </c>
      <c r="F1845" s="7" t="n">
        <v>14000</v>
      </c>
      <c r="G1845" s="7" t="n">
        <f aca="false">D1845*F1845</f>
        <v>14000</v>
      </c>
      <c r="H1845" s="2" t="str">
        <f aca="false">INDEX(Daftar_Menu!$B$2:$B$13,MATCH(C1845,Daftar_Menu!$A$2:$A$13,0))</f>
        <v>Makanan</v>
      </c>
      <c r="I1845" s="2" t="str">
        <f aca="false">CHOOSE(WEEKDAY(B1845,2),"Senin","Selasa","Rabu","Kamis","Jumat","Sabtu","Minggu")</f>
        <v>Kamis</v>
      </c>
      <c r="J1845" s="2" t="n">
        <f aca="false">HOUR(E1845)</f>
        <v>12</v>
      </c>
      <c r="K1845" s="2" t="str">
        <f aca="false">IF(J1845&lt;11,"Pagi",IF(J1845&lt;17,"Siang","Malam"))</f>
        <v>Siang</v>
      </c>
      <c r="L1845" s="2" t="n">
        <f aca="false">IF(A1845&lt;&gt;A1844,1,0)</f>
        <v>1</v>
      </c>
    </row>
    <row r="1846" customFormat="false" ht="15" hidden="false" customHeight="false" outlineLevel="0" collapsed="false">
      <c r="A1846" s="2" t="s">
        <v>1776</v>
      </c>
      <c r="B1846" s="13" t="n">
        <v>46289</v>
      </c>
      <c r="C1846" s="2" t="s">
        <v>89</v>
      </c>
      <c r="D1846" s="2" t="n">
        <v>1</v>
      </c>
      <c r="E1846" s="15" t="n">
        <v>0.542361111111111</v>
      </c>
      <c r="F1846" s="7" t="n">
        <v>14000</v>
      </c>
      <c r="G1846" s="7" t="n">
        <f aca="false">D1846*F1846</f>
        <v>14000</v>
      </c>
      <c r="H1846" s="2" t="str">
        <f aca="false">INDEX(Daftar_Menu!$B$2:$B$13,MATCH(C1846,Daftar_Menu!$A$2:$A$13,0))</f>
        <v>Makanan</v>
      </c>
      <c r="I1846" s="2" t="str">
        <f aca="false">CHOOSE(WEEKDAY(B1846,2),"Senin","Selasa","Rabu","Kamis","Jumat","Sabtu","Minggu")</f>
        <v>Kamis</v>
      </c>
      <c r="J1846" s="2" t="n">
        <f aca="false">HOUR(E1846)</f>
        <v>13</v>
      </c>
      <c r="K1846" s="2" t="str">
        <f aca="false">IF(J1846&lt;11,"Pagi",IF(J1846&lt;17,"Siang","Malam"))</f>
        <v>Siang</v>
      </c>
      <c r="L1846" s="2" t="n">
        <f aca="false">IF(A1846&lt;&gt;A1845,1,0)</f>
        <v>1</v>
      </c>
    </row>
    <row r="1847" customFormat="false" ht="15" hidden="false" customHeight="false" outlineLevel="0" collapsed="false">
      <c r="A1847" s="2" t="s">
        <v>1777</v>
      </c>
      <c r="B1847" s="13" t="n">
        <v>46289</v>
      </c>
      <c r="C1847" s="2" t="s">
        <v>89</v>
      </c>
      <c r="D1847" s="2" t="n">
        <v>2</v>
      </c>
      <c r="E1847" s="15" t="n">
        <v>0.547222222222222</v>
      </c>
      <c r="F1847" s="7" t="n">
        <v>14000</v>
      </c>
      <c r="G1847" s="7" t="n">
        <f aca="false">D1847*F1847</f>
        <v>28000</v>
      </c>
      <c r="H1847" s="2" t="str">
        <f aca="false">INDEX(Daftar_Menu!$B$2:$B$13,MATCH(C1847,Daftar_Menu!$A$2:$A$13,0))</f>
        <v>Makanan</v>
      </c>
      <c r="I1847" s="2" t="str">
        <f aca="false">CHOOSE(WEEKDAY(B1847,2),"Senin","Selasa","Rabu","Kamis","Jumat","Sabtu","Minggu")</f>
        <v>Kamis</v>
      </c>
      <c r="J1847" s="2" t="n">
        <f aca="false">HOUR(E1847)</f>
        <v>13</v>
      </c>
      <c r="K1847" s="2" t="str">
        <f aca="false">IF(J1847&lt;11,"Pagi",IF(J1847&lt;17,"Siang","Malam"))</f>
        <v>Siang</v>
      </c>
      <c r="L1847" s="2" t="n">
        <f aca="false">IF(A1847&lt;&gt;A1846,1,0)</f>
        <v>1</v>
      </c>
    </row>
    <row r="1848" customFormat="false" ht="15" hidden="false" customHeight="false" outlineLevel="0" collapsed="false">
      <c r="A1848" s="2" t="s">
        <v>1777</v>
      </c>
      <c r="B1848" s="13" t="n">
        <v>46289</v>
      </c>
      <c r="C1848" s="2" t="s">
        <v>112</v>
      </c>
      <c r="D1848" s="2" t="n">
        <v>1</v>
      </c>
      <c r="E1848" s="15" t="n">
        <v>0.547222222222222</v>
      </c>
      <c r="F1848" s="7" t="n">
        <v>10000</v>
      </c>
      <c r="G1848" s="7" t="n">
        <f aca="false">D1848*F1848</f>
        <v>10000</v>
      </c>
      <c r="H1848" s="2" t="str">
        <f aca="false">INDEX(Daftar_Menu!$B$2:$B$13,MATCH(C1848,Daftar_Menu!$A$2:$A$13,0))</f>
        <v>Minuman</v>
      </c>
      <c r="I1848" s="2" t="str">
        <f aca="false">CHOOSE(WEEKDAY(B1848,2),"Senin","Selasa","Rabu","Kamis","Jumat","Sabtu","Minggu")</f>
        <v>Kamis</v>
      </c>
      <c r="J1848" s="2" t="n">
        <f aca="false">HOUR(E1848)</f>
        <v>13</v>
      </c>
      <c r="K1848" s="2" t="str">
        <f aca="false">IF(J1848&lt;11,"Pagi",IF(J1848&lt;17,"Siang","Malam"))</f>
        <v>Siang</v>
      </c>
      <c r="L1848" s="2" t="n">
        <f aca="false">IF(A1848&lt;&gt;A1847,1,0)</f>
        <v>0</v>
      </c>
    </row>
    <row r="1849" customFormat="false" ht="15" hidden="false" customHeight="false" outlineLevel="0" collapsed="false">
      <c r="A1849" s="2" t="s">
        <v>1779</v>
      </c>
      <c r="B1849" s="13" t="n">
        <v>46289</v>
      </c>
      <c r="C1849" s="2" t="s">
        <v>108</v>
      </c>
      <c r="D1849" s="2" t="n">
        <v>2</v>
      </c>
      <c r="E1849" s="15" t="n">
        <v>0.550694444444445</v>
      </c>
      <c r="F1849" s="7" t="n">
        <v>20000</v>
      </c>
      <c r="G1849" s="7" t="n">
        <f aca="false">D1849*F1849</f>
        <v>40000</v>
      </c>
      <c r="H1849" s="2" t="str">
        <f aca="false">INDEX(Daftar_Menu!$B$2:$B$13,MATCH(C1849,Daftar_Menu!$A$2:$A$13,0))</f>
        <v>Makanan</v>
      </c>
      <c r="I1849" s="2" t="str">
        <f aca="false">CHOOSE(WEEKDAY(B1849,2),"Senin","Selasa","Rabu","Kamis","Jumat","Sabtu","Minggu")</f>
        <v>Kamis</v>
      </c>
      <c r="J1849" s="2" t="n">
        <f aca="false">HOUR(E1849)</f>
        <v>13</v>
      </c>
      <c r="K1849" s="2" t="str">
        <f aca="false">IF(J1849&lt;11,"Pagi",IF(J1849&lt;17,"Siang","Malam"))</f>
        <v>Siang</v>
      </c>
      <c r="L1849" s="2" t="n">
        <f aca="false">IF(A1849&lt;&gt;A1848,1,0)</f>
        <v>1</v>
      </c>
    </row>
    <row r="1850" customFormat="false" ht="15" hidden="false" customHeight="false" outlineLevel="0" collapsed="false">
      <c r="A1850" s="2" t="s">
        <v>1780</v>
      </c>
      <c r="B1850" s="13" t="n">
        <v>46289</v>
      </c>
      <c r="C1850" s="2" t="s">
        <v>84</v>
      </c>
      <c r="D1850" s="2" t="n">
        <v>1</v>
      </c>
      <c r="E1850" s="15" t="n">
        <v>0.560416666666667</v>
      </c>
      <c r="F1850" s="7" t="n">
        <v>5000</v>
      </c>
      <c r="G1850" s="7" t="n">
        <f aca="false">D1850*F1850</f>
        <v>5000</v>
      </c>
      <c r="H1850" s="2" t="str">
        <f aca="false">INDEX(Daftar_Menu!$B$2:$B$13,MATCH(C1850,Daftar_Menu!$A$2:$A$13,0))</f>
        <v>Minuman</v>
      </c>
      <c r="I1850" s="2" t="str">
        <f aca="false">CHOOSE(WEEKDAY(B1850,2),"Senin","Selasa","Rabu","Kamis","Jumat","Sabtu","Minggu")</f>
        <v>Kamis</v>
      </c>
      <c r="J1850" s="2" t="n">
        <f aca="false">HOUR(E1850)</f>
        <v>13</v>
      </c>
      <c r="K1850" s="2" t="str">
        <f aca="false">IF(J1850&lt;11,"Pagi",IF(J1850&lt;17,"Siang","Malam"))</f>
        <v>Siang</v>
      </c>
      <c r="L1850" s="2" t="n">
        <f aca="false">IF(A1850&lt;&gt;A1849,1,0)</f>
        <v>1</v>
      </c>
    </row>
    <row r="1851" customFormat="false" ht="15" hidden="false" customHeight="false" outlineLevel="0" collapsed="false">
      <c r="A1851" s="2" t="s">
        <v>1780</v>
      </c>
      <c r="B1851" s="13" t="n">
        <v>46289</v>
      </c>
      <c r="C1851" s="2" t="s">
        <v>112</v>
      </c>
      <c r="D1851" s="2" t="n">
        <v>2</v>
      </c>
      <c r="E1851" s="15" t="n">
        <v>0.560416666666667</v>
      </c>
      <c r="F1851" s="7" t="n">
        <v>10000</v>
      </c>
      <c r="G1851" s="7" t="n">
        <f aca="false">D1851*F1851</f>
        <v>20000</v>
      </c>
      <c r="H1851" s="2" t="str">
        <f aca="false">INDEX(Daftar_Menu!$B$2:$B$13,MATCH(C1851,Daftar_Menu!$A$2:$A$13,0))</f>
        <v>Minuman</v>
      </c>
      <c r="I1851" s="2" t="str">
        <f aca="false">CHOOSE(WEEKDAY(B1851,2),"Senin","Selasa","Rabu","Kamis","Jumat","Sabtu","Minggu")</f>
        <v>Kamis</v>
      </c>
      <c r="J1851" s="2" t="n">
        <f aca="false">HOUR(E1851)</f>
        <v>13</v>
      </c>
      <c r="K1851" s="2" t="str">
        <f aca="false">IF(J1851&lt;11,"Pagi",IF(J1851&lt;17,"Siang","Malam"))</f>
        <v>Siang</v>
      </c>
      <c r="L1851" s="2" t="n">
        <f aca="false">IF(A1851&lt;&gt;A1850,1,0)</f>
        <v>0</v>
      </c>
    </row>
    <row r="1852" customFormat="false" ht="15" hidden="false" customHeight="false" outlineLevel="0" collapsed="false">
      <c r="A1852" s="2" t="s">
        <v>1780</v>
      </c>
      <c r="B1852" s="13" t="n">
        <v>46289</v>
      </c>
      <c r="C1852" s="2" t="s">
        <v>89</v>
      </c>
      <c r="D1852" s="2" t="n">
        <v>1</v>
      </c>
      <c r="E1852" s="15" t="n">
        <v>0.560416666666667</v>
      </c>
      <c r="F1852" s="7" t="n">
        <v>14000</v>
      </c>
      <c r="G1852" s="7" t="n">
        <f aca="false">D1852*F1852</f>
        <v>14000</v>
      </c>
      <c r="H1852" s="2" t="str">
        <f aca="false">INDEX(Daftar_Menu!$B$2:$B$13,MATCH(C1852,Daftar_Menu!$A$2:$A$13,0))</f>
        <v>Makanan</v>
      </c>
      <c r="I1852" s="2" t="str">
        <f aca="false">CHOOSE(WEEKDAY(B1852,2),"Senin","Selasa","Rabu","Kamis","Jumat","Sabtu","Minggu")</f>
        <v>Kamis</v>
      </c>
      <c r="J1852" s="2" t="n">
        <f aca="false">HOUR(E1852)</f>
        <v>13</v>
      </c>
      <c r="K1852" s="2" t="str">
        <f aca="false">IF(J1852&lt;11,"Pagi",IF(J1852&lt;17,"Siang","Malam"))</f>
        <v>Siang</v>
      </c>
      <c r="L1852" s="2" t="n">
        <f aca="false">IF(A1852&lt;&gt;A1851,1,0)</f>
        <v>0</v>
      </c>
    </row>
    <row r="1853" customFormat="false" ht="15" hidden="false" customHeight="false" outlineLevel="0" collapsed="false">
      <c r="A1853" s="2" t="s">
        <v>1781</v>
      </c>
      <c r="B1853" s="13" t="n">
        <v>46289</v>
      </c>
      <c r="C1853" s="2" t="s">
        <v>84</v>
      </c>
      <c r="D1853" s="2" t="n">
        <v>1</v>
      </c>
      <c r="E1853" s="15" t="n">
        <v>0.5625</v>
      </c>
      <c r="F1853" s="7" t="n">
        <v>5000</v>
      </c>
      <c r="G1853" s="7" t="n">
        <f aca="false">D1853*F1853</f>
        <v>5000</v>
      </c>
      <c r="H1853" s="2" t="str">
        <f aca="false">INDEX(Daftar_Menu!$B$2:$B$13,MATCH(C1853,Daftar_Menu!$A$2:$A$13,0))</f>
        <v>Minuman</v>
      </c>
      <c r="I1853" s="2" t="str">
        <f aca="false">CHOOSE(WEEKDAY(B1853,2),"Senin","Selasa","Rabu","Kamis","Jumat","Sabtu","Minggu")</f>
        <v>Kamis</v>
      </c>
      <c r="J1853" s="2" t="n">
        <f aca="false">HOUR(E1853)</f>
        <v>13</v>
      </c>
      <c r="K1853" s="2" t="str">
        <f aca="false">IF(J1853&lt;11,"Pagi",IF(J1853&lt;17,"Siang","Malam"))</f>
        <v>Siang</v>
      </c>
      <c r="L1853" s="2" t="n">
        <f aca="false">IF(A1853&lt;&gt;A1852,1,0)</f>
        <v>1</v>
      </c>
    </row>
    <row r="1854" customFormat="false" ht="15" hidden="false" customHeight="false" outlineLevel="0" collapsed="false">
      <c r="A1854" s="2" t="s">
        <v>1781</v>
      </c>
      <c r="B1854" s="13" t="n">
        <v>46289</v>
      </c>
      <c r="C1854" s="2" t="s">
        <v>101</v>
      </c>
      <c r="D1854" s="2" t="n">
        <v>1</v>
      </c>
      <c r="E1854" s="15" t="n">
        <v>0.5625</v>
      </c>
      <c r="F1854" s="7" t="n">
        <v>18000</v>
      </c>
      <c r="G1854" s="7" t="n">
        <f aca="false">D1854*F1854</f>
        <v>18000</v>
      </c>
      <c r="H1854" s="2" t="str">
        <f aca="false">INDEX(Daftar_Menu!$B$2:$B$13,MATCH(C1854,Daftar_Menu!$A$2:$A$13,0))</f>
        <v>Makanan</v>
      </c>
      <c r="I1854" s="2" t="str">
        <f aca="false">CHOOSE(WEEKDAY(B1854,2),"Senin","Selasa","Rabu","Kamis","Jumat","Sabtu","Minggu")</f>
        <v>Kamis</v>
      </c>
      <c r="J1854" s="2" t="n">
        <f aca="false">HOUR(E1854)</f>
        <v>13</v>
      </c>
      <c r="K1854" s="2" t="str">
        <f aca="false">IF(J1854&lt;11,"Pagi",IF(J1854&lt;17,"Siang","Malam"))</f>
        <v>Siang</v>
      </c>
      <c r="L1854" s="2" t="n">
        <f aca="false">IF(A1854&lt;&gt;A1853,1,0)</f>
        <v>0</v>
      </c>
    </row>
    <row r="1855" customFormat="false" ht="15" hidden="false" customHeight="false" outlineLevel="0" collapsed="false">
      <c r="A1855" s="2" t="s">
        <v>1782</v>
      </c>
      <c r="B1855" s="13" t="n">
        <v>46289</v>
      </c>
      <c r="C1855" s="2" t="s">
        <v>81</v>
      </c>
      <c r="D1855" s="2" t="n">
        <v>1</v>
      </c>
      <c r="E1855" s="15" t="n">
        <v>0.566666666666667</v>
      </c>
      <c r="F1855" s="7" t="n">
        <v>15000</v>
      </c>
      <c r="G1855" s="7" t="n">
        <f aca="false">D1855*F1855</f>
        <v>15000</v>
      </c>
      <c r="H1855" s="2" t="str">
        <f aca="false">INDEX(Daftar_Menu!$B$2:$B$13,MATCH(C1855,Daftar_Menu!$A$2:$A$13,0))</f>
        <v>Makanan</v>
      </c>
      <c r="I1855" s="2" t="str">
        <f aca="false">CHOOSE(WEEKDAY(B1855,2),"Senin","Selasa","Rabu","Kamis","Jumat","Sabtu","Minggu")</f>
        <v>Kamis</v>
      </c>
      <c r="J1855" s="2" t="n">
        <f aca="false">HOUR(E1855)</f>
        <v>13</v>
      </c>
      <c r="K1855" s="2" t="str">
        <f aca="false">IF(J1855&lt;11,"Pagi",IF(J1855&lt;17,"Siang","Malam"))</f>
        <v>Siang</v>
      </c>
      <c r="L1855" s="2" t="n">
        <f aca="false">IF(A1855&lt;&gt;A1854,1,0)</f>
        <v>1</v>
      </c>
    </row>
    <row r="1856" customFormat="false" ht="15" hidden="false" customHeight="false" outlineLevel="0" collapsed="false">
      <c r="A1856" s="2" t="s">
        <v>1782</v>
      </c>
      <c r="B1856" s="13" t="n">
        <v>46289</v>
      </c>
      <c r="C1856" s="2" t="s">
        <v>126</v>
      </c>
      <c r="D1856" s="2" t="n">
        <v>1</v>
      </c>
      <c r="E1856" s="15" t="n">
        <v>0.566666666666667</v>
      </c>
      <c r="F1856" s="7" t="n">
        <v>3000</v>
      </c>
      <c r="G1856" s="7" t="n">
        <f aca="false">D1856*F1856</f>
        <v>3000</v>
      </c>
      <c r="H1856" s="2" t="str">
        <f aca="false">INDEX(Daftar_Menu!$B$2:$B$13,MATCH(C1856,Daftar_Menu!$A$2:$A$13,0))</f>
        <v>Minuman</v>
      </c>
      <c r="I1856" s="2" t="str">
        <f aca="false">CHOOSE(WEEKDAY(B1856,2),"Senin","Selasa","Rabu","Kamis","Jumat","Sabtu","Minggu")</f>
        <v>Kamis</v>
      </c>
      <c r="J1856" s="2" t="n">
        <f aca="false">HOUR(E1856)</f>
        <v>13</v>
      </c>
      <c r="K1856" s="2" t="str">
        <f aca="false">IF(J1856&lt;11,"Pagi",IF(J1856&lt;17,"Siang","Malam"))</f>
        <v>Siang</v>
      </c>
      <c r="L1856" s="2" t="n">
        <f aca="false">IF(A1856&lt;&gt;A1855,1,0)</f>
        <v>0</v>
      </c>
    </row>
    <row r="1857" customFormat="false" ht="15" hidden="false" customHeight="false" outlineLevel="0" collapsed="false">
      <c r="A1857" s="2" t="s">
        <v>1783</v>
      </c>
      <c r="B1857" s="13" t="n">
        <v>46289</v>
      </c>
      <c r="C1857" s="2" t="s">
        <v>186</v>
      </c>
      <c r="D1857" s="2" t="n">
        <v>1</v>
      </c>
      <c r="E1857" s="15" t="n">
        <v>0.567361111111111</v>
      </c>
      <c r="F1857" s="7" t="n">
        <v>7000</v>
      </c>
      <c r="G1857" s="7" t="n">
        <f aca="false">D1857*F1857</f>
        <v>7000</v>
      </c>
      <c r="H1857" s="2" t="str">
        <f aca="false">INDEX(Daftar_Menu!$B$2:$B$13,MATCH(C1857,Daftar_Menu!$A$2:$A$13,0))</f>
        <v>Minuman</v>
      </c>
      <c r="I1857" s="2" t="str">
        <f aca="false">CHOOSE(WEEKDAY(B1857,2),"Senin","Selasa","Rabu","Kamis","Jumat","Sabtu","Minggu")</f>
        <v>Kamis</v>
      </c>
      <c r="J1857" s="2" t="n">
        <f aca="false">HOUR(E1857)</f>
        <v>13</v>
      </c>
      <c r="K1857" s="2" t="str">
        <f aca="false">IF(J1857&lt;11,"Pagi",IF(J1857&lt;17,"Siang","Malam"))</f>
        <v>Siang</v>
      </c>
      <c r="L1857" s="2" t="n">
        <f aca="false">IF(A1857&lt;&gt;A1856,1,0)</f>
        <v>1</v>
      </c>
    </row>
    <row r="1858" customFormat="false" ht="15" hidden="false" customHeight="false" outlineLevel="0" collapsed="false">
      <c r="A1858" s="2" t="s">
        <v>1784</v>
      </c>
      <c r="B1858" s="13" t="n">
        <v>46289</v>
      </c>
      <c r="C1858" s="2" t="s">
        <v>89</v>
      </c>
      <c r="D1858" s="2" t="n">
        <v>1</v>
      </c>
      <c r="E1858" s="15" t="n">
        <v>0.576388888888889</v>
      </c>
      <c r="F1858" s="7" t="n">
        <v>14000</v>
      </c>
      <c r="G1858" s="7" t="n">
        <f aca="false">D1858*F1858</f>
        <v>14000</v>
      </c>
      <c r="H1858" s="2" t="str">
        <f aca="false">INDEX(Daftar_Menu!$B$2:$B$13,MATCH(C1858,Daftar_Menu!$A$2:$A$13,0))</f>
        <v>Makanan</v>
      </c>
      <c r="I1858" s="2" t="str">
        <f aca="false">CHOOSE(WEEKDAY(B1858,2),"Senin","Selasa","Rabu","Kamis","Jumat","Sabtu","Minggu")</f>
        <v>Kamis</v>
      </c>
      <c r="J1858" s="2" t="n">
        <f aca="false">HOUR(E1858)</f>
        <v>13</v>
      </c>
      <c r="K1858" s="2" t="str">
        <f aca="false">IF(J1858&lt;11,"Pagi",IF(J1858&lt;17,"Siang","Malam"))</f>
        <v>Siang</v>
      </c>
      <c r="L1858" s="2" t="n">
        <f aca="false">IF(A1858&lt;&gt;A1857,1,0)</f>
        <v>1</v>
      </c>
    </row>
    <row r="1859" customFormat="false" ht="15" hidden="false" customHeight="false" outlineLevel="0" collapsed="false">
      <c r="A1859" s="2" t="s">
        <v>1785</v>
      </c>
      <c r="B1859" s="13" t="n">
        <v>46289</v>
      </c>
      <c r="C1859" s="2" t="s">
        <v>112</v>
      </c>
      <c r="D1859" s="2" t="n">
        <v>1</v>
      </c>
      <c r="E1859" s="15" t="n">
        <v>0.577083333333333</v>
      </c>
      <c r="F1859" s="7" t="n">
        <v>10000</v>
      </c>
      <c r="G1859" s="7" t="n">
        <f aca="false">D1859*F1859</f>
        <v>10000</v>
      </c>
      <c r="H1859" s="2" t="str">
        <f aca="false">INDEX(Daftar_Menu!$B$2:$B$13,MATCH(C1859,Daftar_Menu!$A$2:$A$13,0))</f>
        <v>Minuman</v>
      </c>
      <c r="I1859" s="2" t="str">
        <f aca="false">CHOOSE(WEEKDAY(B1859,2),"Senin","Selasa","Rabu","Kamis","Jumat","Sabtu","Minggu")</f>
        <v>Kamis</v>
      </c>
      <c r="J1859" s="2" t="n">
        <f aca="false">HOUR(E1859)</f>
        <v>13</v>
      </c>
      <c r="K1859" s="2" t="str">
        <f aca="false">IF(J1859&lt;11,"Pagi",IF(J1859&lt;17,"Siang","Malam"))</f>
        <v>Siang</v>
      </c>
      <c r="L1859" s="2" t="n">
        <f aca="false">IF(A1859&lt;&gt;A1858,1,0)</f>
        <v>1</v>
      </c>
    </row>
    <row r="1860" customFormat="false" ht="15" hidden="false" customHeight="false" outlineLevel="0" collapsed="false">
      <c r="A1860" s="2" t="s">
        <v>1785</v>
      </c>
      <c r="B1860" s="13" t="n">
        <v>46289</v>
      </c>
      <c r="C1860" s="2" t="s">
        <v>101</v>
      </c>
      <c r="D1860" s="2" t="n">
        <v>1</v>
      </c>
      <c r="E1860" s="15" t="n">
        <v>0.577083333333333</v>
      </c>
      <c r="F1860" s="7" t="n">
        <v>18000</v>
      </c>
      <c r="G1860" s="7" t="n">
        <f aca="false">D1860*F1860</f>
        <v>18000</v>
      </c>
      <c r="H1860" s="2" t="str">
        <f aca="false">INDEX(Daftar_Menu!$B$2:$B$13,MATCH(C1860,Daftar_Menu!$A$2:$A$13,0))</f>
        <v>Makanan</v>
      </c>
      <c r="I1860" s="2" t="str">
        <f aca="false">CHOOSE(WEEKDAY(B1860,2),"Senin","Selasa","Rabu","Kamis","Jumat","Sabtu","Minggu")</f>
        <v>Kamis</v>
      </c>
      <c r="J1860" s="2" t="n">
        <f aca="false">HOUR(E1860)</f>
        <v>13</v>
      </c>
      <c r="K1860" s="2" t="str">
        <f aca="false">IF(J1860&lt;11,"Pagi",IF(J1860&lt;17,"Siang","Malam"))</f>
        <v>Siang</v>
      </c>
      <c r="L1860" s="2" t="n">
        <f aca="false">IF(A1860&lt;&gt;A1859,1,0)</f>
        <v>0</v>
      </c>
    </row>
    <row r="1861" customFormat="false" ht="15" hidden="false" customHeight="false" outlineLevel="0" collapsed="false">
      <c r="A1861" s="2" t="s">
        <v>1786</v>
      </c>
      <c r="B1861" s="13" t="n">
        <v>46289</v>
      </c>
      <c r="C1861" s="2" t="s">
        <v>108</v>
      </c>
      <c r="D1861" s="2" t="n">
        <v>1</v>
      </c>
      <c r="E1861" s="15" t="n">
        <v>0.577083333333333</v>
      </c>
      <c r="F1861" s="7" t="n">
        <v>20000</v>
      </c>
      <c r="G1861" s="7" t="n">
        <f aca="false">D1861*F1861</f>
        <v>20000</v>
      </c>
      <c r="H1861" s="2" t="str">
        <f aca="false">INDEX(Daftar_Menu!$B$2:$B$13,MATCH(C1861,Daftar_Menu!$A$2:$A$13,0))</f>
        <v>Makanan</v>
      </c>
      <c r="I1861" s="2" t="str">
        <f aca="false">CHOOSE(WEEKDAY(B1861,2),"Senin","Selasa","Rabu","Kamis","Jumat","Sabtu","Minggu")</f>
        <v>Kamis</v>
      </c>
      <c r="J1861" s="2" t="n">
        <f aca="false">HOUR(E1861)</f>
        <v>13</v>
      </c>
      <c r="K1861" s="2" t="str">
        <f aca="false">IF(J1861&lt;11,"Pagi",IF(J1861&lt;17,"Siang","Malam"))</f>
        <v>Siang</v>
      </c>
      <c r="L1861" s="2" t="n">
        <f aca="false">IF(A1861&lt;&gt;A1860,1,0)</f>
        <v>1</v>
      </c>
    </row>
    <row r="1862" customFormat="false" ht="15" hidden="false" customHeight="false" outlineLevel="0" collapsed="false">
      <c r="A1862" s="2" t="s">
        <v>1786</v>
      </c>
      <c r="B1862" s="13" t="n">
        <v>46289</v>
      </c>
      <c r="C1862" s="2" t="s">
        <v>79</v>
      </c>
      <c r="D1862" s="2" t="n">
        <v>1</v>
      </c>
      <c r="E1862" s="15" t="n">
        <v>0.577083333333333</v>
      </c>
      <c r="F1862" s="7" t="n">
        <v>16000</v>
      </c>
      <c r="G1862" s="7" t="n">
        <f aca="false">D1862*F1862</f>
        <v>16000</v>
      </c>
      <c r="H1862" s="2" t="str">
        <f aca="false">INDEX(Daftar_Menu!$B$2:$B$13,MATCH(C1862,Daftar_Menu!$A$2:$A$13,0))</f>
        <v>Makanan</v>
      </c>
      <c r="I1862" s="2" t="str">
        <f aca="false">CHOOSE(WEEKDAY(B1862,2),"Senin","Selasa","Rabu","Kamis","Jumat","Sabtu","Minggu")</f>
        <v>Kamis</v>
      </c>
      <c r="J1862" s="2" t="n">
        <f aca="false">HOUR(E1862)</f>
        <v>13</v>
      </c>
      <c r="K1862" s="2" t="str">
        <f aca="false">IF(J1862&lt;11,"Pagi",IF(J1862&lt;17,"Siang","Malam"))</f>
        <v>Siang</v>
      </c>
      <c r="L1862" s="2" t="n">
        <f aca="false">IF(A1862&lt;&gt;A1861,1,0)</f>
        <v>0</v>
      </c>
    </row>
    <row r="1863" customFormat="false" ht="15" hidden="false" customHeight="false" outlineLevel="0" collapsed="false">
      <c r="A1863" s="2" t="s">
        <v>1787</v>
      </c>
      <c r="B1863" s="13" t="n">
        <v>46289</v>
      </c>
      <c r="C1863" s="2" t="s">
        <v>101</v>
      </c>
      <c r="D1863" s="2" t="n">
        <v>2</v>
      </c>
      <c r="E1863" s="15" t="n">
        <v>0.630555555555556</v>
      </c>
      <c r="F1863" s="7" t="n">
        <v>18000</v>
      </c>
      <c r="G1863" s="7" t="n">
        <f aca="false">D1863*F1863</f>
        <v>36000</v>
      </c>
      <c r="H1863" s="2" t="str">
        <f aca="false">INDEX(Daftar_Menu!$B$2:$B$13,MATCH(C1863,Daftar_Menu!$A$2:$A$13,0))</f>
        <v>Makanan</v>
      </c>
      <c r="I1863" s="2" t="str">
        <f aca="false">CHOOSE(WEEKDAY(B1863,2),"Senin","Selasa","Rabu","Kamis","Jumat","Sabtu","Minggu")</f>
        <v>Kamis</v>
      </c>
      <c r="J1863" s="2" t="n">
        <f aca="false">HOUR(E1863)</f>
        <v>15</v>
      </c>
      <c r="K1863" s="2" t="str">
        <f aca="false">IF(J1863&lt;11,"Pagi",IF(J1863&lt;17,"Siang","Malam"))</f>
        <v>Siang</v>
      </c>
      <c r="L1863" s="2" t="n">
        <f aca="false">IF(A1863&lt;&gt;A1862,1,0)</f>
        <v>1</v>
      </c>
    </row>
    <row r="1864" customFormat="false" ht="15" hidden="false" customHeight="false" outlineLevel="0" collapsed="false">
      <c r="A1864" s="2" t="s">
        <v>1787</v>
      </c>
      <c r="B1864" s="13" t="n">
        <v>46289</v>
      </c>
      <c r="C1864" s="2" t="s">
        <v>132</v>
      </c>
      <c r="D1864" s="2" t="n">
        <v>1</v>
      </c>
      <c r="E1864" s="15" t="n">
        <v>0.630555555555556</v>
      </c>
      <c r="F1864" s="7" t="n">
        <v>15000</v>
      </c>
      <c r="G1864" s="7" t="n">
        <f aca="false">D1864*F1864</f>
        <v>15000</v>
      </c>
      <c r="H1864" s="2" t="str">
        <f aca="false">INDEX(Daftar_Menu!$B$2:$B$13,MATCH(C1864,Daftar_Menu!$A$2:$A$13,0))</f>
        <v>Makanan</v>
      </c>
      <c r="I1864" s="2" t="str">
        <f aca="false">CHOOSE(WEEKDAY(B1864,2),"Senin","Selasa","Rabu","Kamis","Jumat","Sabtu","Minggu")</f>
        <v>Kamis</v>
      </c>
      <c r="J1864" s="2" t="n">
        <f aca="false">HOUR(E1864)</f>
        <v>15</v>
      </c>
      <c r="K1864" s="2" t="str">
        <f aca="false">IF(J1864&lt;11,"Pagi",IF(J1864&lt;17,"Siang","Malam"))</f>
        <v>Siang</v>
      </c>
      <c r="L1864" s="2" t="n">
        <f aca="false">IF(A1864&lt;&gt;A1863,1,0)</f>
        <v>0</v>
      </c>
    </row>
    <row r="1865" customFormat="false" ht="15" hidden="false" customHeight="false" outlineLevel="0" collapsed="false">
      <c r="A1865" s="2" t="s">
        <v>1788</v>
      </c>
      <c r="B1865" s="13" t="n">
        <v>46289</v>
      </c>
      <c r="C1865" s="2" t="s">
        <v>81</v>
      </c>
      <c r="D1865" s="2" t="n">
        <v>1</v>
      </c>
      <c r="E1865" s="15" t="n">
        <v>0.670138888888889</v>
      </c>
      <c r="F1865" s="7" t="n">
        <v>15000</v>
      </c>
      <c r="G1865" s="7" t="n">
        <f aca="false">D1865*F1865</f>
        <v>15000</v>
      </c>
      <c r="H1865" s="2" t="str">
        <f aca="false">INDEX(Daftar_Menu!$B$2:$B$13,MATCH(C1865,Daftar_Menu!$A$2:$A$13,0))</f>
        <v>Makanan</v>
      </c>
      <c r="I1865" s="2" t="str">
        <f aca="false">CHOOSE(WEEKDAY(B1865,2),"Senin","Selasa","Rabu","Kamis","Jumat","Sabtu","Minggu")</f>
        <v>Kamis</v>
      </c>
      <c r="J1865" s="2" t="n">
        <f aca="false">HOUR(E1865)</f>
        <v>16</v>
      </c>
      <c r="K1865" s="2" t="str">
        <f aca="false">IF(J1865&lt;11,"Pagi",IF(J1865&lt;17,"Siang","Malam"))</f>
        <v>Siang</v>
      </c>
      <c r="L1865" s="2" t="n">
        <f aca="false">IF(A1865&lt;&gt;A1864,1,0)</f>
        <v>1</v>
      </c>
    </row>
    <row r="1866" customFormat="false" ht="15" hidden="false" customHeight="false" outlineLevel="0" collapsed="false">
      <c r="A1866" s="2" t="s">
        <v>1789</v>
      </c>
      <c r="B1866" s="13" t="n">
        <v>46289</v>
      </c>
      <c r="C1866" s="2" t="s">
        <v>108</v>
      </c>
      <c r="D1866" s="2" t="n">
        <v>1</v>
      </c>
      <c r="E1866" s="15" t="n">
        <v>0.688194444444444</v>
      </c>
      <c r="F1866" s="7" t="n">
        <v>20000</v>
      </c>
      <c r="G1866" s="7" t="n">
        <f aca="false">D1866*F1866</f>
        <v>20000</v>
      </c>
      <c r="H1866" s="2" t="str">
        <f aca="false">INDEX(Daftar_Menu!$B$2:$B$13,MATCH(C1866,Daftar_Menu!$A$2:$A$13,0))</f>
        <v>Makanan</v>
      </c>
      <c r="I1866" s="2" t="str">
        <f aca="false">CHOOSE(WEEKDAY(B1866,2),"Senin","Selasa","Rabu","Kamis","Jumat","Sabtu","Minggu")</f>
        <v>Kamis</v>
      </c>
      <c r="J1866" s="2" t="n">
        <f aca="false">HOUR(E1866)</f>
        <v>16</v>
      </c>
      <c r="K1866" s="2" t="str">
        <f aca="false">IF(J1866&lt;11,"Pagi",IF(J1866&lt;17,"Siang","Malam"))</f>
        <v>Siang</v>
      </c>
      <c r="L1866" s="2" t="n">
        <f aca="false">IF(A1866&lt;&gt;A1865,1,0)</f>
        <v>1</v>
      </c>
    </row>
    <row r="1867" customFormat="false" ht="15" hidden="false" customHeight="false" outlineLevel="0" collapsed="false">
      <c r="A1867" s="2" t="s">
        <v>1790</v>
      </c>
      <c r="B1867" s="13" t="n">
        <v>46289</v>
      </c>
      <c r="C1867" s="2" t="s">
        <v>101</v>
      </c>
      <c r="D1867" s="2" t="n">
        <v>1</v>
      </c>
      <c r="E1867" s="15" t="n">
        <v>0.711805555555556</v>
      </c>
      <c r="F1867" s="7" t="n">
        <v>18000</v>
      </c>
      <c r="G1867" s="7" t="n">
        <f aca="false">D1867*F1867</f>
        <v>18000</v>
      </c>
      <c r="H1867" s="2" t="str">
        <f aca="false">INDEX(Daftar_Menu!$B$2:$B$13,MATCH(C1867,Daftar_Menu!$A$2:$A$13,0))</f>
        <v>Makanan</v>
      </c>
      <c r="I1867" s="2" t="str">
        <f aca="false">CHOOSE(WEEKDAY(B1867,2),"Senin","Selasa","Rabu","Kamis","Jumat","Sabtu","Minggu")</f>
        <v>Kamis</v>
      </c>
      <c r="J1867" s="2" t="n">
        <f aca="false">HOUR(E1867)</f>
        <v>17</v>
      </c>
      <c r="K1867" s="2" t="str">
        <f aca="false">IF(J1867&lt;11,"Pagi",IF(J1867&lt;17,"Siang","Malam"))</f>
        <v>Malam</v>
      </c>
      <c r="L1867" s="2" t="n">
        <f aca="false">IF(A1867&lt;&gt;A1866,1,0)</f>
        <v>1</v>
      </c>
    </row>
    <row r="1868" customFormat="false" ht="15" hidden="false" customHeight="false" outlineLevel="0" collapsed="false">
      <c r="A1868" s="2" t="s">
        <v>1790</v>
      </c>
      <c r="B1868" s="13" t="n">
        <v>46289</v>
      </c>
      <c r="C1868" s="2" t="s">
        <v>186</v>
      </c>
      <c r="D1868" s="2" t="n">
        <v>2</v>
      </c>
      <c r="E1868" s="15" t="n">
        <v>0.711805555555556</v>
      </c>
      <c r="F1868" s="7" t="n">
        <v>7000</v>
      </c>
      <c r="G1868" s="7" t="n">
        <f aca="false">D1868*F1868</f>
        <v>14000</v>
      </c>
      <c r="H1868" s="2" t="str">
        <f aca="false">INDEX(Daftar_Menu!$B$2:$B$13,MATCH(C1868,Daftar_Menu!$A$2:$A$13,0))</f>
        <v>Minuman</v>
      </c>
      <c r="I1868" s="2" t="str">
        <f aca="false">CHOOSE(WEEKDAY(B1868,2),"Senin","Selasa","Rabu","Kamis","Jumat","Sabtu","Minggu")</f>
        <v>Kamis</v>
      </c>
      <c r="J1868" s="2" t="n">
        <f aca="false">HOUR(E1868)</f>
        <v>17</v>
      </c>
      <c r="K1868" s="2" t="str">
        <f aca="false">IF(J1868&lt;11,"Pagi",IF(J1868&lt;17,"Siang","Malam"))</f>
        <v>Malam</v>
      </c>
      <c r="L1868" s="2" t="n">
        <f aca="false">IF(A1868&lt;&gt;A1867,1,0)</f>
        <v>0</v>
      </c>
    </row>
    <row r="1869" customFormat="false" ht="15" hidden="false" customHeight="false" outlineLevel="0" collapsed="false">
      <c r="A1869" s="2" t="s">
        <v>1790</v>
      </c>
      <c r="B1869" s="13" t="n">
        <v>46289</v>
      </c>
      <c r="C1869" s="2" t="s">
        <v>89</v>
      </c>
      <c r="D1869" s="2" t="n">
        <v>3</v>
      </c>
      <c r="E1869" s="15" t="n">
        <v>0.711805555555556</v>
      </c>
      <c r="F1869" s="7" t="n">
        <v>14000</v>
      </c>
      <c r="G1869" s="7" t="n">
        <f aca="false">D1869*F1869</f>
        <v>42000</v>
      </c>
      <c r="H1869" s="2" t="str">
        <f aca="false">INDEX(Daftar_Menu!$B$2:$B$13,MATCH(C1869,Daftar_Menu!$A$2:$A$13,0))</f>
        <v>Makanan</v>
      </c>
      <c r="I1869" s="2" t="str">
        <f aca="false">CHOOSE(WEEKDAY(B1869,2),"Senin","Selasa","Rabu","Kamis","Jumat","Sabtu","Minggu")</f>
        <v>Kamis</v>
      </c>
      <c r="J1869" s="2" t="n">
        <f aca="false">HOUR(E1869)</f>
        <v>17</v>
      </c>
      <c r="K1869" s="2" t="str">
        <f aca="false">IF(J1869&lt;11,"Pagi",IF(J1869&lt;17,"Siang","Malam"))</f>
        <v>Malam</v>
      </c>
      <c r="L1869" s="2" t="n">
        <f aca="false">IF(A1869&lt;&gt;A1868,1,0)</f>
        <v>0</v>
      </c>
    </row>
    <row r="1870" customFormat="false" ht="15" hidden="false" customHeight="false" outlineLevel="0" collapsed="false">
      <c r="A1870" s="2" t="s">
        <v>1791</v>
      </c>
      <c r="B1870" s="13" t="n">
        <v>46289</v>
      </c>
      <c r="C1870" s="2" t="s">
        <v>101</v>
      </c>
      <c r="D1870" s="2" t="n">
        <v>1</v>
      </c>
      <c r="E1870" s="15" t="n">
        <v>0.713194444444445</v>
      </c>
      <c r="F1870" s="7" t="n">
        <v>18000</v>
      </c>
      <c r="G1870" s="7" t="n">
        <f aca="false">D1870*F1870</f>
        <v>18000</v>
      </c>
      <c r="H1870" s="2" t="str">
        <f aca="false">INDEX(Daftar_Menu!$B$2:$B$13,MATCH(C1870,Daftar_Menu!$A$2:$A$13,0))</f>
        <v>Makanan</v>
      </c>
      <c r="I1870" s="2" t="str">
        <f aca="false">CHOOSE(WEEKDAY(B1870,2),"Senin","Selasa","Rabu","Kamis","Jumat","Sabtu","Minggu")</f>
        <v>Kamis</v>
      </c>
      <c r="J1870" s="2" t="n">
        <f aca="false">HOUR(E1870)</f>
        <v>17</v>
      </c>
      <c r="K1870" s="2" t="str">
        <f aca="false">IF(J1870&lt;11,"Pagi",IF(J1870&lt;17,"Siang","Malam"))</f>
        <v>Malam</v>
      </c>
      <c r="L1870" s="2" t="n">
        <f aca="false">IF(A1870&lt;&gt;A1869,1,0)</f>
        <v>1</v>
      </c>
    </row>
    <row r="1871" customFormat="false" ht="15" hidden="false" customHeight="false" outlineLevel="0" collapsed="false">
      <c r="A1871" s="2" t="s">
        <v>1792</v>
      </c>
      <c r="B1871" s="13" t="n">
        <v>46289</v>
      </c>
      <c r="C1871" s="2" t="s">
        <v>132</v>
      </c>
      <c r="D1871" s="2" t="n">
        <v>1</v>
      </c>
      <c r="E1871" s="15" t="n">
        <v>0.7375</v>
      </c>
      <c r="F1871" s="7" t="n">
        <v>15000</v>
      </c>
      <c r="G1871" s="7" t="n">
        <f aca="false">D1871*F1871</f>
        <v>15000</v>
      </c>
      <c r="H1871" s="2" t="str">
        <f aca="false">INDEX(Daftar_Menu!$B$2:$B$13,MATCH(C1871,Daftar_Menu!$A$2:$A$13,0))</f>
        <v>Makanan</v>
      </c>
      <c r="I1871" s="2" t="str">
        <f aca="false">CHOOSE(WEEKDAY(B1871,2),"Senin","Selasa","Rabu","Kamis","Jumat","Sabtu","Minggu")</f>
        <v>Kamis</v>
      </c>
      <c r="J1871" s="2" t="n">
        <f aca="false">HOUR(E1871)</f>
        <v>17</v>
      </c>
      <c r="K1871" s="2" t="str">
        <f aca="false">IF(J1871&lt;11,"Pagi",IF(J1871&lt;17,"Siang","Malam"))</f>
        <v>Malam</v>
      </c>
      <c r="L1871" s="2" t="n">
        <f aca="false">IF(A1871&lt;&gt;A1870,1,0)</f>
        <v>1</v>
      </c>
    </row>
    <row r="1872" customFormat="false" ht="15" hidden="false" customHeight="false" outlineLevel="0" collapsed="false">
      <c r="A1872" s="2" t="s">
        <v>1792</v>
      </c>
      <c r="B1872" s="13" t="n">
        <v>46289</v>
      </c>
      <c r="C1872" s="2" t="s">
        <v>101</v>
      </c>
      <c r="D1872" s="2" t="n">
        <v>2</v>
      </c>
      <c r="E1872" s="15" t="n">
        <v>0.7375</v>
      </c>
      <c r="F1872" s="7" t="n">
        <v>18000</v>
      </c>
      <c r="G1872" s="7" t="n">
        <f aca="false">D1872*F1872</f>
        <v>36000</v>
      </c>
      <c r="H1872" s="2" t="str">
        <f aca="false">INDEX(Daftar_Menu!$B$2:$B$13,MATCH(C1872,Daftar_Menu!$A$2:$A$13,0))</f>
        <v>Makanan</v>
      </c>
      <c r="I1872" s="2" t="str">
        <f aca="false">CHOOSE(WEEKDAY(B1872,2),"Senin","Selasa","Rabu","Kamis","Jumat","Sabtu","Minggu")</f>
        <v>Kamis</v>
      </c>
      <c r="J1872" s="2" t="n">
        <f aca="false">HOUR(E1872)</f>
        <v>17</v>
      </c>
      <c r="K1872" s="2" t="str">
        <f aca="false">IF(J1872&lt;11,"Pagi",IF(J1872&lt;17,"Siang","Malam"))</f>
        <v>Malam</v>
      </c>
      <c r="L1872" s="2" t="n">
        <f aca="false">IF(A1872&lt;&gt;A1871,1,0)</f>
        <v>0</v>
      </c>
    </row>
    <row r="1873" customFormat="false" ht="15" hidden="false" customHeight="false" outlineLevel="0" collapsed="false">
      <c r="A1873" s="2" t="s">
        <v>1794</v>
      </c>
      <c r="B1873" s="13" t="n">
        <v>46289</v>
      </c>
      <c r="C1873" s="2" t="s">
        <v>186</v>
      </c>
      <c r="D1873" s="2" t="n">
        <v>1</v>
      </c>
      <c r="E1873" s="15" t="n">
        <v>0.746527777777778</v>
      </c>
      <c r="F1873" s="7" t="n">
        <v>7000</v>
      </c>
      <c r="G1873" s="7" t="n">
        <f aca="false">D1873*F1873</f>
        <v>7000</v>
      </c>
      <c r="H1873" s="2" t="str">
        <f aca="false">INDEX(Daftar_Menu!$B$2:$B$13,MATCH(C1873,Daftar_Menu!$A$2:$A$13,0))</f>
        <v>Minuman</v>
      </c>
      <c r="I1873" s="2" t="str">
        <f aca="false">CHOOSE(WEEKDAY(B1873,2),"Senin","Selasa","Rabu","Kamis","Jumat","Sabtu","Minggu")</f>
        <v>Kamis</v>
      </c>
      <c r="J1873" s="2" t="n">
        <f aca="false">HOUR(E1873)</f>
        <v>17</v>
      </c>
      <c r="K1873" s="2" t="str">
        <f aca="false">IF(J1873&lt;11,"Pagi",IF(J1873&lt;17,"Siang","Malam"))</f>
        <v>Malam</v>
      </c>
      <c r="L1873" s="2" t="n">
        <f aca="false">IF(A1873&lt;&gt;A1872,1,0)</f>
        <v>1</v>
      </c>
    </row>
    <row r="1874" customFormat="false" ht="15" hidden="false" customHeight="false" outlineLevel="0" collapsed="false">
      <c r="A1874" s="2" t="s">
        <v>1794</v>
      </c>
      <c r="B1874" s="13" t="n">
        <v>46289</v>
      </c>
      <c r="C1874" s="2" t="s">
        <v>101</v>
      </c>
      <c r="D1874" s="2" t="n">
        <v>1</v>
      </c>
      <c r="E1874" s="15" t="n">
        <v>0.746527777777778</v>
      </c>
      <c r="F1874" s="7" t="n">
        <v>18000</v>
      </c>
      <c r="G1874" s="7" t="n">
        <f aca="false">D1874*F1874</f>
        <v>18000</v>
      </c>
      <c r="H1874" s="2" t="str">
        <f aca="false">INDEX(Daftar_Menu!$B$2:$B$13,MATCH(C1874,Daftar_Menu!$A$2:$A$13,0))</f>
        <v>Makanan</v>
      </c>
      <c r="I1874" s="2" t="str">
        <f aca="false">CHOOSE(WEEKDAY(B1874,2),"Senin","Selasa","Rabu","Kamis","Jumat","Sabtu","Minggu")</f>
        <v>Kamis</v>
      </c>
      <c r="J1874" s="2" t="n">
        <f aca="false">HOUR(E1874)</f>
        <v>17</v>
      </c>
      <c r="K1874" s="2" t="str">
        <f aca="false">IF(J1874&lt;11,"Pagi",IF(J1874&lt;17,"Siang","Malam"))</f>
        <v>Malam</v>
      </c>
      <c r="L1874" s="2" t="n">
        <f aca="false">IF(A1874&lt;&gt;A1873,1,0)</f>
        <v>0</v>
      </c>
    </row>
    <row r="1875" customFormat="false" ht="15" hidden="false" customHeight="false" outlineLevel="0" collapsed="false">
      <c r="A1875" s="2" t="s">
        <v>1794</v>
      </c>
      <c r="B1875" s="13" t="n">
        <v>46289</v>
      </c>
      <c r="C1875" s="2" t="s">
        <v>84</v>
      </c>
      <c r="D1875" s="2" t="n">
        <v>1</v>
      </c>
      <c r="E1875" s="15" t="n">
        <v>0.746527777777778</v>
      </c>
      <c r="F1875" s="7" t="n">
        <v>5000</v>
      </c>
      <c r="G1875" s="7" t="n">
        <f aca="false">D1875*F1875</f>
        <v>5000</v>
      </c>
      <c r="H1875" s="2" t="str">
        <f aca="false">INDEX(Daftar_Menu!$B$2:$B$13,MATCH(C1875,Daftar_Menu!$A$2:$A$13,0))</f>
        <v>Minuman</v>
      </c>
      <c r="I1875" s="2" t="str">
        <f aca="false">CHOOSE(WEEKDAY(B1875,2),"Senin","Selasa","Rabu","Kamis","Jumat","Sabtu","Minggu")</f>
        <v>Kamis</v>
      </c>
      <c r="J1875" s="2" t="n">
        <f aca="false">HOUR(E1875)</f>
        <v>17</v>
      </c>
      <c r="K1875" s="2" t="str">
        <f aca="false">IF(J1875&lt;11,"Pagi",IF(J1875&lt;17,"Siang","Malam"))</f>
        <v>Malam</v>
      </c>
      <c r="L1875" s="2" t="n">
        <f aca="false">IF(A1875&lt;&gt;A1874,1,0)</f>
        <v>0</v>
      </c>
    </row>
    <row r="1876" customFormat="false" ht="15" hidden="false" customHeight="false" outlineLevel="0" collapsed="false">
      <c r="A1876" s="2" t="s">
        <v>1795</v>
      </c>
      <c r="B1876" s="13" t="n">
        <v>46289</v>
      </c>
      <c r="C1876" s="2" t="s">
        <v>89</v>
      </c>
      <c r="D1876" s="2" t="n">
        <v>2</v>
      </c>
      <c r="E1876" s="15" t="n">
        <v>0.747222222222222</v>
      </c>
      <c r="F1876" s="7" t="n">
        <v>14000</v>
      </c>
      <c r="G1876" s="7" t="n">
        <f aca="false">D1876*F1876</f>
        <v>28000</v>
      </c>
      <c r="H1876" s="2" t="str">
        <f aca="false">INDEX(Daftar_Menu!$B$2:$B$13,MATCH(C1876,Daftar_Menu!$A$2:$A$13,0))</f>
        <v>Makanan</v>
      </c>
      <c r="I1876" s="2" t="str">
        <f aca="false">CHOOSE(WEEKDAY(B1876,2),"Senin","Selasa","Rabu","Kamis","Jumat","Sabtu","Minggu")</f>
        <v>Kamis</v>
      </c>
      <c r="J1876" s="2" t="n">
        <f aca="false">HOUR(E1876)</f>
        <v>17</v>
      </c>
      <c r="K1876" s="2" t="str">
        <f aca="false">IF(J1876&lt;11,"Pagi",IF(J1876&lt;17,"Siang","Malam"))</f>
        <v>Malam</v>
      </c>
      <c r="L1876" s="2" t="n">
        <f aca="false">IF(A1876&lt;&gt;A1875,1,0)</f>
        <v>1</v>
      </c>
    </row>
    <row r="1877" customFormat="false" ht="15" hidden="false" customHeight="false" outlineLevel="0" collapsed="false">
      <c r="A1877" s="2" t="s">
        <v>1795</v>
      </c>
      <c r="B1877" s="13" t="n">
        <v>46289</v>
      </c>
      <c r="C1877" s="2" t="s">
        <v>101</v>
      </c>
      <c r="D1877" s="2" t="n">
        <v>1</v>
      </c>
      <c r="E1877" s="15" t="n">
        <v>0.747222222222222</v>
      </c>
      <c r="F1877" s="7" t="n">
        <v>18000</v>
      </c>
      <c r="G1877" s="7" t="n">
        <f aca="false">D1877*F1877</f>
        <v>18000</v>
      </c>
      <c r="H1877" s="2" t="str">
        <f aca="false">INDEX(Daftar_Menu!$B$2:$B$13,MATCH(C1877,Daftar_Menu!$A$2:$A$13,0))</f>
        <v>Makanan</v>
      </c>
      <c r="I1877" s="2" t="str">
        <f aca="false">CHOOSE(WEEKDAY(B1877,2),"Senin","Selasa","Rabu","Kamis","Jumat","Sabtu","Minggu")</f>
        <v>Kamis</v>
      </c>
      <c r="J1877" s="2" t="n">
        <f aca="false">HOUR(E1877)</f>
        <v>17</v>
      </c>
      <c r="K1877" s="2" t="str">
        <f aca="false">IF(J1877&lt;11,"Pagi",IF(J1877&lt;17,"Siang","Malam"))</f>
        <v>Malam</v>
      </c>
      <c r="L1877" s="2" t="n">
        <f aca="false">IF(A1877&lt;&gt;A1876,1,0)</f>
        <v>0</v>
      </c>
    </row>
    <row r="1878" customFormat="false" ht="15" hidden="false" customHeight="false" outlineLevel="0" collapsed="false">
      <c r="A1878" s="2" t="s">
        <v>1795</v>
      </c>
      <c r="B1878" s="13" t="n">
        <v>46289</v>
      </c>
      <c r="C1878" s="2" t="s">
        <v>112</v>
      </c>
      <c r="D1878" s="2" t="n">
        <v>2</v>
      </c>
      <c r="E1878" s="15" t="n">
        <v>0.747222222222222</v>
      </c>
      <c r="F1878" s="7" t="n">
        <v>10000</v>
      </c>
      <c r="G1878" s="7" t="n">
        <f aca="false">D1878*F1878</f>
        <v>20000</v>
      </c>
      <c r="H1878" s="2" t="str">
        <f aca="false">INDEX(Daftar_Menu!$B$2:$B$13,MATCH(C1878,Daftar_Menu!$A$2:$A$13,0))</f>
        <v>Minuman</v>
      </c>
      <c r="I1878" s="2" t="str">
        <f aca="false">CHOOSE(WEEKDAY(B1878,2),"Senin","Selasa","Rabu","Kamis","Jumat","Sabtu","Minggu")</f>
        <v>Kamis</v>
      </c>
      <c r="J1878" s="2" t="n">
        <f aca="false">HOUR(E1878)</f>
        <v>17</v>
      </c>
      <c r="K1878" s="2" t="str">
        <f aca="false">IF(J1878&lt;11,"Pagi",IF(J1878&lt;17,"Siang","Malam"))</f>
        <v>Malam</v>
      </c>
      <c r="L1878" s="2" t="n">
        <f aca="false">IF(A1878&lt;&gt;A1877,1,0)</f>
        <v>0</v>
      </c>
    </row>
    <row r="1879" customFormat="false" ht="15" hidden="false" customHeight="false" outlineLevel="0" collapsed="false">
      <c r="A1879" s="2" t="s">
        <v>1796</v>
      </c>
      <c r="B1879" s="13" t="n">
        <v>46289</v>
      </c>
      <c r="C1879" s="2" t="s">
        <v>132</v>
      </c>
      <c r="D1879" s="2" t="n">
        <v>1</v>
      </c>
      <c r="E1879" s="15" t="n">
        <v>0.772222222222222</v>
      </c>
      <c r="F1879" s="7" t="n">
        <v>15000</v>
      </c>
      <c r="G1879" s="7" t="n">
        <f aca="false">D1879*F1879</f>
        <v>15000</v>
      </c>
      <c r="H1879" s="2" t="str">
        <f aca="false">INDEX(Daftar_Menu!$B$2:$B$13,MATCH(C1879,Daftar_Menu!$A$2:$A$13,0))</f>
        <v>Makanan</v>
      </c>
      <c r="I1879" s="2" t="str">
        <f aca="false">CHOOSE(WEEKDAY(B1879,2),"Senin","Selasa","Rabu","Kamis","Jumat","Sabtu","Minggu")</f>
        <v>Kamis</v>
      </c>
      <c r="J1879" s="2" t="n">
        <f aca="false">HOUR(E1879)</f>
        <v>18</v>
      </c>
      <c r="K1879" s="2" t="str">
        <f aca="false">IF(J1879&lt;11,"Pagi",IF(J1879&lt;17,"Siang","Malam"))</f>
        <v>Malam</v>
      </c>
      <c r="L1879" s="2" t="n">
        <f aca="false">IF(A1879&lt;&gt;A1878,1,0)</f>
        <v>1</v>
      </c>
    </row>
    <row r="1880" customFormat="false" ht="15" hidden="false" customHeight="false" outlineLevel="0" collapsed="false">
      <c r="A1880" s="2" t="s">
        <v>1796</v>
      </c>
      <c r="B1880" s="13" t="n">
        <v>46289</v>
      </c>
      <c r="C1880" s="2" t="s">
        <v>186</v>
      </c>
      <c r="D1880" s="2" t="n">
        <v>1</v>
      </c>
      <c r="E1880" s="15" t="n">
        <v>0.772222222222222</v>
      </c>
      <c r="F1880" s="7" t="n">
        <v>7000</v>
      </c>
      <c r="G1880" s="7" t="n">
        <f aca="false">D1880*F1880</f>
        <v>7000</v>
      </c>
      <c r="H1880" s="2" t="str">
        <f aca="false">INDEX(Daftar_Menu!$B$2:$B$13,MATCH(C1880,Daftar_Menu!$A$2:$A$13,0))</f>
        <v>Minuman</v>
      </c>
      <c r="I1880" s="2" t="str">
        <f aca="false">CHOOSE(WEEKDAY(B1880,2),"Senin","Selasa","Rabu","Kamis","Jumat","Sabtu","Minggu")</f>
        <v>Kamis</v>
      </c>
      <c r="J1880" s="2" t="n">
        <f aca="false">HOUR(E1880)</f>
        <v>18</v>
      </c>
      <c r="K1880" s="2" t="str">
        <f aca="false">IF(J1880&lt;11,"Pagi",IF(J1880&lt;17,"Siang","Malam"))</f>
        <v>Malam</v>
      </c>
      <c r="L1880" s="2" t="n">
        <f aca="false">IF(A1880&lt;&gt;A1879,1,0)</f>
        <v>0</v>
      </c>
    </row>
    <row r="1881" customFormat="false" ht="15" hidden="false" customHeight="false" outlineLevel="0" collapsed="false">
      <c r="A1881" s="2" t="s">
        <v>1798</v>
      </c>
      <c r="B1881" s="13" t="n">
        <v>46289</v>
      </c>
      <c r="C1881" s="2" t="s">
        <v>89</v>
      </c>
      <c r="D1881" s="2" t="n">
        <v>1</v>
      </c>
      <c r="E1881" s="15" t="n">
        <v>0.772916666666667</v>
      </c>
      <c r="F1881" s="7" t="n">
        <v>14000</v>
      </c>
      <c r="G1881" s="7" t="n">
        <f aca="false">D1881*F1881</f>
        <v>14000</v>
      </c>
      <c r="H1881" s="2" t="str">
        <f aca="false">INDEX(Daftar_Menu!$B$2:$B$13,MATCH(C1881,Daftar_Menu!$A$2:$A$13,0))</f>
        <v>Makanan</v>
      </c>
      <c r="I1881" s="2" t="str">
        <f aca="false">CHOOSE(WEEKDAY(B1881,2),"Senin","Selasa","Rabu","Kamis","Jumat","Sabtu","Minggu")</f>
        <v>Kamis</v>
      </c>
      <c r="J1881" s="2" t="n">
        <f aca="false">HOUR(E1881)</f>
        <v>18</v>
      </c>
      <c r="K1881" s="2" t="str">
        <f aca="false">IF(J1881&lt;11,"Pagi",IF(J1881&lt;17,"Siang","Malam"))</f>
        <v>Malam</v>
      </c>
      <c r="L1881" s="2" t="n">
        <f aca="false">IF(A1881&lt;&gt;A1880,1,0)</f>
        <v>1</v>
      </c>
    </row>
    <row r="1882" customFormat="false" ht="15" hidden="false" customHeight="false" outlineLevel="0" collapsed="false">
      <c r="A1882" s="2" t="s">
        <v>1799</v>
      </c>
      <c r="B1882" s="13" t="n">
        <v>46289</v>
      </c>
      <c r="C1882" s="2" t="s">
        <v>101</v>
      </c>
      <c r="D1882" s="2" t="n">
        <v>1</v>
      </c>
      <c r="E1882" s="15" t="n">
        <v>0.792361111111111</v>
      </c>
      <c r="F1882" s="7" t="n">
        <v>18000</v>
      </c>
      <c r="G1882" s="7" t="n">
        <f aca="false">D1882*F1882</f>
        <v>18000</v>
      </c>
      <c r="H1882" s="2" t="str">
        <f aca="false">INDEX(Daftar_Menu!$B$2:$B$13,MATCH(C1882,Daftar_Menu!$A$2:$A$13,0))</f>
        <v>Makanan</v>
      </c>
      <c r="I1882" s="2" t="str">
        <f aca="false">CHOOSE(WEEKDAY(B1882,2),"Senin","Selasa","Rabu","Kamis","Jumat","Sabtu","Minggu")</f>
        <v>Kamis</v>
      </c>
      <c r="J1882" s="2" t="n">
        <f aca="false">HOUR(E1882)</f>
        <v>19</v>
      </c>
      <c r="K1882" s="2" t="str">
        <f aca="false">IF(J1882&lt;11,"Pagi",IF(J1882&lt;17,"Siang","Malam"))</f>
        <v>Malam</v>
      </c>
      <c r="L1882" s="2" t="n">
        <f aca="false">IF(A1882&lt;&gt;A1881,1,0)</f>
        <v>1</v>
      </c>
    </row>
    <row r="1883" customFormat="false" ht="15" hidden="false" customHeight="false" outlineLevel="0" collapsed="false">
      <c r="A1883" s="2" t="s">
        <v>1799</v>
      </c>
      <c r="B1883" s="13" t="n">
        <v>46289</v>
      </c>
      <c r="C1883" s="2" t="s">
        <v>186</v>
      </c>
      <c r="D1883" s="2" t="n">
        <v>1</v>
      </c>
      <c r="E1883" s="15" t="n">
        <v>0.792361111111111</v>
      </c>
      <c r="F1883" s="7" t="n">
        <v>7000</v>
      </c>
      <c r="G1883" s="7" t="n">
        <f aca="false">D1883*F1883</f>
        <v>7000</v>
      </c>
      <c r="H1883" s="2" t="str">
        <f aca="false">INDEX(Daftar_Menu!$B$2:$B$13,MATCH(C1883,Daftar_Menu!$A$2:$A$13,0))</f>
        <v>Minuman</v>
      </c>
      <c r="I1883" s="2" t="str">
        <f aca="false">CHOOSE(WEEKDAY(B1883,2),"Senin","Selasa","Rabu","Kamis","Jumat","Sabtu","Minggu")</f>
        <v>Kamis</v>
      </c>
      <c r="J1883" s="2" t="n">
        <f aca="false">HOUR(E1883)</f>
        <v>19</v>
      </c>
      <c r="K1883" s="2" t="str">
        <f aca="false">IF(J1883&lt;11,"Pagi",IF(J1883&lt;17,"Siang","Malam"))</f>
        <v>Malam</v>
      </c>
      <c r="L1883" s="2" t="n">
        <f aca="false">IF(A1883&lt;&gt;A1882,1,0)</f>
        <v>0</v>
      </c>
    </row>
    <row r="1884" customFormat="false" ht="15" hidden="false" customHeight="false" outlineLevel="0" collapsed="false">
      <c r="A1884" s="2" t="s">
        <v>1800</v>
      </c>
      <c r="B1884" s="13" t="n">
        <v>46289</v>
      </c>
      <c r="C1884" s="2" t="s">
        <v>79</v>
      </c>
      <c r="D1884" s="2" t="n">
        <v>1</v>
      </c>
      <c r="E1884" s="15" t="n">
        <v>0.808333333333333</v>
      </c>
      <c r="F1884" s="7" t="n">
        <v>16000</v>
      </c>
      <c r="G1884" s="7" t="n">
        <f aca="false">D1884*F1884</f>
        <v>16000</v>
      </c>
      <c r="H1884" s="2" t="str">
        <f aca="false">INDEX(Daftar_Menu!$B$2:$B$13,MATCH(C1884,Daftar_Menu!$A$2:$A$13,0))</f>
        <v>Makanan</v>
      </c>
      <c r="I1884" s="2" t="str">
        <f aca="false">CHOOSE(WEEKDAY(B1884,2),"Senin","Selasa","Rabu","Kamis","Jumat","Sabtu","Minggu")</f>
        <v>Kamis</v>
      </c>
      <c r="J1884" s="2" t="n">
        <f aca="false">HOUR(E1884)</f>
        <v>19</v>
      </c>
      <c r="K1884" s="2" t="str">
        <f aca="false">IF(J1884&lt;11,"Pagi",IF(J1884&lt;17,"Siang","Malam"))</f>
        <v>Malam</v>
      </c>
      <c r="L1884" s="2" t="n">
        <f aca="false">IF(A1884&lt;&gt;A1883,1,0)</f>
        <v>1</v>
      </c>
    </row>
    <row r="1885" customFormat="false" ht="15" hidden="false" customHeight="false" outlineLevel="0" collapsed="false">
      <c r="A1885" s="2" t="s">
        <v>1800</v>
      </c>
      <c r="B1885" s="13" t="n">
        <v>46289</v>
      </c>
      <c r="C1885" s="2" t="s">
        <v>186</v>
      </c>
      <c r="D1885" s="2" t="n">
        <v>1</v>
      </c>
      <c r="E1885" s="15" t="n">
        <v>0.808333333333333</v>
      </c>
      <c r="F1885" s="7" t="n">
        <v>7000</v>
      </c>
      <c r="G1885" s="7" t="n">
        <f aca="false">D1885*F1885</f>
        <v>7000</v>
      </c>
      <c r="H1885" s="2" t="str">
        <f aca="false">INDEX(Daftar_Menu!$B$2:$B$13,MATCH(C1885,Daftar_Menu!$A$2:$A$13,0))</f>
        <v>Minuman</v>
      </c>
      <c r="I1885" s="2" t="str">
        <f aca="false">CHOOSE(WEEKDAY(B1885,2),"Senin","Selasa","Rabu","Kamis","Jumat","Sabtu","Minggu")</f>
        <v>Kamis</v>
      </c>
      <c r="J1885" s="2" t="n">
        <f aca="false">HOUR(E1885)</f>
        <v>19</v>
      </c>
      <c r="K1885" s="2" t="str">
        <f aca="false">IF(J1885&lt;11,"Pagi",IF(J1885&lt;17,"Siang","Malam"))</f>
        <v>Malam</v>
      </c>
      <c r="L1885" s="2" t="n">
        <f aca="false">IF(A1885&lt;&gt;A1884,1,0)</f>
        <v>0</v>
      </c>
    </row>
    <row r="1886" customFormat="false" ht="15" hidden="false" customHeight="false" outlineLevel="0" collapsed="false">
      <c r="A1886" s="2" t="s">
        <v>1801</v>
      </c>
      <c r="B1886" s="13" t="n">
        <v>46289</v>
      </c>
      <c r="C1886" s="2" t="s">
        <v>132</v>
      </c>
      <c r="D1886" s="2" t="n">
        <v>1</v>
      </c>
      <c r="E1886" s="15" t="n">
        <v>0.810416666666667</v>
      </c>
      <c r="F1886" s="7" t="n">
        <v>15000</v>
      </c>
      <c r="G1886" s="7" t="n">
        <f aca="false">D1886*F1886</f>
        <v>15000</v>
      </c>
      <c r="H1886" s="2" t="str">
        <f aca="false">INDEX(Daftar_Menu!$B$2:$B$13,MATCH(C1886,Daftar_Menu!$A$2:$A$13,0))</f>
        <v>Makanan</v>
      </c>
      <c r="I1886" s="2" t="str">
        <f aca="false">CHOOSE(WEEKDAY(B1886,2),"Senin","Selasa","Rabu","Kamis","Jumat","Sabtu","Minggu")</f>
        <v>Kamis</v>
      </c>
      <c r="J1886" s="2" t="n">
        <f aca="false">HOUR(E1886)</f>
        <v>19</v>
      </c>
      <c r="K1886" s="2" t="str">
        <f aca="false">IF(J1886&lt;11,"Pagi",IF(J1886&lt;17,"Siang","Malam"))</f>
        <v>Malam</v>
      </c>
      <c r="L1886" s="2" t="n">
        <f aca="false">IF(A1886&lt;&gt;A1885,1,0)</f>
        <v>1</v>
      </c>
    </row>
    <row r="1887" customFormat="false" ht="15" hidden="false" customHeight="false" outlineLevel="0" collapsed="false">
      <c r="A1887" s="2" t="s">
        <v>1801</v>
      </c>
      <c r="B1887" s="13" t="n">
        <v>46289</v>
      </c>
      <c r="C1887" s="2" t="s">
        <v>84</v>
      </c>
      <c r="D1887" s="2" t="n">
        <v>1</v>
      </c>
      <c r="E1887" s="15" t="n">
        <v>0.810416666666667</v>
      </c>
      <c r="F1887" s="7" t="n">
        <v>5000</v>
      </c>
      <c r="G1887" s="7" t="n">
        <f aca="false">D1887*F1887</f>
        <v>5000</v>
      </c>
      <c r="H1887" s="2" t="str">
        <f aca="false">INDEX(Daftar_Menu!$B$2:$B$13,MATCH(C1887,Daftar_Menu!$A$2:$A$13,0))</f>
        <v>Minuman</v>
      </c>
      <c r="I1887" s="2" t="str">
        <f aca="false">CHOOSE(WEEKDAY(B1887,2),"Senin","Selasa","Rabu","Kamis","Jumat","Sabtu","Minggu")</f>
        <v>Kamis</v>
      </c>
      <c r="J1887" s="2" t="n">
        <f aca="false">HOUR(E1887)</f>
        <v>19</v>
      </c>
      <c r="K1887" s="2" t="str">
        <f aca="false">IF(J1887&lt;11,"Pagi",IF(J1887&lt;17,"Siang","Malam"))</f>
        <v>Malam</v>
      </c>
      <c r="L1887" s="2" t="n">
        <f aca="false">IF(A1887&lt;&gt;A1886,1,0)</f>
        <v>0</v>
      </c>
    </row>
    <row r="1888" customFormat="false" ht="15" hidden="false" customHeight="false" outlineLevel="0" collapsed="false">
      <c r="A1888" s="2" t="s">
        <v>1802</v>
      </c>
      <c r="B1888" s="13" t="n">
        <v>46289</v>
      </c>
      <c r="C1888" s="2" t="s">
        <v>84</v>
      </c>
      <c r="D1888" s="2" t="n">
        <v>1</v>
      </c>
      <c r="E1888" s="15" t="n">
        <v>0.811111111111111</v>
      </c>
      <c r="F1888" s="7" t="n">
        <v>5000</v>
      </c>
      <c r="G1888" s="7" t="n">
        <f aca="false">D1888*F1888</f>
        <v>5000</v>
      </c>
      <c r="H1888" s="2" t="str">
        <f aca="false">INDEX(Daftar_Menu!$B$2:$B$13,MATCH(C1888,Daftar_Menu!$A$2:$A$13,0))</f>
        <v>Minuman</v>
      </c>
      <c r="I1888" s="2" t="str">
        <f aca="false">CHOOSE(WEEKDAY(B1888,2),"Senin","Selasa","Rabu","Kamis","Jumat","Sabtu","Minggu")</f>
        <v>Kamis</v>
      </c>
      <c r="J1888" s="2" t="n">
        <f aca="false">HOUR(E1888)</f>
        <v>19</v>
      </c>
      <c r="K1888" s="2" t="str">
        <f aca="false">IF(J1888&lt;11,"Pagi",IF(J1888&lt;17,"Siang","Malam"))</f>
        <v>Malam</v>
      </c>
      <c r="L1888" s="2" t="n">
        <f aca="false">IF(A1888&lt;&gt;A1887,1,0)</f>
        <v>1</v>
      </c>
    </row>
    <row r="1889" customFormat="false" ht="15" hidden="false" customHeight="false" outlineLevel="0" collapsed="false">
      <c r="A1889" s="2" t="s">
        <v>1803</v>
      </c>
      <c r="B1889" s="13" t="n">
        <v>46289</v>
      </c>
      <c r="C1889" s="2" t="s">
        <v>186</v>
      </c>
      <c r="D1889" s="2" t="n">
        <v>1</v>
      </c>
      <c r="E1889" s="15" t="n">
        <v>0.816666666666667</v>
      </c>
      <c r="F1889" s="7" t="n">
        <v>7000</v>
      </c>
      <c r="G1889" s="7" t="n">
        <f aca="false">D1889*F1889</f>
        <v>7000</v>
      </c>
      <c r="H1889" s="2" t="str">
        <f aca="false">INDEX(Daftar_Menu!$B$2:$B$13,MATCH(C1889,Daftar_Menu!$A$2:$A$13,0))</f>
        <v>Minuman</v>
      </c>
      <c r="I1889" s="2" t="str">
        <f aca="false">CHOOSE(WEEKDAY(B1889,2),"Senin","Selasa","Rabu","Kamis","Jumat","Sabtu","Minggu")</f>
        <v>Kamis</v>
      </c>
      <c r="J1889" s="2" t="n">
        <f aca="false">HOUR(E1889)</f>
        <v>19</v>
      </c>
      <c r="K1889" s="2" t="str">
        <f aca="false">IF(J1889&lt;11,"Pagi",IF(J1889&lt;17,"Siang","Malam"))</f>
        <v>Malam</v>
      </c>
      <c r="L1889" s="2" t="n">
        <f aca="false">IF(A1889&lt;&gt;A1888,1,0)</f>
        <v>1</v>
      </c>
    </row>
    <row r="1890" customFormat="false" ht="15" hidden="false" customHeight="false" outlineLevel="0" collapsed="false">
      <c r="A1890" s="2" t="s">
        <v>1803</v>
      </c>
      <c r="B1890" s="13" t="n">
        <v>46289</v>
      </c>
      <c r="C1890" s="2" t="s">
        <v>101</v>
      </c>
      <c r="D1890" s="2" t="n">
        <v>1</v>
      </c>
      <c r="E1890" s="15" t="n">
        <v>0.816666666666667</v>
      </c>
      <c r="F1890" s="7" t="n">
        <v>18000</v>
      </c>
      <c r="G1890" s="7" t="n">
        <f aca="false">D1890*F1890</f>
        <v>18000</v>
      </c>
      <c r="H1890" s="2" t="str">
        <f aca="false">INDEX(Daftar_Menu!$B$2:$B$13,MATCH(C1890,Daftar_Menu!$A$2:$A$13,0))</f>
        <v>Makanan</v>
      </c>
      <c r="I1890" s="2" t="str">
        <f aca="false">CHOOSE(WEEKDAY(B1890,2),"Senin","Selasa","Rabu","Kamis","Jumat","Sabtu","Minggu")</f>
        <v>Kamis</v>
      </c>
      <c r="J1890" s="2" t="n">
        <f aca="false">HOUR(E1890)</f>
        <v>19</v>
      </c>
      <c r="K1890" s="2" t="str">
        <f aca="false">IF(J1890&lt;11,"Pagi",IF(J1890&lt;17,"Siang","Malam"))</f>
        <v>Malam</v>
      </c>
      <c r="L1890" s="2" t="n">
        <f aca="false">IF(A1890&lt;&gt;A1889,1,0)</f>
        <v>0</v>
      </c>
    </row>
    <row r="1891" customFormat="false" ht="15" hidden="false" customHeight="false" outlineLevel="0" collapsed="false">
      <c r="A1891" s="2" t="s">
        <v>1804</v>
      </c>
      <c r="B1891" s="13" t="n">
        <v>46289</v>
      </c>
      <c r="C1891" s="2" t="s">
        <v>186</v>
      </c>
      <c r="D1891" s="2" t="n">
        <v>2</v>
      </c>
      <c r="E1891" s="15" t="n">
        <v>0.822916666666667</v>
      </c>
      <c r="F1891" s="7" t="n">
        <v>7000</v>
      </c>
      <c r="G1891" s="7" t="n">
        <f aca="false">D1891*F1891</f>
        <v>14000</v>
      </c>
      <c r="H1891" s="2" t="str">
        <f aca="false">INDEX(Daftar_Menu!$B$2:$B$13,MATCH(C1891,Daftar_Menu!$A$2:$A$13,0))</f>
        <v>Minuman</v>
      </c>
      <c r="I1891" s="2" t="str">
        <f aca="false">CHOOSE(WEEKDAY(B1891,2),"Senin","Selasa","Rabu","Kamis","Jumat","Sabtu","Minggu")</f>
        <v>Kamis</v>
      </c>
      <c r="J1891" s="2" t="n">
        <f aca="false">HOUR(E1891)</f>
        <v>19</v>
      </c>
      <c r="K1891" s="2" t="str">
        <f aca="false">IF(J1891&lt;11,"Pagi",IF(J1891&lt;17,"Siang","Malam"))</f>
        <v>Malam</v>
      </c>
      <c r="L1891" s="2" t="n">
        <f aca="false">IF(A1891&lt;&gt;A1890,1,0)</f>
        <v>1</v>
      </c>
    </row>
    <row r="1892" customFormat="false" ht="15" hidden="false" customHeight="false" outlineLevel="0" collapsed="false">
      <c r="A1892" s="2" t="s">
        <v>1805</v>
      </c>
      <c r="B1892" s="13" t="n">
        <v>46289</v>
      </c>
      <c r="C1892" s="2" t="s">
        <v>108</v>
      </c>
      <c r="D1892" s="2" t="n">
        <v>1</v>
      </c>
      <c r="E1892" s="15" t="n">
        <v>0.825</v>
      </c>
      <c r="F1892" s="7" t="n">
        <v>20000</v>
      </c>
      <c r="G1892" s="7" t="n">
        <f aca="false">D1892*F1892</f>
        <v>20000</v>
      </c>
      <c r="H1892" s="2" t="str">
        <f aca="false">INDEX(Daftar_Menu!$B$2:$B$13,MATCH(C1892,Daftar_Menu!$A$2:$A$13,0))</f>
        <v>Makanan</v>
      </c>
      <c r="I1892" s="2" t="str">
        <f aca="false">CHOOSE(WEEKDAY(B1892,2),"Senin","Selasa","Rabu","Kamis","Jumat","Sabtu","Minggu")</f>
        <v>Kamis</v>
      </c>
      <c r="J1892" s="2" t="n">
        <f aca="false">HOUR(E1892)</f>
        <v>19</v>
      </c>
      <c r="K1892" s="2" t="str">
        <f aca="false">IF(J1892&lt;11,"Pagi",IF(J1892&lt;17,"Siang","Malam"))</f>
        <v>Malam</v>
      </c>
      <c r="L1892" s="2" t="n">
        <f aca="false">IF(A1892&lt;&gt;A1891,1,0)</f>
        <v>1</v>
      </c>
    </row>
    <row r="1893" customFormat="false" ht="15" hidden="false" customHeight="false" outlineLevel="0" collapsed="false">
      <c r="A1893" s="2" t="s">
        <v>1805</v>
      </c>
      <c r="B1893" s="13" t="n">
        <v>46289</v>
      </c>
      <c r="C1893" s="2" t="s">
        <v>84</v>
      </c>
      <c r="D1893" s="2" t="n">
        <v>1</v>
      </c>
      <c r="E1893" s="15" t="n">
        <v>0.825</v>
      </c>
      <c r="F1893" s="7" t="n">
        <v>5000</v>
      </c>
      <c r="G1893" s="7" t="n">
        <f aca="false">D1893*F1893</f>
        <v>5000</v>
      </c>
      <c r="H1893" s="2" t="str">
        <f aca="false">INDEX(Daftar_Menu!$B$2:$B$13,MATCH(C1893,Daftar_Menu!$A$2:$A$13,0))</f>
        <v>Minuman</v>
      </c>
      <c r="I1893" s="2" t="str">
        <f aca="false">CHOOSE(WEEKDAY(B1893,2),"Senin","Selasa","Rabu","Kamis","Jumat","Sabtu","Minggu")</f>
        <v>Kamis</v>
      </c>
      <c r="J1893" s="2" t="n">
        <f aca="false">HOUR(E1893)</f>
        <v>19</v>
      </c>
      <c r="K1893" s="2" t="str">
        <f aca="false">IF(J1893&lt;11,"Pagi",IF(J1893&lt;17,"Siang","Malam"))</f>
        <v>Malam</v>
      </c>
      <c r="L1893" s="2" t="n">
        <f aca="false">IF(A1893&lt;&gt;A1892,1,0)</f>
        <v>0</v>
      </c>
    </row>
    <row r="1894" customFormat="false" ht="15" hidden="false" customHeight="false" outlineLevel="0" collapsed="false">
      <c r="A1894" s="2" t="s">
        <v>1807</v>
      </c>
      <c r="B1894" s="13" t="n">
        <v>46289</v>
      </c>
      <c r="C1894" s="2" t="s">
        <v>84</v>
      </c>
      <c r="D1894" s="2" t="n">
        <v>1</v>
      </c>
      <c r="E1894" s="15" t="n">
        <v>0.825694444444444</v>
      </c>
      <c r="F1894" s="7" t="n">
        <v>5000</v>
      </c>
      <c r="G1894" s="7" t="n">
        <f aca="false">D1894*F1894</f>
        <v>5000</v>
      </c>
      <c r="H1894" s="2" t="str">
        <f aca="false">INDEX(Daftar_Menu!$B$2:$B$13,MATCH(C1894,Daftar_Menu!$A$2:$A$13,0))</f>
        <v>Minuman</v>
      </c>
      <c r="I1894" s="2" t="str">
        <f aca="false">CHOOSE(WEEKDAY(B1894,2),"Senin","Selasa","Rabu","Kamis","Jumat","Sabtu","Minggu")</f>
        <v>Kamis</v>
      </c>
      <c r="J1894" s="2" t="n">
        <f aca="false">HOUR(E1894)</f>
        <v>19</v>
      </c>
      <c r="K1894" s="2" t="str">
        <f aca="false">IF(J1894&lt;11,"Pagi",IF(J1894&lt;17,"Siang","Malam"))</f>
        <v>Malam</v>
      </c>
      <c r="L1894" s="2" t="n">
        <f aca="false">IF(A1894&lt;&gt;A1893,1,0)</f>
        <v>1</v>
      </c>
    </row>
    <row r="1895" customFormat="false" ht="15" hidden="false" customHeight="false" outlineLevel="0" collapsed="false">
      <c r="A1895" s="2" t="s">
        <v>1807</v>
      </c>
      <c r="B1895" s="13" t="n">
        <v>46289</v>
      </c>
      <c r="C1895" s="2" t="s">
        <v>101</v>
      </c>
      <c r="D1895" s="2" t="n">
        <v>3</v>
      </c>
      <c r="E1895" s="15" t="n">
        <v>0.825694444444444</v>
      </c>
      <c r="F1895" s="7" t="n">
        <v>18000</v>
      </c>
      <c r="G1895" s="7" t="n">
        <f aca="false">D1895*F1895</f>
        <v>54000</v>
      </c>
      <c r="H1895" s="2" t="str">
        <f aca="false">INDEX(Daftar_Menu!$B$2:$B$13,MATCH(C1895,Daftar_Menu!$A$2:$A$13,0))</f>
        <v>Makanan</v>
      </c>
      <c r="I1895" s="2" t="str">
        <f aca="false">CHOOSE(WEEKDAY(B1895,2),"Senin","Selasa","Rabu","Kamis","Jumat","Sabtu","Minggu")</f>
        <v>Kamis</v>
      </c>
      <c r="J1895" s="2" t="n">
        <f aca="false">HOUR(E1895)</f>
        <v>19</v>
      </c>
      <c r="K1895" s="2" t="str">
        <f aca="false">IF(J1895&lt;11,"Pagi",IF(J1895&lt;17,"Siang","Malam"))</f>
        <v>Malam</v>
      </c>
      <c r="L1895" s="2" t="n">
        <f aca="false">IF(A1895&lt;&gt;A1894,1,0)</f>
        <v>0</v>
      </c>
    </row>
    <row r="1896" customFormat="false" ht="15" hidden="false" customHeight="false" outlineLevel="0" collapsed="false">
      <c r="A1896" s="2" t="s">
        <v>1807</v>
      </c>
      <c r="B1896" s="13" t="n">
        <v>46289</v>
      </c>
      <c r="C1896" s="2" t="s">
        <v>132</v>
      </c>
      <c r="D1896" s="2" t="n">
        <v>2</v>
      </c>
      <c r="E1896" s="15" t="n">
        <v>0.825694444444444</v>
      </c>
      <c r="F1896" s="7" t="n">
        <v>15000</v>
      </c>
      <c r="G1896" s="7" t="n">
        <f aca="false">D1896*F1896</f>
        <v>30000</v>
      </c>
      <c r="H1896" s="2" t="str">
        <f aca="false">INDEX(Daftar_Menu!$B$2:$B$13,MATCH(C1896,Daftar_Menu!$A$2:$A$13,0))</f>
        <v>Makanan</v>
      </c>
      <c r="I1896" s="2" t="str">
        <f aca="false">CHOOSE(WEEKDAY(B1896,2),"Senin","Selasa","Rabu","Kamis","Jumat","Sabtu","Minggu")</f>
        <v>Kamis</v>
      </c>
      <c r="J1896" s="2" t="n">
        <f aca="false">HOUR(E1896)</f>
        <v>19</v>
      </c>
      <c r="K1896" s="2" t="str">
        <f aca="false">IF(J1896&lt;11,"Pagi",IF(J1896&lt;17,"Siang","Malam"))</f>
        <v>Malam</v>
      </c>
      <c r="L1896" s="2" t="n">
        <f aca="false">IF(A1896&lt;&gt;A1895,1,0)</f>
        <v>0</v>
      </c>
    </row>
    <row r="1897" customFormat="false" ht="15" hidden="false" customHeight="false" outlineLevel="0" collapsed="false">
      <c r="A1897" s="2" t="s">
        <v>1808</v>
      </c>
      <c r="B1897" s="13" t="n">
        <v>46289</v>
      </c>
      <c r="C1897" s="2" t="s">
        <v>101</v>
      </c>
      <c r="D1897" s="2" t="n">
        <v>1</v>
      </c>
      <c r="E1897" s="15" t="n">
        <v>0.839583333333333</v>
      </c>
      <c r="F1897" s="7" t="n">
        <v>18000</v>
      </c>
      <c r="G1897" s="7" t="n">
        <f aca="false">D1897*F1897</f>
        <v>18000</v>
      </c>
      <c r="H1897" s="2" t="str">
        <f aca="false">INDEX(Daftar_Menu!$B$2:$B$13,MATCH(C1897,Daftar_Menu!$A$2:$A$13,0))</f>
        <v>Makanan</v>
      </c>
      <c r="I1897" s="2" t="str">
        <f aca="false">CHOOSE(WEEKDAY(B1897,2),"Senin","Selasa","Rabu","Kamis","Jumat","Sabtu","Minggu")</f>
        <v>Kamis</v>
      </c>
      <c r="J1897" s="2" t="n">
        <f aca="false">HOUR(E1897)</f>
        <v>20</v>
      </c>
      <c r="K1897" s="2" t="str">
        <f aca="false">IF(J1897&lt;11,"Pagi",IF(J1897&lt;17,"Siang","Malam"))</f>
        <v>Malam</v>
      </c>
      <c r="L1897" s="2" t="n">
        <f aca="false">IF(A1897&lt;&gt;A1896,1,0)</f>
        <v>1</v>
      </c>
    </row>
    <row r="1898" customFormat="false" ht="15" hidden="false" customHeight="false" outlineLevel="0" collapsed="false">
      <c r="A1898" s="2" t="s">
        <v>1808</v>
      </c>
      <c r="B1898" s="13" t="n">
        <v>46289</v>
      </c>
      <c r="C1898" s="2" t="s">
        <v>81</v>
      </c>
      <c r="D1898" s="2" t="n">
        <v>1</v>
      </c>
      <c r="E1898" s="15" t="n">
        <v>0.839583333333333</v>
      </c>
      <c r="F1898" s="7" t="n">
        <v>15000</v>
      </c>
      <c r="G1898" s="7" t="n">
        <f aca="false">D1898*F1898</f>
        <v>15000</v>
      </c>
      <c r="H1898" s="2" t="str">
        <f aca="false">INDEX(Daftar_Menu!$B$2:$B$13,MATCH(C1898,Daftar_Menu!$A$2:$A$13,0))</f>
        <v>Makanan</v>
      </c>
      <c r="I1898" s="2" t="str">
        <f aca="false">CHOOSE(WEEKDAY(B1898,2),"Senin","Selasa","Rabu","Kamis","Jumat","Sabtu","Minggu")</f>
        <v>Kamis</v>
      </c>
      <c r="J1898" s="2" t="n">
        <f aca="false">HOUR(E1898)</f>
        <v>20</v>
      </c>
      <c r="K1898" s="2" t="str">
        <f aca="false">IF(J1898&lt;11,"Pagi",IF(J1898&lt;17,"Siang","Malam"))</f>
        <v>Malam</v>
      </c>
      <c r="L1898" s="2" t="n">
        <f aca="false">IF(A1898&lt;&gt;A1897,1,0)</f>
        <v>0</v>
      </c>
    </row>
    <row r="1899" customFormat="false" ht="15" hidden="false" customHeight="false" outlineLevel="0" collapsed="false">
      <c r="A1899" s="2" t="s">
        <v>1808</v>
      </c>
      <c r="B1899" s="13" t="n">
        <v>46289</v>
      </c>
      <c r="C1899" s="2" t="s">
        <v>186</v>
      </c>
      <c r="D1899" s="2" t="n">
        <v>2</v>
      </c>
      <c r="E1899" s="15" t="n">
        <v>0.839583333333333</v>
      </c>
      <c r="F1899" s="7" t="n">
        <v>7000</v>
      </c>
      <c r="G1899" s="7" t="n">
        <f aca="false">D1899*F1899</f>
        <v>14000</v>
      </c>
      <c r="H1899" s="2" t="str">
        <f aca="false">INDEX(Daftar_Menu!$B$2:$B$13,MATCH(C1899,Daftar_Menu!$A$2:$A$13,0))</f>
        <v>Minuman</v>
      </c>
      <c r="I1899" s="2" t="str">
        <f aca="false">CHOOSE(WEEKDAY(B1899,2),"Senin","Selasa","Rabu","Kamis","Jumat","Sabtu","Minggu")</f>
        <v>Kamis</v>
      </c>
      <c r="J1899" s="2" t="n">
        <f aca="false">HOUR(E1899)</f>
        <v>20</v>
      </c>
      <c r="K1899" s="2" t="str">
        <f aca="false">IF(J1899&lt;11,"Pagi",IF(J1899&lt;17,"Siang","Malam"))</f>
        <v>Malam</v>
      </c>
      <c r="L1899" s="2" t="n">
        <f aca="false">IF(A1899&lt;&gt;A1898,1,0)</f>
        <v>0</v>
      </c>
    </row>
    <row r="1900" customFormat="false" ht="15" hidden="false" customHeight="false" outlineLevel="0" collapsed="false">
      <c r="A1900" s="2" t="s">
        <v>1810</v>
      </c>
      <c r="B1900" s="13" t="n">
        <v>46289</v>
      </c>
      <c r="C1900" s="2" t="s">
        <v>186</v>
      </c>
      <c r="D1900" s="2" t="n">
        <v>1</v>
      </c>
      <c r="E1900" s="15" t="n">
        <v>0.846527777777778</v>
      </c>
      <c r="F1900" s="7" t="n">
        <v>7000</v>
      </c>
      <c r="G1900" s="7" t="n">
        <f aca="false">D1900*F1900</f>
        <v>7000</v>
      </c>
      <c r="H1900" s="2" t="str">
        <f aca="false">INDEX(Daftar_Menu!$B$2:$B$13,MATCH(C1900,Daftar_Menu!$A$2:$A$13,0))</f>
        <v>Minuman</v>
      </c>
      <c r="I1900" s="2" t="str">
        <f aca="false">CHOOSE(WEEKDAY(B1900,2),"Senin","Selasa","Rabu","Kamis","Jumat","Sabtu","Minggu")</f>
        <v>Kamis</v>
      </c>
      <c r="J1900" s="2" t="n">
        <f aca="false">HOUR(E1900)</f>
        <v>20</v>
      </c>
      <c r="K1900" s="2" t="str">
        <f aca="false">IF(J1900&lt;11,"Pagi",IF(J1900&lt;17,"Siang","Malam"))</f>
        <v>Malam</v>
      </c>
      <c r="L1900" s="2" t="n">
        <f aca="false">IF(A1900&lt;&gt;A1899,1,0)</f>
        <v>1</v>
      </c>
    </row>
    <row r="1901" customFormat="false" ht="15" hidden="false" customHeight="false" outlineLevel="0" collapsed="false">
      <c r="A1901" s="2" t="s">
        <v>1811</v>
      </c>
      <c r="B1901" s="13" t="n">
        <v>46289</v>
      </c>
      <c r="C1901" s="2" t="s">
        <v>101</v>
      </c>
      <c r="D1901" s="2" t="n">
        <v>2</v>
      </c>
      <c r="E1901" s="15" t="n">
        <v>0.85625</v>
      </c>
      <c r="F1901" s="7" t="n">
        <v>18000</v>
      </c>
      <c r="G1901" s="7" t="n">
        <f aca="false">D1901*F1901</f>
        <v>36000</v>
      </c>
      <c r="H1901" s="2" t="str">
        <f aca="false">INDEX(Daftar_Menu!$B$2:$B$13,MATCH(C1901,Daftar_Menu!$A$2:$A$13,0))</f>
        <v>Makanan</v>
      </c>
      <c r="I1901" s="2" t="str">
        <f aca="false">CHOOSE(WEEKDAY(B1901,2),"Senin","Selasa","Rabu","Kamis","Jumat","Sabtu","Minggu")</f>
        <v>Kamis</v>
      </c>
      <c r="J1901" s="2" t="n">
        <f aca="false">HOUR(E1901)</f>
        <v>20</v>
      </c>
      <c r="K1901" s="2" t="str">
        <f aca="false">IF(J1901&lt;11,"Pagi",IF(J1901&lt;17,"Siang","Malam"))</f>
        <v>Malam</v>
      </c>
      <c r="L1901" s="2" t="n">
        <f aca="false">IF(A1901&lt;&gt;A1900,1,0)</f>
        <v>1</v>
      </c>
    </row>
    <row r="1902" customFormat="false" ht="15" hidden="false" customHeight="false" outlineLevel="0" collapsed="false">
      <c r="A1902" s="2" t="s">
        <v>1812</v>
      </c>
      <c r="B1902" s="13" t="n">
        <v>46289</v>
      </c>
      <c r="C1902" s="2" t="s">
        <v>84</v>
      </c>
      <c r="D1902" s="2" t="n">
        <v>2</v>
      </c>
      <c r="E1902" s="15" t="n">
        <v>0.85625</v>
      </c>
      <c r="F1902" s="7" t="n">
        <v>5000</v>
      </c>
      <c r="G1902" s="7" t="n">
        <f aca="false">D1902*F1902</f>
        <v>10000</v>
      </c>
      <c r="H1902" s="2" t="str">
        <f aca="false">INDEX(Daftar_Menu!$B$2:$B$13,MATCH(C1902,Daftar_Menu!$A$2:$A$13,0))</f>
        <v>Minuman</v>
      </c>
      <c r="I1902" s="2" t="str">
        <f aca="false">CHOOSE(WEEKDAY(B1902,2),"Senin","Selasa","Rabu","Kamis","Jumat","Sabtu","Minggu")</f>
        <v>Kamis</v>
      </c>
      <c r="J1902" s="2" t="n">
        <f aca="false">HOUR(E1902)</f>
        <v>20</v>
      </c>
      <c r="K1902" s="2" t="str">
        <f aca="false">IF(J1902&lt;11,"Pagi",IF(J1902&lt;17,"Siang","Malam"))</f>
        <v>Malam</v>
      </c>
      <c r="L1902" s="2" t="n">
        <f aca="false">IF(A1902&lt;&gt;A1901,1,0)</f>
        <v>1</v>
      </c>
    </row>
    <row r="1903" customFormat="false" ht="15" hidden="false" customHeight="false" outlineLevel="0" collapsed="false">
      <c r="A1903" s="2" t="s">
        <v>1813</v>
      </c>
      <c r="B1903" s="13" t="n">
        <v>46289</v>
      </c>
      <c r="C1903" s="2" t="s">
        <v>101</v>
      </c>
      <c r="D1903" s="2" t="n">
        <v>1</v>
      </c>
      <c r="E1903" s="15" t="n">
        <v>0.861111111111111</v>
      </c>
      <c r="F1903" s="7" t="n">
        <v>18000</v>
      </c>
      <c r="G1903" s="7" t="n">
        <f aca="false">D1903*F1903</f>
        <v>18000</v>
      </c>
      <c r="H1903" s="2" t="str">
        <f aca="false">INDEX(Daftar_Menu!$B$2:$B$13,MATCH(C1903,Daftar_Menu!$A$2:$A$13,0))</f>
        <v>Makanan</v>
      </c>
      <c r="I1903" s="2" t="str">
        <f aca="false">CHOOSE(WEEKDAY(B1903,2),"Senin","Selasa","Rabu","Kamis","Jumat","Sabtu","Minggu")</f>
        <v>Kamis</v>
      </c>
      <c r="J1903" s="2" t="n">
        <f aca="false">HOUR(E1903)</f>
        <v>20</v>
      </c>
      <c r="K1903" s="2" t="str">
        <f aca="false">IF(J1903&lt;11,"Pagi",IF(J1903&lt;17,"Siang","Malam"))</f>
        <v>Malam</v>
      </c>
      <c r="L1903" s="2" t="n">
        <f aca="false">IF(A1903&lt;&gt;A1902,1,0)</f>
        <v>1</v>
      </c>
    </row>
    <row r="1904" customFormat="false" ht="15" hidden="false" customHeight="false" outlineLevel="0" collapsed="false">
      <c r="A1904" s="2" t="s">
        <v>1813</v>
      </c>
      <c r="B1904" s="13" t="n">
        <v>46289</v>
      </c>
      <c r="C1904" s="2" t="s">
        <v>79</v>
      </c>
      <c r="D1904" s="2" t="n">
        <v>1</v>
      </c>
      <c r="E1904" s="15" t="n">
        <v>0.861111111111111</v>
      </c>
      <c r="F1904" s="7" t="n">
        <v>16000</v>
      </c>
      <c r="G1904" s="7" t="n">
        <f aca="false">D1904*F1904</f>
        <v>16000</v>
      </c>
      <c r="H1904" s="2" t="str">
        <f aca="false">INDEX(Daftar_Menu!$B$2:$B$13,MATCH(C1904,Daftar_Menu!$A$2:$A$13,0))</f>
        <v>Makanan</v>
      </c>
      <c r="I1904" s="2" t="str">
        <f aca="false">CHOOSE(WEEKDAY(B1904,2),"Senin","Selasa","Rabu","Kamis","Jumat","Sabtu","Minggu")</f>
        <v>Kamis</v>
      </c>
      <c r="J1904" s="2" t="n">
        <f aca="false">HOUR(E1904)</f>
        <v>20</v>
      </c>
      <c r="K1904" s="2" t="str">
        <f aca="false">IF(J1904&lt;11,"Pagi",IF(J1904&lt;17,"Siang","Malam"))</f>
        <v>Malam</v>
      </c>
      <c r="L1904" s="2" t="n">
        <f aca="false">IF(A1904&lt;&gt;A1903,1,0)</f>
        <v>0</v>
      </c>
    </row>
    <row r="1905" customFormat="false" ht="15" hidden="false" customHeight="false" outlineLevel="0" collapsed="false">
      <c r="A1905" s="2" t="s">
        <v>1814</v>
      </c>
      <c r="B1905" s="13" t="n">
        <v>46290</v>
      </c>
      <c r="C1905" s="2" t="s">
        <v>79</v>
      </c>
      <c r="D1905" s="2" t="n">
        <v>1</v>
      </c>
      <c r="E1905" s="15" t="n">
        <v>0.402777777777778</v>
      </c>
      <c r="F1905" s="7" t="n">
        <v>16000</v>
      </c>
      <c r="G1905" s="7" t="n">
        <f aca="false">D1905*F1905</f>
        <v>16000</v>
      </c>
      <c r="H1905" s="2" t="str">
        <f aca="false">INDEX(Daftar_Menu!$B$2:$B$13,MATCH(C1905,Daftar_Menu!$A$2:$A$13,0))</f>
        <v>Makanan</v>
      </c>
      <c r="I1905" s="2" t="str">
        <f aca="false">CHOOSE(WEEKDAY(B1905,2),"Senin","Selasa","Rabu","Kamis","Jumat","Sabtu","Minggu")</f>
        <v>Jumat</v>
      </c>
      <c r="J1905" s="2" t="n">
        <f aca="false">HOUR(E1905)</f>
        <v>9</v>
      </c>
      <c r="K1905" s="2" t="str">
        <f aca="false">IF(J1905&lt;11,"Pagi",IF(J1905&lt;17,"Siang","Malam"))</f>
        <v>Pagi</v>
      </c>
      <c r="L1905" s="2" t="n">
        <f aca="false">IF(A1905&lt;&gt;A1904,1,0)</f>
        <v>1</v>
      </c>
    </row>
    <row r="1906" customFormat="false" ht="15" hidden="false" customHeight="false" outlineLevel="0" collapsed="false">
      <c r="A1906" s="2" t="s">
        <v>1816</v>
      </c>
      <c r="B1906" s="13" t="n">
        <v>46290</v>
      </c>
      <c r="C1906" s="2" t="s">
        <v>101</v>
      </c>
      <c r="D1906" s="2" t="n">
        <v>1</v>
      </c>
      <c r="E1906" s="15" t="n">
        <v>0.40625</v>
      </c>
      <c r="F1906" s="7" t="n">
        <v>18000</v>
      </c>
      <c r="G1906" s="7" t="n">
        <f aca="false">D1906*F1906</f>
        <v>18000</v>
      </c>
      <c r="H1906" s="2" t="str">
        <f aca="false">INDEX(Daftar_Menu!$B$2:$B$13,MATCH(C1906,Daftar_Menu!$A$2:$A$13,0))</f>
        <v>Makanan</v>
      </c>
      <c r="I1906" s="2" t="str">
        <f aca="false">CHOOSE(WEEKDAY(B1906,2),"Senin","Selasa","Rabu","Kamis","Jumat","Sabtu","Minggu")</f>
        <v>Jumat</v>
      </c>
      <c r="J1906" s="2" t="n">
        <f aca="false">HOUR(E1906)</f>
        <v>9</v>
      </c>
      <c r="K1906" s="2" t="str">
        <f aca="false">IF(J1906&lt;11,"Pagi",IF(J1906&lt;17,"Siang","Malam"))</f>
        <v>Pagi</v>
      </c>
      <c r="L1906" s="2" t="n">
        <f aca="false">IF(A1906&lt;&gt;A1905,1,0)</f>
        <v>1</v>
      </c>
    </row>
    <row r="1907" customFormat="false" ht="15" hidden="false" customHeight="false" outlineLevel="0" collapsed="false">
      <c r="A1907" s="2" t="s">
        <v>1816</v>
      </c>
      <c r="B1907" s="13" t="n">
        <v>46290</v>
      </c>
      <c r="C1907" s="2" t="s">
        <v>84</v>
      </c>
      <c r="D1907" s="2" t="n">
        <v>1</v>
      </c>
      <c r="E1907" s="15" t="n">
        <v>0.40625</v>
      </c>
      <c r="F1907" s="7" t="n">
        <v>5000</v>
      </c>
      <c r="G1907" s="7" t="n">
        <f aca="false">D1907*F1907</f>
        <v>5000</v>
      </c>
      <c r="H1907" s="2" t="str">
        <f aca="false">INDEX(Daftar_Menu!$B$2:$B$13,MATCH(C1907,Daftar_Menu!$A$2:$A$13,0))</f>
        <v>Minuman</v>
      </c>
      <c r="I1907" s="2" t="str">
        <f aca="false">CHOOSE(WEEKDAY(B1907,2),"Senin","Selasa","Rabu","Kamis","Jumat","Sabtu","Minggu")</f>
        <v>Jumat</v>
      </c>
      <c r="J1907" s="2" t="n">
        <f aca="false">HOUR(E1907)</f>
        <v>9</v>
      </c>
      <c r="K1907" s="2" t="str">
        <f aca="false">IF(J1907&lt;11,"Pagi",IF(J1907&lt;17,"Siang","Malam"))</f>
        <v>Pagi</v>
      </c>
      <c r="L1907" s="2" t="n">
        <f aca="false">IF(A1907&lt;&gt;A1906,1,0)</f>
        <v>0</v>
      </c>
    </row>
    <row r="1908" customFormat="false" ht="15" hidden="false" customHeight="false" outlineLevel="0" collapsed="false">
      <c r="A1908" s="2" t="s">
        <v>1816</v>
      </c>
      <c r="B1908" s="13" t="n">
        <v>46290</v>
      </c>
      <c r="C1908" s="2" t="s">
        <v>89</v>
      </c>
      <c r="D1908" s="2" t="n">
        <v>1</v>
      </c>
      <c r="E1908" s="15" t="n">
        <v>0.40625</v>
      </c>
      <c r="F1908" s="7" t="n">
        <v>14000</v>
      </c>
      <c r="G1908" s="7" t="n">
        <f aca="false">D1908*F1908</f>
        <v>14000</v>
      </c>
      <c r="H1908" s="2" t="str">
        <f aca="false">INDEX(Daftar_Menu!$B$2:$B$13,MATCH(C1908,Daftar_Menu!$A$2:$A$13,0))</f>
        <v>Makanan</v>
      </c>
      <c r="I1908" s="2" t="str">
        <f aca="false">CHOOSE(WEEKDAY(B1908,2),"Senin","Selasa","Rabu","Kamis","Jumat","Sabtu","Minggu")</f>
        <v>Jumat</v>
      </c>
      <c r="J1908" s="2" t="n">
        <f aca="false">HOUR(E1908)</f>
        <v>9</v>
      </c>
      <c r="K1908" s="2" t="str">
        <f aca="false">IF(J1908&lt;11,"Pagi",IF(J1908&lt;17,"Siang","Malam"))</f>
        <v>Pagi</v>
      </c>
      <c r="L1908" s="2" t="n">
        <f aca="false">IF(A1908&lt;&gt;A1907,1,0)</f>
        <v>0</v>
      </c>
    </row>
    <row r="1909" customFormat="false" ht="15" hidden="false" customHeight="false" outlineLevel="0" collapsed="false">
      <c r="A1909" s="2" t="s">
        <v>1817</v>
      </c>
      <c r="B1909" s="13" t="n">
        <v>46290</v>
      </c>
      <c r="C1909" s="2" t="s">
        <v>81</v>
      </c>
      <c r="D1909" s="2" t="n">
        <v>1</v>
      </c>
      <c r="E1909" s="15" t="n">
        <v>0.432638888888889</v>
      </c>
      <c r="F1909" s="7" t="n">
        <v>15000</v>
      </c>
      <c r="G1909" s="7" t="n">
        <f aca="false">D1909*F1909</f>
        <v>15000</v>
      </c>
      <c r="H1909" s="2" t="str">
        <f aca="false">INDEX(Daftar_Menu!$B$2:$B$13,MATCH(C1909,Daftar_Menu!$A$2:$A$13,0))</f>
        <v>Makanan</v>
      </c>
      <c r="I1909" s="2" t="str">
        <f aca="false">CHOOSE(WEEKDAY(B1909,2),"Senin","Selasa","Rabu","Kamis","Jumat","Sabtu","Minggu")</f>
        <v>Jumat</v>
      </c>
      <c r="J1909" s="2" t="n">
        <f aca="false">HOUR(E1909)</f>
        <v>10</v>
      </c>
      <c r="K1909" s="2" t="str">
        <f aca="false">IF(J1909&lt;11,"Pagi",IF(J1909&lt;17,"Siang","Malam"))</f>
        <v>Pagi</v>
      </c>
      <c r="L1909" s="2" t="n">
        <f aca="false">IF(A1909&lt;&gt;A1908,1,0)</f>
        <v>1</v>
      </c>
    </row>
    <row r="1910" customFormat="false" ht="15" hidden="false" customHeight="false" outlineLevel="0" collapsed="false">
      <c r="A1910" s="2" t="s">
        <v>1819</v>
      </c>
      <c r="B1910" s="13" t="n">
        <v>46290</v>
      </c>
      <c r="C1910" s="2" t="s">
        <v>92</v>
      </c>
      <c r="D1910" s="2" t="n">
        <v>2</v>
      </c>
      <c r="E1910" s="15" t="n">
        <v>0.451388888888889</v>
      </c>
      <c r="F1910" s="7" t="n">
        <v>4000</v>
      </c>
      <c r="G1910" s="7" t="n">
        <f aca="false">D1910*F1910</f>
        <v>8000</v>
      </c>
      <c r="H1910" s="2" t="str">
        <f aca="false">INDEX(Daftar_Menu!$B$2:$B$13,MATCH(C1910,Daftar_Menu!$A$2:$A$13,0))</f>
        <v>Minuman</v>
      </c>
      <c r="I1910" s="2" t="str">
        <f aca="false">CHOOSE(WEEKDAY(B1910,2),"Senin","Selasa","Rabu","Kamis","Jumat","Sabtu","Minggu")</f>
        <v>Jumat</v>
      </c>
      <c r="J1910" s="2" t="n">
        <f aca="false">HOUR(E1910)</f>
        <v>10</v>
      </c>
      <c r="K1910" s="2" t="str">
        <f aca="false">IF(J1910&lt;11,"Pagi",IF(J1910&lt;17,"Siang","Malam"))</f>
        <v>Pagi</v>
      </c>
      <c r="L1910" s="2" t="n">
        <f aca="false">IF(A1910&lt;&gt;A1909,1,0)</f>
        <v>1</v>
      </c>
    </row>
    <row r="1911" customFormat="false" ht="15" hidden="false" customHeight="false" outlineLevel="0" collapsed="false">
      <c r="A1911" s="2" t="s">
        <v>1821</v>
      </c>
      <c r="B1911" s="13" t="n">
        <v>46290</v>
      </c>
      <c r="C1911" s="2" t="s">
        <v>84</v>
      </c>
      <c r="D1911" s="2" t="n">
        <v>1</v>
      </c>
      <c r="E1911" s="15" t="n">
        <v>0.4625</v>
      </c>
      <c r="F1911" s="7" t="n">
        <v>5000</v>
      </c>
      <c r="G1911" s="7" t="n">
        <f aca="false">D1911*F1911</f>
        <v>5000</v>
      </c>
      <c r="H1911" s="2" t="str">
        <f aca="false">INDEX(Daftar_Menu!$B$2:$B$13,MATCH(C1911,Daftar_Menu!$A$2:$A$13,0))</f>
        <v>Minuman</v>
      </c>
      <c r="I1911" s="2" t="str">
        <f aca="false">CHOOSE(WEEKDAY(B1911,2),"Senin","Selasa","Rabu","Kamis","Jumat","Sabtu","Minggu")</f>
        <v>Jumat</v>
      </c>
      <c r="J1911" s="2" t="n">
        <f aca="false">HOUR(E1911)</f>
        <v>11</v>
      </c>
      <c r="K1911" s="2" t="str">
        <f aca="false">IF(J1911&lt;11,"Pagi",IF(J1911&lt;17,"Siang","Malam"))</f>
        <v>Siang</v>
      </c>
      <c r="L1911" s="2" t="n">
        <f aca="false">IF(A1911&lt;&gt;A1910,1,0)</f>
        <v>1</v>
      </c>
    </row>
    <row r="1912" customFormat="false" ht="15" hidden="false" customHeight="false" outlineLevel="0" collapsed="false">
      <c r="A1912" s="2" t="s">
        <v>1822</v>
      </c>
      <c r="B1912" s="13" t="n">
        <v>46290</v>
      </c>
      <c r="C1912" s="2" t="s">
        <v>108</v>
      </c>
      <c r="D1912" s="2" t="n">
        <v>3</v>
      </c>
      <c r="E1912" s="15" t="n">
        <v>0.483333333333333</v>
      </c>
      <c r="F1912" s="7" t="n">
        <v>20000</v>
      </c>
      <c r="G1912" s="7" t="n">
        <f aca="false">D1912*F1912</f>
        <v>60000</v>
      </c>
      <c r="H1912" s="2" t="str">
        <f aca="false">INDEX(Daftar_Menu!$B$2:$B$13,MATCH(C1912,Daftar_Menu!$A$2:$A$13,0))</f>
        <v>Makanan</v>
      </c>
      <c r="I1912" s="2" t="str">
        <f aca="false">CHOOSE(WEEKDAY(B1912,2),"Senin","Selasa","Rabu","Kamis","Jumat","Sabtu","Minggu")</f>
        <v>Jumat</v>
      </c>
      <c r="J1912" s="2" t="n">
        <f aca="false">HOUR(E1912)</f>
        <v>11</v>
      </c>
      <c r="K1912" s="2" t="str">
        <f aca="false">IF(J1912&lt;11,"Pagi",IF(J1912&lt;17,"Siang","Malam"))</f>
        <v>Siang</v>
      </c>
      <c r="L1912" s="2" t="n">
        <f aca="false">IF(A1912&lt;&gt;A1911,1,0)</f>
        <v>1</v>
      </c>
    </row>
    <row r="1913" customFormat="false" ht="15" hidden="false" customHeight="false" outlineLevel="0" collapsed="false">
      <c r="A1913" s="2" t="s">
        <v>1822</v>
      </c>
      <c r="B1913" s="13" t="n">
        <v>46290</v>
      </c>
      <c r="C1913" s="2" t="s">
        <v>132</v>
      </c>
      <c r="D1913" s="2" t="n">
        <v>1</v>
      </c>
      <c r="E1913" s="15" t="n">
        <v>0.483333333333333</v>
      </c>
      <c r="F1913" s="7" t="n">
        <v>15000</v>
      </c>
      <c r="G1913" s="7" t="n">
        <f aca="false">D1913*F1913</f>
        <v>15000</v>
      </c>
      <c r="H1913" s="2" t="str">
        <f aca="false">INDEX(Daftar_Menu!$B$2:$B$13,MATCH(C1913,Daftar_Menu!$A$2:$A$13,0))</f>
        <v>Makanan</v>
      </c>
      <c r="I1913" s="2" t="str">
        <f aca="false">CHOOSE(WEEKDAY(B1913,2),"Senin","Selasa","Rabu","Kamis","Jumat","Sabtu","Minggu")</f>
        <v>Jumat</v>
      </c>
      <c r="J1913" s="2" t="n">
        <f aca="false">HOUR(E1913)</f>
        <v>11</v>
      </c>
      <c r="K1913" s="2" t="str">
        <f aca="false">IF(J1913&lt;11,"Pagi",IF(J1913&lt;17,"Siang","Malam"))</f>
        <v>Siang</v>
      </c>
      <c r="L1913" s="2" t="n">
        <f aca="false">IF(A1913&lt;&gt;A1912,1,0)</f>
        <v>0</v>
      </c>
    </row>
    <row r="1914" customFormat="false" ht="15" hidden="false" customHeight="false" outlineLevel="0" collapsed="false">
      <c r="A1914" s="2" t="s">
        <v>1823</v>
      </c>
      <c r="B1914" s="13" t="n">
        <v>46290</v>
      </c>
      <c r="C1914" s="2" t="s">
        <v>84</v>
      </c>
      <c r="D1914" s="2" t="n">
        <v>1</v>
      </c>
      <c r="E1914" s="15" t="n">
        <v>0.496527777777778</v>
      </c>
      <c r="F1914" s="7" t="n">
        <v>5000</v>
      </c>
      <c r="G1914" s="7" t="n">
        <f aca="false">D1914*F1914</f>
        <v>5000</v>
      </c>
      <c r="H1914" s="2" t="str">
        <f aca="false">INDEX(Daftar_Menu!$B$2:$B$13,MATCH(C1914,Daftar_Menu!$A$2:$A$13,0))</f>
        <v>Minuman</v>
      </c>
      <c r="I1914" s="2" t="str">
        <f aca="false">CHOOSE(WEEKDAY(B1914,2),"Senin","Selasa","Rabu","Kamis","Jumat","Sabtu","Minggu")</f>
        <v>Jumat</v>
      </c>
      <c r="J1914" s="2" t="n">
        <f aca="false">HOUR(E1914)</f>
        <v>11</v>
      </c>
      <c r="K1914" s="2" t="str">
        <f aca="false">IF(J1914&lt;11,"Pagi",IF(J1914&lt;17,"Siang","Malam"))</f>
        <v>Siang</v>
      </c>
      <c r="L1914" s="2" t="n">
        <f aca="false">IF(A1914&lt;&gt;A1913,1,0)</f>
        <v>1</v>
      </c>
    </row>
    <row r="1915" customFormat="false" ht="15" hidden="false" customHeight="false" outlineLevel="0" collapsed="false">
      <c r="A1915" s="2" t="s">
        <v>1823</v>
      </c>
      <c r="B1915" s="13" t="n">
        <v>46290</v>
      </c>
      <c r="C1915" s="2" t="s">
        <v>112</v>
      </c>
      <c r="D1915" s="2" t="n">
        <v>2</v>
      </c>
      <c r="E1915" s="15" t="n">
        <v>0.496527777777778</v>
      </c>
      <c r="F1915" s="7" t="n">
        <v>10000</v>
      </c>
      <c r="G1915" s="7" t="n">
        <f aca="false">D1915*F1915</f>
        <v>20000</v>
      </c>
      <c r="H1915" s="2" t="str">
        <f aca="false">INDEX(Daftar_Menu!$B$2:$B$13,MATCH(C1915,Daftar_Menu!$A$2:$A$13,0))</f>
        <v>Minuman</v>
      </c>
      <c r="I1915" s="2" t="str">
        <f aca="false">CHOOSE(WEEKDAY(B1915,2),"Senin","Selasa","Rabu","Kamis","Jumat","Sabtu","Minggu")</f>
        <v>Jumat</v>
      </c>
      <c r="J1915" s="2" t="n">
        <f aca="false">HOUR(E1915)</f>
        <v>11</v>
      </c>
      <c r="K1915" s="2" t="str">
        <f aca="false">IF(J1915&lt;11,"Pagi",IF(J1915&lt;17,"Siang","Malam"))</f>
        <v>Siang</v>
      </c>
      <c r="L1915" s="2" t="n">
        <f aca="false">IF(A1915&lt;&gt;A1914,1,0)</f>
        <v>0</v>
      </c>
    </row>
    <row r="1916" customFormat="false" ht="15" hidden="false" customHeight="false" outlineLevel="0" collapsed="false">
      <c r="A1916" s="2" t="s">
        <v>1825</v>
      </c>
      <c r="B1916" s="13" t="n">
        <v>46290</v>
      </c>
      <c r="C1916" s="2" t="s">
        <v>84</v>
      </c>
      <c r="D1916" s="2" t="n">
        <v>1</v>
      </c>
      <c r="E1916" s="15" t="n">
        <v>0.5</v>
      </c>
      <c r="F1916" s="7" t="n">
        <v>5000</v>
      </c>
      <c r="G1916" s="7" t="n">
        <f aca="false">D1916*F1916</f>
        <v>5000</v>
      </c>
      <c r="H1916" s="2" t="str">
        <f aca="false">INDEX(Daftar_Menu!$B$2:$B$13,MATCH(C1916,Daftar_Menu!$A$2:$A$13,0))</f>
        <v>Minuman</v>
      </c>
      <c r="I1916" s="2" t="str">
        <f aca="false">CHOOSE(WEEKDAY(B1916,2),"Senin","Selasa","Rabu","Kamis","Jumat","Sabtu","Minggu")</f>
        <v>Jumat</v>
      </c>
      <c r="J1916" s="2" t="n">
        <f aca="false">HOUR(E1916)</f>
        <v>12</v>
      </c>
      <c r="K1916" s="2" t="str">
        <f aca="false">IF(J1916&lt;11,"Pagi",IF(J1916&lt;17,"Siang","Malam"))</f>
        <v>Siang</v>
      </c>
      <c r="L1916" s="2" t="n">
        <f aca="false">IF(A1916&lt;&gt;A1915,1,0)</f>
        <v>1</v>
      </c>
    </row>
    <row r="1917" customFormat="false" ht="15" hidden="false" customHeight="false" outlineLevel="0" collapsed="false">
      <c r="A1917" s="2" t="s">
        <v>1826</v>
      </c>
      <c r="B1917" s="13" t="n">
        <v>46290</v>
      </c>
      <c r="C1917" s="2" t="s">
        <v>79</v>
      </c>
      <c r="D1917" s="2" t="n">
        <v>1</v>
      </c>
      <c r="E1917" s="15" t="n">
        <v>0.501388888888889</v>
      </c>
      <c r="F1917" s="7" t="n">
        <v>16000</v>
      </c>
      <c r="G1917" s="7" t="n">
        <f aca="false">D1917*F1917</f>
        <v>16000</v>
      </c>
      <c r="H1917" s="2" t="str">
        <f aca="false">INDEX(Daftar_Menu!$B$2:$B$13,MATCH(C1917,Daftar_Menu!$A$2:$A$13,0))</f>
        <v>Makanan</v>
      </c>
      <c r="I1917" s="2" t="str">
        <f aca="false">CHOOSE(WEEKDAY(B1917,2),"Senin","Selasa","Rabu","Kamis","Jumat","Sabtu","Minggu")</f>
        <v>Jumat</v>
      </c>
      <c r="J1917" s="2" t="n">
        <f aca="false">HOUR(E1917)</f>
        <v>12</v>
      </c>
      <c r="K1917" s="2" t="str">
        <f aca="false">IF(J1917&lt;11,"Pagi",IF(J1917&lt;17,"Siang","Malam"))</f>
        <v>Siang</v>
      </c>
      <c r="L1917" s="2" t="n">
        <f aca="false">IF(A1917&lt;&gt;A1916,1,0)</f>
        <v>1</v>
      </c>
    </row>
    <row r="1918" customFormat="false" ht="15" hidden="false" customHeight="false" outlineLevel="0" collapsed="false">
      <c r="A1918" s="2" t="s">
        <v>1826</v>
      </c>
      <c r="B1918" s="13" t="n">
        <v>46290</v>
      </c>
      <c r="C1918" s="2" t="s">
        <v>81</v>
      </c>
      <c r="D1918" s="2" t="n">
        <v>1</v>
      </c>
      <c r="E1918" s="15" t="n">
        <v>0.501388888888889</v>
      </c>
      <c r="F1918" s="7" t="n">
        <v>15000</v>
      </c>
      <c r="G1918" s="7" t="n">
        <f aca="false">D1918*F1918</f>
        <v>15000</v>
      </c>
      <c r="H1918" s="2" t="str">
        <f aca="false">INDEX(Daftar_Menu!$B$2:$B$13,MATCH(C1918,Daftar_Menu!$A$2:$A$13,0))</f>
        <v>Makanan</v>
      </c>
      <c r="I1918" s="2" t="str">
        <f aca="false">CHOOSE(WEEKDAY(B1918,2),"Senin","Selasa","Rabu","Kamis","Jumat","Sabtu","Minggu")</f>
        <v>Jumat</v>
      </c>
      <c r="J1918" s="2" t="n">
        <f aca="false">HOUR(E1918)</f>
        <v>12</v>
      </c>
      <c r="K1918" s="2" t="str">
        <f aca="false">IF(J1918&lt;11,"Pagi",IF(J1918&lt;17,"Siang","Malam"))</f>
        <v>Siang</v>
      </c>
      <c r="L1918" s="2" t="n">
        <f aca="false">IF(A1918&lt;&gt;A1917,1,0)</f>
        <v>0</v>
      </c>
    </row>
    <row r="1919" customFormat="false" ht="15" hidden="false" customHeight="false" outlineLevel="0" collapsed="false">
      <c r="A1919" s="2" t="s">
        <v>1827</v>
      </c>
      <c r="B1919" s="13" t="n">
        <v>46290</v>
      </c>
      <c r="C1919" s="2" t="s">
        <v>81</v>
      </c>
      <c r="D1919" s="2" t="n">
        <v>2</v>
      </c>
      <c r="E1919" s="15" t="n">
        <v>0.504861111111111</v>
      </c>
      <c r="F1919" s="7" t="n">
        <v>15000</v>
      </c>
      <c r="G1919" s="7" t="n">
        <f aca="false">D1919*F1919</f>
        <v>30000</v>
      </c>
      <c r="H1919" s="2" t="str">
        <f aca="false">INDEX(Daftar_Menu!$B$2:$B$13,MATCH(C1919,Daftar_Menu!$A$2:$A$13,0))</f>
        <v>Makanan</v>
      </c>
      <c r="I1919" s="2" t="str">
        <f aca="false">CHOOSE(WEEKDAY(B1919,2),"Senin","Selasa","Rabu","Kamis","Jumat","Sabtu","Minggu")</f>
        <v>Jumat</v>
      </c>
      <c r="J1919" s="2" t="n">
        <f aca="false">HOUR(E1919)</f>
        <v>12</v>
      </c>
      <c r="K1919" s="2" t="str">
        <f aca="false">IF(J1919&lt;11,"Pagi",IF(J1919&lt;17,"Siang","Malam"))</f>
        <v>Siang</v>
      </c>
      <c r="L1919" s="2" t="n">
        <f aca="false">IF(A1919&lt;&gt;A1918,1,0)</f>
        <v>1</v>
      </c>
    </row>
    <row r="1920" customFormat="false" ht="15" hidden="false" customHeight="false" outlineLevel="0" collapsed="false">
      <c r="A1920" s="2" t="s">
        <v>1828</v>
      </c>
      <c r="B1920" s="13" t="n">
        <v>46290</v>
      </c>
      <c r="C1920" s="2" t="s">
        <v>101</v>
      </c>
      <c r="D1920" s="2" t="n">
        <v>1</v>
      </c>
      <c r="E1920" s="15" t="n">
        <v>0.508333333333333</v>
      </c>
      <c r="F1920" s="7" t="n">
        <v>18000</v>
      </c>
      <c r="G1920" s="7" t="n">
        <f aca="false">D1920*F1920</f>
        <v>18000</v>
      </c>
      <c r="H1920" s="2" t="str">
        <f aca="false">INDEX(Daftar_Menu!$B$2:$B$13,MATCH(C1920,Daftar_Menu!$A$2:$A$13,0))</f>
        <v>Makanan</v>
      </c>
      <c r="I1920" s="2" t="str">
        <f aca="false">CHOOSE(WEEKDAY(B1920,2),"Senin","Selasa","Rabu","Kamis","Jumat","Sabtu","Minggu")</f>
        <v>Jumat</v>
      </c>
      <c r="J1920" s="2" t="n">
        <f aca="false">HOUR(E1920)</f>
        <v>12</v>
      </c>
      <c r="K1920" s="2" t="str">
        <f aca="false">IF(J1920&lt;11,"Pagi",IF(J1920&lt;17,"Siang","Malam"))</f>
        <v>Siang</v>
      </c>
      <c r="L1920" s="2" t="n">
        <f aca="false">IF(A1920&lt;&gt;A1919,1,0)</f>
        <v>1</v>
      </c>
    </row>
    <row r="1921" customFormat="false" ht="15" hidden="false" customHeight="false" outlineLevel="0" collapsed="false">
      <c r="A1921" s="2" t="s">
        <v>1828</v>
      </c>
      <c r="B1921" s="13" t="n">
        <v>46290</v>
      </c>
      <c r="C1921" s="2" t="s">
        <v>81</v>
      </c>
      <c r="D1921" s="2" t="n">
        <v>1</v>
      </c>
      <c r="E1921" s="15" t="n">
        <v>0.508333333333333</v>
      </c>
      <c r="F1921" s="7" t="n">
        <v>15000</v>
      </c>
      <c r="G1921" s="7" t="n">
        <f aca="false">D1921*F1921</f>
        <v>15000</v>
      </c>
      <c r="H1921" s="2" t="str">
        <f aca="false">INDEX(Daftar_Menu!$B$2:$B$13,MATCH(C1921,Daftar_Menu!$A$2:$A$13,0))</f>
        <v>Makanan</v>
      </c>
      <c r="I1921" s="2" t="str">
        <f aca="false">CHOOSE(WEEKDAY(B1921,2),"Senin","Selasa","Rabu","Kamis","Jumat","Sabtu","Minggu")</f>
        <v>Jumat</v>
      </c>
      <c r="J1921" s="2" t="n">
        <f aca="false">HOUR(E1921)</f>
        <v>12</v>
      </c>
      <c r="K1921" s="2" t="str">
        <f aca="false">IF(J1921&lt;11,"Pagi",IF(J1921&lt;17,"Siang","Malam"))</f>
        <v>Siang</v>
      </c>
      <c r="L1921" s="2" t="n">
        <f aca="false">IF(A1921&lt;&gt;A1920,1,0)</f>
        <v>0</v>
      </c>
    </row>
    <row r="1922" customFormat="false" ht="15" hidden="false" customHeight="false" outlineLevel="0" collapsed="false">
      <c r="A1922" s="2" t="s">
        <v>1829</v>
      </c>
      <c r="B1922" s="13" t="n">
        <v>46290</v>
      </c>
      <c r="C1922" s="2" t="s">
        <v>186</v>
      </c>
      <c r="D1922" s="2" t="n">
        <v>1</v>
      </c>
      <c r="E1922" s="15" t="n">
        <v>0.510416666666667</v>
      </c>
      <c r="F1922" s="7" t="n">
        <v>7000</v>
      </c>
      <c r="G1922" s="7" t="n">
        <f aca="false">D1922*F1922</f>
        <v>7000</v>
      </c>
      <c r="H1922" s="2" t="str">
        <f aca="false">INDEX(Daftar_Menu!$B$2:$B$13,MATCH(C1922,Daftar_Menu!$A$2:$A$13,0))</f>
        <v>Minuman</v>
      </c>
      <c r="I1922" s="2" t="str">
        <f aca="false">CHOOSE(WEEKDAY(B1922,2),"Senin","Selasa","Rabu","Kamis","Jumat","Sabtu","Minggu")</f>
        <v>Jumat</v>
      </c>
      <c r="J1922" s="2" t="n">
        <f aca="false">HOUR(E1922)</f>
        <v>12</v>
      </c>
      <c r="K1922" s="2" t="str">
        <f aca="false">IF(J1922&lt;11,"Pagi",IF(J1922&lt;17,"Siang","Malam"))</f>
        <v>Siang</v>
      </c>
      <c r="L1922" s="2" t="n">
        <f aca="false">IF(A1922&lt;&gt;A1921,1,0)</f>
        <v>1</v>
      </c>
    </row>
    <row r="1923" customFormat="false" ht="15" hidden="false" customHeight="false" outlineLevel="0" collapsed="false">
      <c r="A1923" s="2" t="s">
        <v>1829</v>
      </c>
      <c r="B1923" s="13" t="n">
        <v>46290</v>
      </c>
      <c r="C1923" s="2" t="s">
        <v>81</v>
      </c>
      <c r="D1923" s="2" t="n">
        <v>1</v>
      </c>
      <c r="E1923" s="15" t="n">
        <v>0.510416666666667</v>
      </c>
      <c r="F1923" s="7" t="n">
        <v>15000</v>
      </c>
      <c r="G1923" s="7" t="n">
        <f aca="false">D1923*F1923</f>
        <v>15000</v>
      </c>
      <c r="H1923" s="2" t="str">
        <f aca="false">INDEX(Daftar_Menu!$B$2:$B$13,MATCH(C1923,Daftar_Menu!$A$2:$A$13,0))</f>
        <v>Makanan</v>
      </c>
      <c r="I1923" s="2" t="str">
        <f aca="false">CHOOSE(WEEKDAY(B1923,2),"Senin","Selasa","Rabu","Kamis","Jumat","Sabtu","Minggu")</f>
        <v>Jumat</v>
      </c>
      <c r="J1923" s="2" t="n">
        <f aca="false">HOUR(E1923)</f>
        <v>12</v>
      </c>
      <c r="K1923" s="2" t="str">
        <f aca="false">IF(J1923&lt;11,"Pagi",IF(J1923&lt;17,"Siang","Malam"))</f>
        <v>Siang</v>
      </c>
      <c r="L1923" s="2" t="n">
        <f aca="false">IF(A1923&lt;&gt;A1922,1,0)</f>
        <v>0</v>
      </c>
    </row>
    <row r="1924" customFormat="false" ht="15" hidden="false" customHeight="false" outlineLevel="0" collapsed="false">
      <c r="A1924" s="2" t="s">
        <v>1830</v>
      </c>
      <c r="B1924" s="13" t="n">
        <v>46290</v>
      </c>
      <c r="C1924" s="2" t="s">
        <v>101</v>
      </c>
      <c r="D1924" s="2" t="n">
        <v>1</v>
      </c>
      <c r="E1924" s="15" t="n">
        <v>0.513888888888889</v>
      </c>
      <c r="F1924" s="7" t="n">
        <v>18000</v>
      </c>
      <c r="G1924" s="7" t="n">
        <f aca="false">D1924*F1924</f>
        <v>18000</v>
      </c>
      <c r="H1924" s="2" t="str">
        <f aca="false">INDEX(Daftar_Menu!$B$2:$B$13,MATCH(C1924,Daftar_Menu!$A$2:$A$13,0))</f>
        <v>Makanan</v>
      </c>
      <c r="I1924" s="2" t="str">
        <f aca="false">CHOOSE(WEEKDAY(B1924,2),"Senin","Selasa","Rabu","Kamis","Jumat","Sabtu","Minggu")</f>
        <v>Jumat</v>
      </c>
      <c r="J1924" s="2" t="n">
        <f aca="false">HOUR(E1924)</f>
        <v>12</v>
      </c>
      <c r="K1924" s="2" t="str">
        <f aca="false">IF(J1924&lt;11,"Pagi",IF(J1924&lt;17,"Siang","Malam"))</f>
        <v>Siang</v>
      </c>
      <c r="L1924" s="2" t="n">
        <f aca="false">IF(A1924&lt;&gt;A1923,1,0)</f>
        <v>1</v>
      </c>
    </row>
    <row r="1925" customFormat="false" ht="15" hidden="false" customHeight="false" outlineLevel="0" collapsed="false">
      <c r="A1925" s="2" t="s">
        <v>1830</v>
      </c>
      <c r="B1925" s="13" t="n">
        <v>46290</v>
      </c>
      <c r="C1925" s="2" t="s">
        <v>84</v>
      </c>
      <c r="D1925" s="2" t="n">
        <v>2</v>
      </c>
      <c r="E1925" s="15" t="n">
        <v>0.513888888888889</v>
      </c>
      <c r="F1925" s="7" t="n">
        <v>5000</v>
      </c>
      <c r="G1925" s="7" t="n">
        <f aca="false">D1925*F1925</f>
        <v>10000</v>
      </c>
      <c r="H1925" s="2" t="str">
        <f aca="false">INDEX(Daftar_Menu!$B$2:$B$13,MATCH(C1925,Daftar_Menu!$A$2:$A$13,0))</f>
        <v>Minuman</v>
      </c>
      <c r="I1925" s="2" t="str">
        <f aca="false">CHOOSE(WEEKDAY(B1925,2),"Senin","Selasa","Rabu","Kamis","Jumat","Sabtu","Minggu")</f>
        <v>Jumat</v>
      </c>
      <c r="J1925" s="2" t="n">
        <f aca="false">HOUR(E1925)</f>
        <v>12</v>
      </c>
      <c r="K1925" s="2" t="str">
        <f aca="false">IF(J1925&lt;11,"Pagi",IF(J1925&lt;17,"Siang","Malam"))</f>
        <v>Siang</v>
      </c>
      <c r="L1925" s="2" t="n">
        <f aca="false">IF(A1925&lt;&gt;A1924,1,0)</f>
        <v>0</v>
      </c>
    </row>
    <row r="1926" customFormat="false" ht="15" hidden="false" customHeight="false" outlineLevel="0" collapsed="false">
      <c r="A1926" s="2" t="s">
        <v>1831</v>
      </c>
      <c r="B1926" s="13" t="n">
        <v>46290</v>
      </c>
      <c r="C1926" s="2" t="s">
        <v>84</v>
      </c>
      <c r="D1926" s="2" t="n">
        <v>1</v>
      </c>
      <c r="E1926" s="15" t="n">
        <v>0.513888888888889</v>
      </c>
      <c r="F1926" s="7" t="n">
        <v>5000</v>
      </c>
      <c r="G1926" s="7" t="n">
        <f aca="false">D1926*F1926</f>
        <v>5000</v>
      </c>
      <c r="H1926" s="2" t="str">
        <f aca="false">INDEX(Daftar_Menu!$B$2:$B$13,MATCH(C1926,Daftar_Menu!$A$2:$A$13,0))</f>
        <v>Minuman</v>
      </c>
      <c r="I1926" s="2" t="str">
        <f aca="false">CHOOSE(WEEKDAY(B1926,2),"Senin","Selasa","Rabu","Kamis","Jumat","Sabtu","Minggu")</f>
        <v>Jumat</v>
      </c>
      <c r="J1926" s="2" t="n">
        <f aca="false">HOUR(E1926)</f>
        <v>12</v>
      </c>
      <c r="K1926" s="2" t="str">
        <f aca="false">IF(J1926&lt;11,"Pagi",IF(J1926&lt;17,"Siang","Malam"))</f>
        <v>Siang</v>
      </c>
      <c r="L1926" s="2" t="n">
        <f aca="false">IF(A1926&lt;&gt;A1925,1,0)</f>
        <v>1</v>
      </c>
    </row>
    <row r="1927" customFormat="false" ht="15" hidden="false" customHeight="false" outlineLevel="0" collapsed="false">
      <c r="A1927" s="2" t="s">
        <v>1831</v>
      </c>
      <c r="B1927" s="13" t="n">
        <v>46290</v>
      </c>
      <c r="C1927" s="2" t="s">
        <v>81</v>
      </c>
      <c r="D1927" s="2" t="n">
        <v>1</v>
      </c>
      <c r="E1927" s="15" t="n">
        <v>0.513888888888889</v>
      </c>
      <c r="F1927" s="7" t="n">
        <v>15000</v>
      </c>
      <c r="G1927" s="7" t="n">
        <f aca="false">D1927*F1927</f>
        <v>15000</v>
      </c>
      <c r="H1927" s="2" t="str">
        <f aca="false">INDEX(Daftar_Menu!$B$2:$B$13,MATCH(C1927,Daftar_Menu!$A$2:$A$13,0))</f>
        <v>Makanan</v>
      </c>
      <c r="I1927" s="2" t="str">
        <f aca="false">CHOOSE(WEEKDAY(B1927,2),"Senin","Selasa","Rabu","Kamis","Jumat","Sabtu","Minggu")</f>
        <v>Jumat</v>
      </c>
      <c r="J1927" s="2" t="n">
        <f aca="false">HOUR(E1927)</f>
        <v>12</v>
      </c>
      <c r="K1927" s="2" t="str">
        <f aca="false">IF(J1927&lt;11,"Pagi",IF(J1927&lt;17,"Siang","Malam"))</f>
        <v>Siang</v>
      </c>
      <c r="L1927" s="2" t="n">
        <f aca="false">IF(A1927&lt;&gt;A1926,1,0)</f>
        <v>0</v>
      </c>
    </row>
    <row r="1928" customFormat="false" ht="15" hidden="false" customHeight="false" outlineLevel="0" collapsed="false">
      <c r="A1928" s="2" t="s">
        <v>1832</v>
      </c>
      <c r="B1928" s="13" t="n">
        <v>46290</v>
      </c>
      <c r="C1928" s="2" t="s">
        <v>89</v>
      </c>
      <c r="D1928" s="2" t="n">
        <v>1</v>
      </c>
      <c r="E1928" s="15" t="n">
        <v>0.522916666666667</v>
      </c>
      <c r="F1928" s="7" t="n">
        <v>14000</v>
      </c>
      <c r="G1928" s="7" t="n">
        <f aca="false">D1928*F1928</f>
        <v>14000</v>
      </c>
      <c r="H1928" s="2" t="str">
        <f aca="false">INDEX(Daftar_Menu!$B$2:$B$13,MATCH(C1928,Daftar_Menu!$A$2:$A$13,0))</f>
        <v>Makanan</v>
      </c>
      <c r="I1928" s="2" t="str">
        <f aca="false">CHOOSE(WEEKDAY(B1928,2),"Senin","Selasa","Rabu","Kamis","Jumat","Sabtu","Minggu")</f>
        <v>Jumat</v>
      </c>
      <c r="J1928" s="2" t="n">
        <f aca="false">HOUR(E1928)</f>
        <v>12</v>
      </c>
      <c r="K1928" s="2" t="str">
        <f aca="false">IF(J1928&lt;11,"Pagi",IF(J1928&lt;17,"Siang","Malam"))</f>
        <v>Siang</v>
      </c>
      <c r="L1928" s="2" t="n">
        <f aca="false">IF(A1928&lt;&gt;A1927,1,0)</f>
        <v>1</v>
      </c>
    </row>
    <row r="1929" customFormat="false" ht="15" hidden="false" customHeight="false" outlineLevel="0" collapsed="false">
      <c r="A1929" s="2" t="s">
        <v>1832</v>
      </c>
      <c r="B1929" s="13" t="n">
        <v>46290</v>
      </c>
      <c r="C1929" s="2" t="s">
        <v>132</v>
      </c>
      <c r="D1929" s="2" t="n">
        <v>1</v>
      </c>
      <c r="E1929" s="15" t="n">
        <v>0.522916666666667</v>
      </c>
      <c r="F1929" s="7" t="n">
        <v>15000</v>
      </c>
      <c r="G1929" s="7" t="n">
        <f aca="false">D1929*F1929</f>
        <v>15000</v>
      </c>
      <c r="H1929" s="2" t="str">
        <f aca="false">INDEX(Daftar_Menu!$B$2:$B$13,MATCH(C1929,Daftar_Menu!$A$2:$A$13,0))</f>
        <v>Makanan</v>
      </c>
      <c r="I1929" s="2" t="str">
        <f aca="false">CHOOSE(WEEKDAY(B1929,2),"Senin","Selasa","Rabu","Kamis","Jumat","Sabtu","Minggu")</f>
        <v>Jumat</v>
      </c>
      <c r="J1929" s="2" t="n">
        <f aca="false">HOUR(E1929)</f>
        <v>12</v>
      </c>
      <c r="K1929" s="2" t="str">
        <f aca="false">IF(J1929&lt;11,"Pagi",IF(J1929&lt;17,"Siang","Malam"))</f>
        <v>Siang</v>
      </c>
      <c r="L1929" s="2" t="n">
        <f aca="false">IF(A1929&lt;&gt;A1928,1,0)</f>
        <v>0</v>
      </c>
    </row>
    <row r="1930" customFormat="false" ht="15" hidden="false" customHeight="false" outlineLevel="0" collapsed="false">
      <c r="A1930" s="2" t="s">
        <v>1833</v>
      </c>
      <c r="B1930" s="13" t="n">
        <v>46290</v>
      </c>
      <c r="C1930" s="2" t="s">
        <v>108</v>
      </c>
      <c r="D1930" s="2" t="n">
        <v>3</v>
      </c>
      <c r="E1930" s="15" t="n">
        <v>0.529861111111111</v>
      </c>
      <c r="F1930" s="7" t="n">
        <v>20000</v>
      </c>
      <c r="G1930" s="7" t="n">
        <f aca="false">D1930*F1930</f>
        <v>60000</v>
      </c>
      <c r="H1930" s="2" t="str">
        <f aca="false">INDEX(Daftar_Menu!$B$2:$B$13,MATCH(C1930,Daftar_Menu!$A$2:$A$13,0))</f>
        <v>Makanan</v>
      </c>
      <c r="I1930" s="2" t="str">
        <f aca="false">CHOOSE(WEEKDAY(B1930,2),"Senin","Selasa","Rabu","Kamis","Jumat","Sabtu","Minggu")</f>
        <v>Jumat</v>
      </c>
      <c r="J1930" s="2" t="n">
        <f aca="false">HOUR(E1930)</f>
        <v>12</v>
      </c>
      <c r="K1930" s="2" t="str">
        <f aca="false">IF(J1930&lt;11,"Pagi",IF(J1930&lt;17,"Siang","Malam"))</f>
        <v>Siang</v>
      </c>
      <c r="L1930" s="2" t="n">
        <f aca="false">IF(A1930&lt;&gt;A1929,1,0)</f>
        <v>1</v>
      </c>
    </row>
    <row r="1931" customFormat="false" ht="15" hidden="false" customHeight="false" outlineLevel="0" collapsed="false">
      <c r="A1931" s="2" t="s">
        <v>1833</v>
      </c>
      <c r="B1931" s="13" t="n">
        <v>46290</v>
      </c>
      <c r="C1931" s="2" t="s">
        <v>79</v>
      </c>
      <c r="D1931" s="2" t="n">
        <v>3</v>
      </c>
      <c r="E1931" s="15" t="n">
        <v>0.529861111111111</v>
      </c>
      <c r="F1931" s="7" t="n">
        <v>16000</v>
      </c>
      <c r="G1931" s="7" t="n">
        <f aca="false">D1931*F1931</f>
        <v>48000</v>
      </c>
      <c r="H1931" s="2" t="str">
        <f aca="false">INDEX(Daftar_Menu!$B$2:$B$13,MATCH(C1931,Daftar_Menu!$A$2:$A$13,0))</f>
        <v>Makanan</v>
      </c>
      <c r="I1931" s="2" t="str">
        <f aca="false">CHOOSE(WEEKDAY(B1931,2),"Senin","Selasa","Rabu","Kamis","Jumat","Sabtu","Minggu")</f>
        <v>Jumat</v>
      </c>
      <c r="J1931" s="2" t="n">
        <f aca="false">HOUR(E1931)</f>
        <v>12</v>
      </c>
      <c r="K1931" s="2" t="str">
        <f aca="false">IF(J1931&lt;11,"Pagi",IF(J1931&lt;17,"Siang","Malam"))</f>
        <v>Siang</v>
      </c>
      <c r="L1931" s="2" t="n">
        <f aca="false">IF(A1931&lt;&gt;A1930,1,0)</f>
        <v>0</v>
      </c>
    </row>
    <row r="1932" customFormat="false" ht="15" hidden="false" customHeight="false" outlineLevel="0" collapsed="false">
      <c r="A1932" s="2" t="s">
        <v>1833</v>
      </c>
      <c r="B1932" s="13" t="n">
        <v>46290</v>
      </c>
      <c r="C1932" s="2" t="s">
        <v>84</v>
      </c>
      <c r="D1932" s="2" t="n">
        <v>1</v>
      </c>
      <c r="E1932" s="15" t="n">
        <v>0.529861111111111</v>
      </c>
      <c r="F1932" s="7" t="n">
        <v>5000</v>
      </c>
      <c r="G1932" s="7" t="n">
        <f aca="false">D1932*F1932</f>
        <v>5000</v>
      </c>
      <c r="H1932" s="2" t="str">
        <f aca="false">INDEX(Daftar_Menu!$B$2:$B$13,MATCH(C1932,Daftar_Menu!$A$2:$A$13,0))</f>
        <v>Minuman</v>
      </c>
      <c r="I1932" s="2" t="str">
        <f aca="false">CHOOSE(WEEKDAY(B1932,2),"Senin","Selasa","Rabu","Kamis","Jumat","Sabtu","Minggu")</f>
        <v>Jumat</v>
      </c>
      <c r="J1932" s="2" t="n">
        <f aca="false">HOUR(E1932)</f>
        <v>12</v>
      </c>
      <c r="K1932" s="2" t="str">
        <f aca="false">IF(J1932&lt;11,"Pagi",IF(J1932&lt;17,"Siang","Malam"))</f>
        <v>Siang</v>
      </c>
      <c r="L1932" s="2" t="n">
        <f aca="false">IF(A1932&lt;&gt;A1931,1,0)</f>
        <v>0</v>
      </c>
    </row>
    <row r="1933" customFormat="false" ht="15" hidden="false" customHeight="false" outlineLevel="0" collapsed="false">
      <c r="A1933" s="2" t="s">
        <v>1834</v>
      </c>
      <c r="B1933" s="13" t="n">
        <v>46290</v>
      </c>
      <c r="C1933" s="2" t="s">
        <v>79</v>
      </c>
      <c r="D1933" s="2" t="n">
        <v>2</v>
      </c>
      <c r="E1933" s="15" t="n">
        <v>0.532638888888889</v>
      </c>
      <c r="F1933" s="7" t="n">
        <v>16000</v>
      </c>
      <c r="G1933" s="7" t="n">
        <f aca="false">D1933*F1933</f>
        <v>32000</v>
      </c>
      <c r="H1933" s="2" t="str">
        <f aca="false">INDEX(Daftar_Menu!$B$2:$B$13,MATCH(C1933,Daftar_Menu!$A$2:$A$13,0))</f>
        <v>Makanan</v>
      </c>
      <c r="I1933" s="2" t="str">
        <f aca="false">CHOOSE(WEEKDAY(B1933,2),"Senin","Selasa","Rabu","Kamis","Jumat","Sabtu","Minggu")</f>
        <v>Jumat</v>
      </c>
      <c r="J1933" s="2" t="n">
        <f aca="false">HOUR(E1933)</f>
        <v>12</v>
      </c>
      <c r="K1933" s="2" t="str">
        <f aca="false">IF(J1933&lt;11,"Pagi",IF(J1933&lt;17,"Siang","Malam"))</f>
        <v>Siang</v>
      </c>
      <c r="L1933" s="2" t="n">
        <f aca="false">IF(A1933&lt;&gt;A1932,1,0)</f>
        <v>1</v>
      </c>
    </row>
    <row r="1934" customFormat="false" ht="15" hidden="false" customHeight="false" outlineLevel="0" collapsed="false">
      <c r="A1934" s="2" t="s">
        <v>1835</v>
      </c>
      <c r="B1934" s="13" t="n">
        <v>46290</v>
      </c>
      <c r="C1934" s="2" t="s">
        <v>84</v>
      </c>
      <c r="D1934" s="2" t="n">
        <v>1</v>
      </c>
      <c r="E1934" s="15" t="n">
        <v>0.539583333333333</v>
      </c>
      <c r="F1934" s="7" t="n">
        <v>5000</v>
      </c>
      <c r="G1934" s="7" t="n">
        <f aca="false">D1934*F1934</f>
        <v>5000</v>
      </c>
      <c r="H1934" s="2" t="str">
        <f aca="false">INDEX(Daftar_Menu!$B$2:$B$13,MATCH(C1934,Daftar_Menu!$A$2:$A$13,0))</f>
        <v>Minuman</v>
      </c>
      <c r="I1934" s="2" t="str">
        <f aca="false">CHOOSE(WEEKDAY(B1934,2),"Senin","Selasa","Rabu","Kamis","Jumat","Sabtu","Minggu")</f>
        <v>Jumat</v>
      </c>
      <c r="J1934" s="2" t="n">
        <f aca="false">HOUR(E1934)</f>
        <v>12</v>
      </c>
      <c r="K1934" s="2" t="str">
        <f aca="false">IF(J1934&lt;11,"Pagi",IF(J1934&lt;17,"Siang","Malam"))</f>
        <v>Siang</v>
      </c>
      <c r="L1934" s="2" t="n">
        <f aca="false">IF(A1934&lt;&gt;A1933,1,0)</f>
        <v>1</v>
      </c>
    </row>
    <row r="1935" customFormat="false" ht="15" hidden="false" customHeight="false" outlineLevel="0" collapsed="false">
      <c r="A1935" s="2" t="s">
        <v>1836</v>
      </c>
      <c r="B1935" s="13" t="n">
        <v>46290</v>
      </c>
      <c r="C1935" s="2" t="s">
        <v>81</v>
      </c>
      <c r="D1935" s="2" t="n">
        <v>3</v>
      </c>
      <c r="E1935" s="15" t="n">
        <v>0.540972222222222</v>
      </c>
      <c r="F1935" s="7" t="n">
        <v>15000</v>
      </c>
      <c r="G1935" s="7" t="n">
        <f aca="false">D1935*F1935</f>
        <v>45000</v>
      </c>
      <c r="H1935" s="2" t="str">
        <f aca="false">INDEX(Daftar_Menu!$B$2:$B$13,MATCH(C1935,Daftar_Menu!$A$2:$A$13,0))</f>
        <v>Makanan</v>
      </c>
      <c r="I1935" s="2" t="str">
        <f aca="false">CHOOSE(WEEKDAY(B1935,2),"Senin","Selasa","Rabu","Kamis","Jumat","Sabtu","Minggu")</f>
        <v>Jumat</v>
      </c>
      <c r="J1935" s="2" t="n">
        <f aca="false">HOUR(E1935)</f>
        <v>12</v>
      </c>
      <c r="K1935" s="2" t="str">
        <f aca="false">IF(J1935&lt;11,"Pagi",IF(J1935&lt;17,"Siang","Malam"))</f>
        <v>Siang</v>
      </c>
      <c r="L1935" s="2" t="n">
        <f aca="false">IF(A1935&lt;&gt;A1934,1,0)</f>
        <v>1</v>
      </c>
    </row>
    <row r="1936" customFormat="false" ht="15" hidden="false" customHeight="false" outlineLevel="0" collapsed="false">
      <c r="A1936" s="2" t="s">
        <v>1836</v>
      </c>
      <c r="B1936" s="13" t="n">
        <v>46290</v>
      </c>
      <c r="C1936" s="2" t="s">
        <v>101</v>
      </c>
      <c r="D1936" s="2" t="n">
        <v>1</v>
      </c>
      <c r="E1936" s="15" t="n">
        <v>0.540972222222222</v>
      </c>
      <c r="F1936" s="7" t="n">
        <v>18000</v>
      </c>
      <c r="G1936" s="7" t="n">
        <f aca="false">D1936*F1936</f>
        <v>18000</v>
      </c>
      <c r="H1936" s="2" t="str">
        <f aca="false">INDEX(Daftar_Menu!$B$2:$B$13,MATCH(C1936,Daftar_Menu!$A$2:$A$13,0))</f>
        <v>Makanan</v>
      </c>
      <c r="I1936" s="2" t="str">
        <f aca="false">CHOOSE(WEEKDAY(B1936,2),"Senin","Selasa","Rabu","Kamis","Jumat","Sabtu","Minggu")</f>
        <v>Jumat</v>
      </c>
      <c r="J1936" s="2" t="n">
        <f aca="false">HOUR(E1936)</f>
        <v>12</v>
      </c>
      <c r="K1936" s="2" t="str">
        <f aca="false">IF(J1936&lt;11,"Pagi",IF(J1936&lt;17,"Siang","Malam"))</f>
        <v>Siang</v>
      </c>
      <c r="L1936" s="2" t="n">
        <f aca="false">IF(A1936&lt;&gt;A1935,1,0)</f>
        <v>0</v>
      </c>
    </row>
    <row r="1937" customFormat="false" ht="15" hidden="false" customHeight="false" outlineLevel="0" collapsed="false">
      <c r="A1937" s="2" t="s">
        <v>1837</v>
      </c>
      <c r="B1937" s="13" t="n">
        <v>46290</v>
      </c>
      <c r="C1937" s="2" t="s">
        <v>81</v>
      </c>
      <c r="D1937" s="2" t="n">
        <v>1</v>
      </c>
      <c r="E1937" s="15" t="n">
        <v>0.543055555555556</v>
      </c>
      <c r="F1937" s="7" t="n">
        <v>15000</v>
      </c>
      <c r="G1937" s="7" t="n">
        <f aca="false">D1937*F1937</f>
        <v>15000</v>
      </c>
      <c r="H1937" s="2" t="str">
        <f aca="false">INDEX(Daftar_Menu!$B$2:$B$13,MATCH(C1937,Daftar_Menu!$A$2:$A$13,0))</f>
        <v>Makanan</v>
      </c>
      <c r="I1937" s="2" t="str">
        <f aca="false">CHOOSE(WEEKDAY(B1937,2),"Senin","Selasa","Rabu","Kamis","Jumat","Sabtu","Minggu")</f>
        <v>Jumat</v>
      </c>
      <c r="J1937" s="2" t="n">
        <f aca="false">HOUR(E1937)</f>
        <v>13</v>
      </c>
      <c r="K1937" s="2" t="str">
        <f aca="false">IF(J1937&lt;11,"Pagi",IF(J1937&lt;17,"Siang","Malam"))</f>
        <v>Siang</v>
      </c>
      <c r="L1937" s="2" t="n">
        <f aca="false">IF(A1937&lt;&gt;A1936,1,0)</f>
        <v>1</v>
      </c>
    </row>
    <row r="1938" customFormat="false" ht="15" hidden="false" customHeight="false" outlineLevel="0" collapsed="false">
      <c r="A1938" s="2" t="s">
        <v>1838</v>
      </c>
      <c r="B1938" s="13" t="n">
        <v>46290</v>
      </c>
      <c r="C1938" s="2" t="s">
        <v>84</v>
      </c>
      <c r="D1938" s="2" t="n">
        <v>1</v>
      </c>
      <c r="E1938" s="15" t="n">
        <v>0.557638888888889</v>
      </c>
      <c r="F1938" s="7" t="n">
        <v>5000</v>
      </c>
      <c r="G1938" s="7" t="n">
        <f aca="false">D1938*F1938</f>
        <v>5000</v>
      </c>
      <c r="H1938" s="2" t="str">
        <f aca="false">INDEX(Daftar_Menu!$B$2:$B$13,MATCH(C1938,Daftar_Menu!$A$2:$A$13,0))</f>
        <v>Minuman</v>
      </c>
      <c r="I1938" s="2" t="str">
        <f aca="false">CHOOSE(WEEKDAY(B1938,2),"Senin","Selasa","Rabu","Kamis","Jumat","Sabtu","Minggu")</f>
        <v>Jumat</v>
      </c>
      <c r="J1938" s="2" t="n">
        <f aca="false">HOUR(E1938)</f>
        <v>13</v>
      </c>
      <c r="K1938" s="2" t="str">
        <f aca="false">IF(J1938&lt;11,"Pagi",IF(J1938&lt;17,"Siang","Malam"))</f>
        <v>Siang</v>
      </c>
      <c r="L1938" s="2" t="n">
        <f aca="false">IF(A1938&lt;&gt;A1937,1,0)</f>
        <v>1</v>
      </c>
    </row>
    <row r="1939" customFormat="false" ht="15" hidden="false" customHeight="false" outlineLevel="0" collapsed="false">
      <c r="A1939" s="2" t="s">
        <v>1839</v>
      </c>
      <c r="B1939" s="13" t="n">
        <v>46290</v>
      </c>
      <c r="C1939" s="2" t="s">
        <v>81</v>
      </c>
      <c r="D1939" s="2" t="n">
        <v>1</v>
      </c>
      <c r="E1939" s="15" t="n">
        <v>0.573611111111111</v>
      </c>
      <c r="F1939" s="7" t="n">
        <v>15000</v>
      </c>
      <c r="G1939" s="7" t="n">
        <f aca="false">D1939*F1939</f>
        <v>15000</v>
      </c>
      <c r="H1939" s="2" t="str">
        <f aca="false">INDEX(Daftar_Menu!$B$2:$B$13,MATCH(C1939,Daftar_Menu!$A$2:$A$13,0))</f>
        <v>Makanan</v>
      </c>
      <c r="I1939" s="2" t="str">
        <f aca="false">CHOOSE(WEEKDAY(B1939,2),"Senin","Selasa","Rabu","Kamis","Jumat","Sabtu","Minggu")</f>
        <v>Jumat</v>
      </c>
      <c r="J1939" s="2" t="n">
        <f aca="false">HOUR(E1939)</f>
        <v>13</v>
      </c>
      <c r="K1939" s="2" t="str">
        <f aca="false">IF(J1939&lt;11,"Pagi",IF(J1939&lt;17,"Siang","Malam"))</f>
        <v>Siang</v>
      </c>
      <c r="L1939" s="2" t="n">
        <f aca="false">IF(A1939&lt;&gt;A1938,1,0)</f>
        <v>1</v>
      </c>
    </row>
    <row r="1940" customFormat="false" ht="15" hidden="false" customHeight="false" outlineLevel="0" collapsed="false">
      <c r="A1940" s="2" t="s">
        <v>1839</v>
      </c>
      <c r="B1940" s="13" t="n">
        <v>46290</v>
      </c>
      <c r="C1940" s="2" t="s">
        <v>84</v>
      </c>
      <c r="D1940" s="2" t="n">
        <v>1</v>
      </c>
      <c r="E1940" s="15" t="n">
        <v>0.573611111111111</v>
      </c>
      <c r="F1940" s="7" t="n">
        <v>5000</v>
      </c>
      <c r="G1940" s="7" t="n">
        <f aca="false">D1940*F1940</f>
        <v>5000</v>
      </c>
      <c r="H1940" s="2" t="str">
        <f aca="false">INDEX(Daftar_Menu!$B$2:$B$13,MATCH(C1940,Daftar_Menu!$A$2:$A$13,0))</f>
        <v>Minuman</v>
      </c>
      <c r="I1940" s="2" t="str">
        <f aca="false">CHOOSE(WEEKDAY(B1940,2),"Senin","Selasa","Rabu","Kamis","Jumat","Sabtu","Minggu")</f>
        <v>Jumat</v>
      </c>
      <c r="J1940" s="2" t="n">
        <f aca="false">HOUR(E1940)</f>
        <v>13</v>
      </c>
      <c r="K1940" s="2" t="str">
        <f aca="false">IF(J1940&lt;11,"Pagi",IF(J1940&lt;17,"Siang","Malam"))</f>
        <v>Siang</v>
      </c>
      <c r="L1940" s="2" t="n">
        <f aca="false">IF(A1940&lt;&gt;A1939,1,0)</f>
        <v>0</v>
      </c>
    </row>
    <row r="1941" customFormat="false" ht="15" hidden="false" customHeight="false" outlineLevel="0" collapsed="false">
      <c r="A1941" s="2" t="s">
        <v>1841</v>
      </c>
      <c r="B1941" s="13" t="n">
        <v>46290</v>
      </c>
      <c r="C1941" s="2" t="s">
        <v>79</v>
      </c>
      <c r="D1941" s="2" t="n">
        <v>1</v>
      </c>
      <c r="E1941" s="15" t="n">
        <v>0.586805555555556</v>
      </c>
      <c r="F1941" s="7" t="n">
        <v>16000</v>
      </c>
      <c r="G1941" s="7" t="n">
        <f aca="false">D1941*F1941</f>
        <v>16000</v>
      </c>
      <c r="H1941" s="2" t="str">
        <f aca="false">INDEX(Daftar_Menu!$B$2:$B$13,MATCH(C1941,Daftar_Menu!$A$2:$A$13,0))</f>
        <v>Makanan</v>
      </c>
      <c r="I1941" s="2" t="str">
        <f aca="false">CHOOSE(WEEKDAY(B1941,2),"Senin","Selasa","Rabu","Kamis","Jumat","Sabtu","Minggu")</f>
        <v>Jumat</v>
      </c>
      <c r="J1941" s="2" t="n">
        <f aca="false">HOUR(E1941)</f>
        <v>14</v>
      </c>
      <c r="K1941" s="2" t="str">
        <f aca="false">IF(J1941&lt;11,"Pagi",IF(J1941&lt;17,"Siang","Malam"))</f>
        <v>Siang</v>
      </c>
      <c r="L1941" s="2" t="n">
        <f aca="false">IF(A1941&lt;&gt;A1940,1,0)</f>
        <v>1</v>
      </c>
    </row>
    <row r="1942" customFormat="false" ht="15" hidden="false" customHeight="false" outlineLevel="0" collapsed="false">
      <c r="A1942" s="2" t="s">
        <v>1841</v>
      </c>
      <c r="B1942" s="13" t="n">
        <v>46290</v>
      </c>
      <c r="C1942" s="2" t="s">
        <v>84</v>
      </c>
      <c r="D1942" s="2" t="n">
        <v>1</v>
      </c>
      <c r="E1942" s="15" t="n">
        <v>0.586805555555556</v>
      </c>
      <c r="F1942" s="7" t="n">
        <v>5000</v>
      </c>
      <c r="G1942" s="7" t="n">
        <f aca="false">D1942*F1942</f>
        <v>5000</v>
      </c>
      <c r="H1942" s="2" t="str">
        <f aca="false">INDEX(Daftar_Menu!$B$2:$B$13,MATCH(C1942,Daftar_Menu!$A$2:$A$13,0))</f>
        <v>Minuman</v>
      </c>
      <c r="I1942" s="2" t="str">
        <f aca="false">CHOOSE(WEEKDAY(B1942,2),"Senin","Selasa","Rabu","Kamis","Jumat","Sabtu","Minggu")</f>
        <v>Jumat</v>
      </c>
      <c r="J1942" s="2" t="n">
        <f aca="false">HOUR(E1942)</f>
        <v>14</v>
      </c>
      <c r="K1942" s="2" t="str">
        <f aca="false">IF(J1942&lt;11,"Pagi",IF(J1942&lt;17,"Siang","Malam"))</f>
        <v>Siang</v>
      </c>
      <c r="L1942" s="2" t="n">
        <f aca="false">IF(A1942&lt;&gt;A1941,1,0)</f>
        <v>0</v>
      </c>
    </row>
    <row r="1943" customFormat="false" ht="15" hidden="false" customHeight="false" outlineLevel="0" collapsed="false">
      <c r="A1943" s="2" t="s">
        <v>1843</v>
      </c>
      <c r="B1943" s="13" t="n">
        <v>46290</v>
      </c>
      <c r="C1943" s="2" t="s">
        <v>81</v>
      </c>
      <c r="D1943" s="2" t="n">
        <v>1</v>
      </c>
      <c r="E1943" s="15" t="n">
        <v>0.590277777777778</v>
      </c>
      <c r="F1943" s="7" t="n">
        <v>15000</v>
      </c>
      <c r="G1943" s="7" t="n">
        <f aca="false">D1943*F1943</f>
        <v>15000</v>
      </c>
      <c r="H1943" s="2" t="str">
        <f aca="false">INDEX(Daftar_Menu!$B$2:$B$13,MATCH(C1943,Daftar_Menu!$A$2:$A$13,0))</f>
        <v>Makanan</v>
      </c>
      <c r="I1943" s="2" t="str">
        <f aca="false">CHOOSE(WEEKDAY(B1943,2),"Senin","Selasa","Rabu","Kamis","Jumat","Sabtu","Minggu")</f>
        <v>Jumat</v>
      </c>
      <c r="J1943" s="2" t="n">
        <f aca="false">HOUR(E1943)</f>
        <v>14</v>
      </c>
      <c r="K1943" s="2" t="str">
        <f aca="false">IF(J1943&lt;11,"Pagi",IF(J1943&lt;17,"Siang","Malam"))</f>
        <v>Siang</v>
      </c>
      <c r="L1943" s="2" t="n">
        <f aca="false">IF(A1943&lt;&gt;A1942,1,0)</f>
        <v>1</v>
      </c>
    </row>
    <row r="1944" customFormat="false" ht="15" hidden="false" customHeight="false" outlineLevel="0" collapsed="false">
      <c r="A1944" s="2" t="s">
        <v>1843</v>
      </c>
      <c r="B1944" s="13" t="n">
        <v>46290</v>
      </c>
      <c r="C1944" s="2" t="s">
        <v>84</v>
      </c>
      <c r="D1944" s="2" t="n">
        <v>1</v>
      </c>
      <c r="E1944" s="15" t="n">
        <v>0.590277777777778</v>
      </c>
      <c r="F1944" s="7" t="n">
        <v>5000</v>
      </c>
      <c r="G1944" s="7" t="n">
        <f aca="false">D1944*F1944</f>
        <v>5000</v>
      </c>
      <c r="H1944" s="2" t="str">
        <f aca="false">INDEX(Daftar_Menu!$B$2:$B$13,MATCH(C1944,Daftar_Menu!$A$2:$A$13,0))</f>
        <v>Minuman</v>
      </c>
      <c r="I1944" s="2" t="str">
        <f aca="false">CHOOSE(WEEKDAY(B1944,2),"Senin","Selasa","Rabu","Kamis","Jumat","Sabtu","Minggu")</f>
        <v>Jumat</v>
      </c>
      <c r="J1944" s="2" t="n">
        <f aca="false">HOUR(E1944)</f>
        <v>14</v>
      </c>
      <c r="K1944" s="2" t="str">
        <f aca="false">IF(J1944&lt;11,"Pagi",IF(J1944&lt;17,"Siang","Malam"))</f>
        <v>Siang</v>
      </c>
      <c r="L1944" s="2" t="n">
        <f aca="false">IF(A1944&lt;&gt;A1943,1,0)</f>
        <v>0</v>
      </c>
    </row>
    <row r="1945" customFormat="false" ht="15" hidden="false" customHeight="false" outlineLevel="0" collapsed="false">
      <c r="A1945" s="2" t="s">
        <v>1845</v>
      </c>
      <c r="B1945" s="13" t="n">
        <v>46290</v>
      </c>
      <c r="C1945" s="2" t="s">
        <v>126</v>
      </c>
      <c r="D1945" s="2" t="n">
        <v>1</v>
      </c>
      <c r="E1945" s="15" t="n">
        <v>0.599305555555556</v>
      </c>
      <c r="F1945" s="7" t="n">
        <v>3000</v>
      </c>
      <c r="G1945" s="7" t="n">
        <f aca="false">D1945*F1945</f>
        <v>3000</v>
      </c>
      <c r="H1945" s="2" t="str">
        <f aca="false">INDEX(Daftar_Menu!$B$2:$B$13,MATCH(C1945,Daftar_Menu!$A$2:$A$13,0))</f>
        <v>Minuman</v>
      </c>
      <c r="I1945" s="2" t="str">
        <f aca="false">CHOOSE(WEEKDAY(B1945,2),"Senin","Selasa","Rabu","Kamis","Jumat","Sabtu","Minggu")</f>
        <v>Jumat</v>
      </c>
      <c r="J1945" s="2" t="n">
        <f aca="false">HOUR(E1945)</f>
        <v>14</v>
      </c>
      <c r="K1945" s="2" t="str">
        <f aca="false">IF(J1945&lt;11,"Pagi",IF(J1945&lt;17,"Siang","Malam"))</f>
        <v>Siang</v>
      </c>
      <c r="L1945" s="2" t="n">
        <f aca="false">IF(A1945&lt;&gt;A1944,1,0)</f>
        <v>1</v>
      </c>
    </row>
    <row r="1946" customFormat="false" ht="15" hidden="false" customHeight="false" outlineLevel="0" collapsed="false">
      <c r="A1946" s="2" t="s">
        <v>1845</v>
      </c>
      <c r="B1946" s="13" t="n">
        <v>46290</v>
      </c>
      <c r="C1946" s="2" t="s">
        <v>132</v>
      </c>
      <c r="D1946" s="2" t="n">
        <v>1</v>
      </c>
      <c r="E1946" s="15" t="n">
        <v>0.599305555555556</v>
      </c>
      <c r="F1946" s="7" t="n">
        <v>15000</v>
      </c>
      <c r="G1946" s="7" t="n">
        <f aca="false">D1946*F1946</f>
        <v>15000</v>
      </c>
      <c r="H1946" s="2" t="str">
        <f aca="false">INDEX(Daftar_Menu!$B$2:$B$13,MATCH(C1946,Daftar_Menu!$A$2:$A$13,0))</f>
        <v>Makanan</v>
      </c>
      <c r="I1946" s="2" t="str">
        <f aca="false">CHOOSE(WEEKDAY(B1946,2),"Senin","Selasa","Rabu","Kamis","Jumat","Sabtu","Minggu")</f>
        <v>Jumat</v>
      </c>
      <c r="J1946" s="2" t="n">
        <f aca="false">HOUR(E1946)</f>
        <v>14</v>
      </c>
      <c r="K1946" s="2" t="str">
        <f aca="false">IF(J1946&lt;11,"Pagi",IF(J1946&lt;17,"Siang","Malam"))</f>
        <v>Siang</v>
      </c>
      <c r="L1946" s="2" t="n">
        <f aca="false">IF(A1946&lt;&gt;A1945,1,0)</f>
        <v>0</v>
      </c>
    </row>
    <row r="1947" customFormat="false" ht="15" hidden="false" customHeight="false" outlineLevel="0" collapsed="false">
      <c r="A1947" s="2" t="s">
        <v>1845</v>
      </c>
      <c r="B1947" s="13" t="n">
        <v>46290</v>
      </c>
      <c r="C1947" s="2" t="s">
        <v>89</v>
      </c>
      <c r="D1947" s="2" t="n">
        <v>1</v>
      </c>
      <c r="E1947" s="15" t="n">
        <v>0.599305555555556</v>
      </c>
      <c r="F1947" s="7" t="n">
        <v>14000</v>
      </c>
      <c r="G1947" s="7" t="n">
        <f aca="false">D1947*F1947</f>
        <v>14000</v>
      </c>
      <c r="H1947" s="2" t="str">
        <f aca="false">INDEX(Daftar_Menu!$B$2:$B$13,MATCH(C1947,Daftar_Menu!$A$2:$A$13,0))</f>
        <v>Makanan</v>
      </c>
      <c r="I1947" s="2" t="str">
        <f aca="false">CHOOSE(WEEKDAY(B1947,2),"Senin","Selasa","Rabu","Kamis","Jumat","Sabtu","Minggu")</f>
        <v>Jumat</v>
      </c>
      <c r="J1947" s="2" t="n">
        <f aca="false">HOUR(E1947)</f>
        <v>14</v>
      </c>
      <c r="K1947" s="2" t="str">
        <f aca="false">IF(J1947&lt;11,"Pagi",IF(J1947&lt;17,"Siang","Malam"))</f>
        <v>Siang</v>
      </c>
      <c r="L1947" s="2" t="n">
        <f aca="false">IF(A1947&lt;&gt;A1946,1,0)</f>
        <v>0</v>
      </c>
    </row>
    <row r="1948" customFormat="false" ht="15" hidden="false" customHeight="false" outlineLevel="0" collapsed="false">
      <c r="A1948" s="2" t="s">
        <v>1846</v>
      </c>
      <c r="B1948" s="13" t="n">
        <v>46290</v>
      </c>
      <c r="C1948" s="2" t="s">
        <v>92</v>
      </c>
      <c r="D1948" s="2" t="n">
        <v>1</v>
      </c>
      <c r="E1948" s="15" t="n">
        <v>0.600694444444444</v>
      </c>
      <c r="F1948" s="7" t="n">
        <v>4000</v>
      </c>
      <c r="G1948" s="7" t="n">
        <f aca="false">D1948*F1948</f>
        <v>4000</v>
      </c>
      <c r="H1948" s="2" t="str">
        <f aca="false">INDEX(Daftar_Menu!$B$2:$B$13,MATCH(C1948,Daftar_Menu!$A$2:$A$13,0))</f>
        <v>Minuman</v>
      </c>
      <c r="I1948" s="2" t="str">
        <f aca="false">CHOOSE(WEEKDAY(B1948,2),"Senin","Selasa","Rabu","Kamis","Jumat","Sabtu","Minggu")</f>
        <v>Jumat</v>
      </c>
      <c r="J1948" s="2" t="n">
        <f aca="false">HOUR(E1948)</f>
        <v>14</v>
      </c>
      <c r="K1948" s="2" t="str">
        <f aca="false">IF(J1948&lt;11,"Pagi",IF(J1948&lt;17,"Siang","Malam"))</f>
        <v>Siang</v>
      </c>
      <c r="L1948" s="2" t="n">
        <f aca="false">IF(A1948&lt;&gt;A1947,1,0)</f>
        <v>1</v>
      </c>
    </row>
    <row r="1949" customFormat="false" ht="15" hidden="false" customHeight="false" outlineLevel="0" collapsed="false">
      <c r="A1949" s="2" t="s">
        <v>1846</v>
      </c>
      <c r="B1949" s="13" t="n">
        <v>46290</v>
      </c>
      <c r="C1949" s="2" t="s">
        <v>84</v>
      </c>
      <c r="D1949" s="2" t="n">
        <v>1</v>
      </c>
      <c r="E1949" s="15" t="n">
        <v>0.600694444444444</v>
      </c>
      <c r="F1949" s="7" t="n">
        <v>5000</v>
      </c>
      <c r="G1949" s="7" t="n">
        <f aca="false">D1949*F1949</f>
        <v>5000</v>
      </c>
      <c r="H1949" s="2" t="str">
        <f aca="false">INDEX(Daftar_Menu!$B$2:$B$13,MATCH(C1949,Daftar_Menu!$A$2:$A$13,0))</f>
        <v>Minuman</v>
      </c>
      <c r="I1949" s="2" t="str">
        <f aca="false">CHOOSE(WEEKDAY(B1949,2),"Senin","Selasa","Rabu","Kamis","Jumat","Sabtu","Minggu")</f>
        <v>Jumat</v>
      </c>
      <c r="J1949" s="2" t="n">
        <f aca="false">HOUR(E1949)</f>
        <v>14</v>
      </c>
      <c r="K1949" s="2" t="str">
        <f aca="false">IF(J1949&lt;11,"Pagi",IF(J1949&lt;17,"Siang","Malam"))</f>
        <v>Siang</v>
      </c>
      <c r="L1949" s="2" t="n">
        <f aca="false">IF(A1949&lt;&gt;A1948,1,0)</f>
        <v>0</v>
      </c>
    </row>
    <row r="1950" customFormat="false" ht="15" hidden="false" customHeight="false" outlineLevel="0" collapsed="false">
      <c r="A1950" s="2" t="s">
        <v>1847</v>
      </c>
      <c r="B1950" s="13" t="n">
        <v>46290</v>
      </c>
      <c r="C1950" s="2" t="s">
        <v>84</v>
      </c>
      <c r="D1950" s="2" t="n">
        <v>2</v>
      </c>
      <c r="E1950" s="15" t="n">
        <v>0.605555555555556</v>
      </c>
      <c r="F1950" s="7" t="n">
        <v>5000</v>
      </c>
      <c r="G1950" s="7" t="n">
        <f aca="false">D1950*F1950</f>
        <v>10000</v>
      </c>
      <c r="H1950" s="2" t="str">
        <f aca="false">INDEX(Daftar_Menu!$B$2:$B$13,MATCH(C1950,Daftar_Menu!$A$2:$A$13,0))</f>
        <v>Minuman</v>
      </c>
      <c r="I1950" s="2" t="str">
        <f aca="false">CHOOSE(WEEKDAY(B1950,2),"Senin","Selasa","Rabu","Kamis","Jumat","Sabtu","Minggu")</f>
        <v>Jumat</v>
      </c>
      <c r="J1950" s="2" t="n">
        <f aca="false">HOUR(E1950)</f>
        <v>14</v>
      </c>
      <c r="K1950" s="2" t="str">
        <f aca="false">IF(J1950&lt;11,"Pagi",IF(J1950&lt;17,"Siang","Malam"))</f>
        <v>Siang</v>
      </c>
      <c r="L1950" s="2" t="n">
        <f aca="false">IF(A1950&lt;&gt;A1949,1,0)</f>
        <v>1</v>
      </c>
    </row>
    <row r="1951" customFormat="false" ht="15" hidden="false" customHeight="false" outlineLevel="0" collapsed="false">
      <c r="A1951" s="2" t="s">
        <v>1847</v>
      </c>
      <c r="B1951" s="13" t="n">
        <v>46290</v>
      </c>
      <c r="C1951" s="2" t="s">
        <v>126</v>
      </c>
      <c r="D1951" s="2" t="n">
        <v>1</v>
      </c>
      <c r="E1951" s="15" t="n">
        <v>0.605555555555556</v>
      </c>
      <c r="F1951" s="7" t="n">
        <v>3000</v>
      </c>
      <c r="G1951" s="7" t="n">
        <f aca="false">D1951*F1951</f>
        <v>3000</v>
      </c>
      <c r="H1951" s="2" t="str">
        <f aca="false">INDEX(Daftar_Menu!$B$2:$B$13,MATCH(C1951,Daftar_Menu!$A$2:$A$13,0))</f>
        <v>Minuman</v>
      </c>
      <c r="I1951" s="2" t="str">
        <f aca="false">CHOOSE(WEEKDAY(B1951,2),"Senin","Selasa","Rabu","Kamis","Jumat","Sabtu","Minggu")</f>
        <v>Jumat</v>
      </c>
      <c r="J1951" s="2" t="n">
        <f aca="false">HOUR(E1951)</f>
        <v>14</v>
      </c>
      <c r="K1951" s="2" t="str">
        <f aca="false">IF(J1951&lt;11,"Pagi",IF(J1951&lt;17,"Siang","Malam"))</f>
        <v>Siang</v>
      </c>
      <c r="L1951" s="2" t="n">
        <f aca="false">IF(A1951&lt;&gt;A1950,1,0)</f>
        <v>0</v>
      </c>
    </row>
    <row r="1952" customFormat="false" ht="15" hidden="false" customHeight="false" outlineLevel="0" collapsed="false">
      <c r="A1952" s="2" t="s">
        <v>1848</v>
      </c>
      <c r="B1952" s="13" t="n">
        <v>46290</v>
      </c>
      <c r="C1952" s="2" t="s">
        <v>92</v>
      </c>
      <c r="D1952" s="2" t="n">
        <v>1</v>
      </c>
      <c r="E1952" s="15" t="n">
        <v>0.615277777777778</v>
      </c>
      <c r="F1952" s="7" t="n">
        <v>4000</v>
      </c>
      <c r="G1952" s="7" t="n">
        <f aca="false">D1952*F1952</f>
        <v>4000</v>
      </c>
      <c r="H1952" s="2" t="str">
        <f aca="false">INDEX(Daftar_Menu!$B$2:$B$13,MATCH(C1952,Daftar_Menu!$A$2:$A$13,0))</f>
        <v>Minuman</v>
      </c>
      <c r="I1952" s="2" t="str">
        <f aca="false">CHOOSE(WEEKDAY(B1952,2),"Senin","Selasa","Rabu","Kamis","Jumat","Sabtu","Minggu")</f>
        <v>Jumat</v>
      </c>
      <c r="J1952" s="2" t="n">
        <f aca="false">HOUR(E1952)</f>
        <v>14</v>
      </c>
      <c r="K1952" s="2" t="str">
        <f aca="false">IF(J1952&lt;11,"Pagi",IF(J1952&lt;17,"Siang","Malam"))</f>
        <v>Siang</v>
      </c>
      <c r="L1952" s="2" t="n">
        <f aca="false">IF(A1952&lt;&gt;A1951,1,0)</f>
        <v>1</v>
      </c>
    </row>
    <row r="1953" customFormat="false" ht="15" hidden="false" customHeight="false" outlineLevel="0" collapsed="false">
      <c r="A1953" s="2" t="s">
        <v>1848</v>
      </c>
      <c r="B1953" s="13" t="n">
        <v>46290</v>
      </c>
      <c r="C1953" s="2" t="s">
        <v>101</v>
      </c>
      <c r="D1953" s="2" t="n">
        <v>1</v>
      </c>
      <c r="E1953" s="15" t="n">
        <v>0.615277777777778</v>
      </c>
      <c r="F1953" s="7" t="n">
        <v>18000</v>
      </c>
      <c r="G1953" s="7" t="n">
        <f aca="false">D1953*F1953</f>
        <v>18000</v>
      </c>
      <c r="H1953" s="2" t="str">
        <f aca="false">INDEX(Daftar_Menu!$B$2:$B$13,MATCH(C1953,Daftar_Menu!$A$2:$A$13,0))</f>
        <v>Makanan</v>
      </c>
      <c r="I1953" s="2" t="str">
        <f aca="false">CHOOSE(WEEKDAY(B1953,2),"Senin","Selasa","Rabu","Kamis","Jumat","Sabtu","Minggu")</f>
        <v>Jumat</v>
      </c>
      <c r="J1953" s="2" t="n">
        <f aca="false">HOUR(E1953)</f>
        <v>14</v>
      </c>
      <c r="K1953" s="2" t="str">
        <f aca="false">IF(J1953&lt;11,"Pagi",IF(J1953&lt;17,"Siang","Malam"))</f>
        <v>Siang</v>
      </c>
      <c r="L1953" s="2" t="n">
        <f aca="false">IF(A1953&lt;&gt;A1952,1,0)</f>
        <v>0</v>
      </c>
    </row>
    <row r="1954" customFormat="false" ht="15" hidden="false" customHeight="false" outlineLevel="0" collapsed="false">
      <c r="A1954" s="2" t="s">
        <v>1849</v>
      </c>
      <c r="B1954" s="13" t="n">
        <v>46290</v>
      </c>
      <c r="C1954" s="2" t="s">
        <v>101</v>
      </c>
      <c r="D1954" s="2" t="n">
        <v>1</v>
      </c>
      <c r="E1954" s="15" t="n">
        <v>0.710416666666667</v>
      </c>
      <c r="F1954" s="7" t="n">
        <v>18000</v>
      </c>
      <c r="G1954" s="7" t="n">
        <f aca="false">D1954*F1954</f>
        <v>18000</v>
      </c>
      <c r="H1954" s="2" t="str">
        <f aca="false">INDEX(Daftar_Menu!$B$2:$B$13,MATCH(C1954,Daftar_Menu!$A$2:$A$13,0))</f>
        <v>Makanan</v>
      </c>
      <c r="I1954" s="2" t="str">
        <f aca="false">CHOOSE(WEEKDAY(B1954,2),"Senin","Selasa","Rabu","Kamis","Jumat","Sabtu","Minggu")</f>
        <v>Jumat</v>
      </c>
      <c r="J1954" s="2" t="n">
        <f aca="false">HOUR(E1954)</f>
        <v>17</v>
      </c>
      <c r="K1954" s="2" t="str">
        <f aca="false">IF(J1954&lt;11,"Pagi",IF(J1954&lt;17,"Siang","Malam"))</f>
        <v>Malam</v>
      </c>
      <c r="L1954" s="2" t="n">
        <f aca="false">IF(A1954&lt;&gt;A1953,1,0)</f>
        <v>1</v>
      </c>
    </row>
    <row r="1955" customFormat="false" ht="15" hidden="false" customHeight="false" outlineLevel="0" collapsed="false">
      <c r="A1955" s="2" t="s">
        <v>1850</v>
      </c>
      <c r="B1955" s="13" t="n">
        <v>46290</v>
      </c>
      <c r="C1955" s="2" t="s">
        <v>92</v>
      </c>
      <c r="D1955" s="2" t="n">
        <v>1</v>
      </c>
      <c r="E1955" s="15" t="n">
        <v>0.714583333333333</v>
      </c>
      <c r="F1955" s="7" t="n">
        <v>4000</v>
      </c>
      <c r="G1955" s="7" t="n">
        <f aca="false">D1955*F1955</f>
        <v>4000</v>
      </c>
      <c r="H1955" s="2" t="str">
        <f aca="false">INDEX(Daftar_Menu!$B$2:$B$13,MATCH(C1955,Daftar_Menu!$A$2:$A$13,0))</f>
        <v>Minuman</v>
      </c>
      <c r="I1955" s="2" t="str">
        <f aca="false">CHOOSE(WEEKDAY(B1955,2),"Senin","Selasa","Rabu","Kamis","Jumat","Sabtu","Minggu")</f>
        <v>Jumat</v>
      </c>
      <c r="J1955" s="2" t="n">
        <f aca="false">HOUR(E1955)</f>
        <v>17</v>
      </c>
      <c r="K1955" s="2" t="str">
        <f aca="false">IF(J1955&lt;11,"Pagi",IF(J1955&lt;17,"Siang","Malam"))</f>
        <v>Malam</v>
      </c>
      <c r="L1955" s="2" t="n">
        <f aca="false">IF(A1955&lt;&gt;A1954,1,0)</f>
        <v>1</v>
      </c>
    </row>
    <row r="1956" customFormat="false" ht="15" hidden="false" customHeight="false" outlineLevel="0" collapsed="false">
      <c r="A1956" s="2" t="s">
        <v>1850</v>
      </c>
      <c r="B1956" s="13" t="n">
        <v>46290</v>
      </c>
      <c r="C1956" s="2" t="s">
        <v>84</v>
      </c>
      <c r="D1956" s="2" t="n">
        <v>1</v>
      </c>
      <c r="E1956" s="15" t="n">
        <v>0.714583333333333</v>
      </c>
      <c r="F1956" s="7" t="n">
        <v>5000</v>
      </c>
      <c r="G1956" s="7" t="n">
        <f aca="false">D1956*F1956</f>
        <v>5000</v>
      </c>
      <c r="H1956" s="2" t="str">
        <f aca="false">INDEX(Daftar_Menu!$B$2:$B$13,MATCH(C1956,Daftar_Menu!$A$2:$A$13,0))</f>
        <v>Minuman</v>
      </c>
      <c r="I1956" s="2" t="str">
        <f aca="false">CHOOSE(WEEKDAY(B1956,2),"Senin","Selasa","Rabu","Kamis","Jumat","Sabtu","Minggu")</f>
        <v>Jumat</v>
      </c>
      <c r="J1956" s="2" t="n">
        <f aca="false">HOUR(E1956)</f>
        <v>17</v>
      </c>
      <c r="K1956" s="2" t="str">
        <f aca="false">IF(J1956&lt;11,"Pagi",IF(J1956&lt;17,"Siang","Malam"))</f>
        <v>Malam</v>
      </c>
      <c r="L1956" s="2" t="n">
        <f aca="false">IF(A1956&lt;&gt;A1955,1,0)</f>
        <v>0</v>
      </c>
    </row>
    <row r="1957" customFormat="false" ht="15" hidden="false" customHeight="false" outlineLevel="0" collapsed="false">
      <c r="A1957" s="2" t="s">
        <v>1850</v>
      </c>
      <c r="B1957" s="13" t="n">
        <v>46290</v>
      </c>
      <c r="C1957" s="2" t="s">
        <v>132</v>
      </c>
      <c r="D1957" s="2" t="n">
        <v>1</v>
      </c>
      <c r="E1957" s="15" t="n">
        <v>0.714583333333333</v>
      </c>
      <c r="F1957" s="7" t="n">
        <v>15000</v>
      </c>
      <c r="G1957" s="7" t="n">
        <f aca="false">D1957*F1957</f>
        <v>15000</v>
      </c>
      <c r="H1957" s="2" t="str">
        <f aca="false">INDEX(Daftar_Menu!$B$2:$B$13,MATCH(C1957,Daftar_Menu!$A$2:$A$13,0))</f>
        <v>Makanan</v>
      </c>
      <c r="I1957" s="2" t="str">
        <f aca="false">CHOOSE(WEEKDAY(B1957,2),"Senin","Selasa","Rabu","Kamis","Jumat","Sabtu","Minggu")</f>
        <v>Jumat</v>
      </c>
      <c r="J1957" s="2" t="n">
        <f aca="false">HOUR(E1957)</f>
        <v>17</v>
      </c>
      <c r="K1957" s="2" t="str">
        <f aca="false">IF(J1957&lt;11,"Pagi",IF(J1957&lt;17,"Siang","Malam"))</f>
        <v>Malam</v>
      </c>
      <c r="L1957" s="2" t="n">
        <f aca="false">IF(A1957&lt;&gt;A1956,1,0)</f>
        <v>0</v>
      </c>
    </row>
    <row r="1958" customFormat="false" ht="15" hidden="false" customHeight="false" outlineLevel="0" collapsed="false">
      <c r="A1958" s="2" t="s">
        <v>1851</v>
      </c>
      <c r="B1958" s="13" t="n">
        <v>46290</v>
      </c>
      <c r="C1958" s="2" t="s">
        <v>92</v>
      </c>
      <c r="D1958" s="2" t="n">
        <v>1</v>
      </c>
      <c r="E1958" s="15" t="n">
        <v>0.741666666666667</v>
      </c>
      <c r="F1958" s="7" t="n">
        <v>4000</v>
      </c>
      <c r="G1958" s="7" t="n">
        <f aca="false">D1958*F1958</f>
        <v>4000</v>
      </c>
      <c r="H1958" s="2" t="str">
        <f aca="false">INDEX(Daftar_Menu!$B$2:$B$13,MATCH(C1958,Daftar_Menu!$A$2:$A$13,0))</f>
        <v>Minuman</v>
      </c>
      <c r="I1958" s="2" t="str">
        <f aca="false">CHOOSE(WEEKDAY(B1958,2),"Senin","Selasa","Rabu","Kamis","Jumat","Sabtu","Minggu")</f>
        <v>Jumat</v>
      </c>
      <c r="J1958" s="2" t="n">
        <f aca="false">HOUR(E1958)</f>
        <v>17</v>
      </c>
      <c r="K1958" s="2" t="str">
        <f aca="false">IF(J1958&lt;11,"Pagi",IF(J1958&lt;17,"Siang","Malam"))</f>
        <v>Malam</v>
      </c>
      <c r="L1958" s="2" t="n">
        <f aca="false">IF(A1958&lt;&gt;A1957,1,0)</f>
        <v>1</v>
      </c>
    </row>
    <row r="1959" customFormat="false" ht="15" hidden="false" customHeight="false" outlineLevel="0" collapsed="false">
      <c r="A1959" s="2" t="s">
        <v>1851</v>
      </c>
      <c r="B1959" s="13" t="n">
        <v>46290</v>
      </c>
      <c r="C1959" s="2" t="s">
        <v>84</v>
      </c>
      <c r="D1959" s="2" t="n">
        <v>1</v>
      </c>
      <c r="E1959" s="15" t="n">
        <v>0.741666666666667</v>
      </c>
      <c r="F1959" s="7" t="n">
        <v>5000</v>
      </c>
      <c r="G1959" s="7" t="n">
        <f aca="false">D1959*F1959</f>
        <v>5000</v>
      </c>
      <c r="H1959" s="2" t="str">
        <f aca="false">INDEX(Daftar_Menu!$B$2:$B$13,MATCH(C1959,Daftar_Menu!$A$2:$A$13,0))</f>
        <v>Minuman</v>
      </c>
      <c r="I1959" s="2" t="str">
        <f aca="false">CHOOSE(WEEKDAY(B1959,2),"Senin","Selasa","Rabu","Kamis","Jumat","Sabtu","Minggu")</f>
        <v>Jumat</v>
      </c>
      <c r="J1959" s="2" t="n">
        <f aca="false">HOUR(E1959)</f>
        <v>17</v>
      </c>
      <c r="K1959" s="2" t="str">
        <f aca="false">IF(J1959&lt;11,"Pagi",IF(J1959&lt;17,"Siang","Malam"))</f>
        <v>Malam</v>
      </c>
      <c r="L1959" s="2" t="n">
        <f aca="false">IF(A1959&lt;&gt;A1958,1,0)</f>
        <v>0</v>
      </c>
    </row>
    <row r="1960" customFormat="false" ht="15" hidden="false" customHeight="false" outlineLevel="0" collapsed="false">
      <c r="A1960" s="2" t="s">
        <v>1852</v>
      </c>
      <c r="B1960" s="13" t="n">
        <v>46290</v>
      </c>
      <c r="C1960" s="2" t="s">
        <v>112</v>
      </c>
      <c r="D1960" s="2" t="n">
        <v>1</v>
      </c>
      <c r="E1960" s="15" t="n">
        <v>0.742361111111111</v>
      </c>
      <c r="F1960" s="7" t="n">
        <v>10000</v>
      </c>
      <c r="G1960" s="7" t="n">
        <f aca="false">D1960*F1960</f>
        <v>10000</v>
      </c>
      <c r="H1960" s="2" t="str">
        <f aca="false">INDEX(Daftar_Menu!$B$2:$B$13,MATCH(C1960,Daftar_Menu!$A$2:$A$13,0))</f>
        <v>Minuman</v>
      </c>
      <c r="I1960" s="2" t="str">
        <f aca="false">CHOOSE(WEEKDAY(B1960,2),"Senin","Selasa","Rabu","Kamis","Jumat","Sabtu","Minggu")</f>
        <v>Jumat</v>
      </c>
      <c r="J1960" s="2" t="n">
        <f aca="false">HOUR(E1960)</f>
        <v>17</v>
      </c>
      <c r="K1960" s="2" t="str">
        <f aca="false">IF(J1960&lt;11,"Pagi",IF(J1960&lt;17,"Siang","Malam"))</f>
        <v>Malam</v>
      </c>
      <c r="L1960" s="2" t="n">
        <f aca="false">IF(A1960&lt;&gt;A1959,1,0)</f>
        <v>1</v>
      </c>
    </row>
    <row r="1961" customFormat="false" ht="15" hidden="false" customHeight="false" outlineLevel="0" collapsed="false">
      <c r="A1961" s="2" t="s">
        <v>1852</v>
      </c>
      <c r="B1961" s="13" t="n">
        <v>46290</v>
      </c>
      <c r="C1961" s="2" t="s">
        <v>126</v>
      </c>
      <c r="D1961" s="2" t="n">
        <v>1</v>
      </c>
      <c r="E1961" s="15" t="n">
        <v>0.742361111111111</v>
      </c>
      <c r="F1961" s="7" t="n">
        <v>3000</v>
      </c>
      <c r="G1961" s="7" t="n">
        <f aca="false">D1961*F1961</f>
        <v>3000</v>
      </c>
      <c r="H1961" s="2" t="str">
        <f aca="false">INDEX(Daftar_Menu!$B$2:$B$13,MATCH(C1961,Daftar_Menu!$A$2:$A$13,0))</f>
        <v>Minuman</v>
      </c>
      <c r="I1961" s="2" t="str">
        <f aca="false">CHOOSE(WEEKDAY(B1961,2),"Senin","Selasa","Rabu","Kamis","Jumat","Sabtu","Minggu")</f>
        <v>Jumat</v>
      </c>
      <c r="J1961" s="2" t="n">
        <f aca="false">HOUR(E1961)</f>
        <v>17</v>
      </c>
      <c r="K1961" s="2" t="str">
        <f aca="false">IF(J1961&lt;11,"Pagi",IF(J1961&lt;17,"Siang","Malam"))</f>
        <v>Malam</v>
      </c>
      <c r="L1961" s="2" t="n">
        <f aca="false">IF(A1961&lt;&gt;A1960,1,0)</f>
        <v>0</v>
      </c>
    </row>
    <row r="1962" customFormat="false" ht="15" hidden="false" customHeight="false" outlineLevel="0" collapsed="false">
      <c r="A1962" s="2" t="s">
        <v>1853</v>
      </c>
      <c r="B1962" s="13" t="n">
        <v>46290</v>
      </c>
      <c r="C1962" s="2" t="s">
        <v>81</v>
      </c>
      <c r="D1962" s="2" t="n">
        <v>2</v>
      </c>
      <c r="E1962" s="15" t="n">
        <v>0.747916666666667</v>
      </c>
      <c r="F1962" s="7" t="n">
        <v>15000</v>
      </c>
      <c r="G1962" s="7" t="n">
        <f aca="false">D1962*F1962</f>
        <v>30000</v>
      </c>
      <c r="H1962" s="2" t="str">
        <f aca="false">INDEX(Daftar_Menu!$B$2:$B$13,MATCH(C1962,Daftar_Menu!$A$2:$A$13,0))</f>
        <v>Makanan</v>
      </c>
      <c r="I1962" s="2" t="str">
        <f aca="false">CHOOSE(WEEKDAY(B1962,2),"Senin","Selasa","Rabu","Kamis","Jumat","Sabtu","Minggu")</f>
        <v>Jumat</v>
      </c>
      <c r="J1962" s="2" t="n">
        <f aca="false">HOUR(E1962)</f>
        <v>17</v>
      </c>
      <c r="K1962" s="2" t="str">
        <f aca="false">IF(J1962&lt;11,"Pagi",IF(J1962&lt;17,"Siang","Malam"))</f>
        <v>Malam</v>
      </c>
      <c r="L1962" s="2" t="n">
        <f aca="false">IF(A1962&lt;&gt;A1961,1,0)</f>
        <v>1</v>
      </c>
    </row>
    <row r="1963" customFormat="false" ht="15" hidden="false" customHeight="false" outlineLevel="0" collapsed="false">
      <c r="A1963" s="2" t="s">
        <v>1853</v>
      </c>
      <c r="B1963" s="13" t="n">
        <v>46290</v>
      </c>
      <c r="C1963" s="2" t="s">
        <v>112</v>
      </c>
      <c r="D1963" s="2" t="n">
        <v>2</v>
      </c>
      <c r="E1963" s="15" t="n">
        <v>0.747916666666667</v>
      </c>
      <c r="F1963" s="7" t="n">
        <v>10000</v>
      </c>
      <c r="G1963" s="7" t="n">
        <f aca="false">D1963*F1963</f>
        <v>20000</v>
      </c>
      <c r="H1963" s="2" t="str">
        <f aca="false">INDEX(Daftar_Menu!$B$2:$B$13,MATCH(C1963,Daftar_Menu!$A$2:$A$13,0))</f>
        <v>Minuman</v>
      </c>
      <c r="I1963" s="2" t="str">
        <f aca="false">CHOOSE(WEEKDAY(B1963,2),"Senin","Selasa","Rabu","Kamis","Jumat","Sabtu","Minggu")</f>
        <v>Jumat</v>
      </c>
      <c r="J1963" s="2" t="n">
        <f aca="false">HOUR(E1963)</f>
        <v>17</v>
      </c>
      <c r="K1963" s="2" t="str">
        <f aca="false">IF(J1963&lt;11,"Pagi",IF(J1963&lt;17,"Siang","Malam"))</f>
        <v>Malam</v>
      </c>
      <c r="L1963" s="2" t="n">
        <f aca="false">IF(A1963&lt;&gt;A1962,1,0)</f>
        <v>0</v>
      </c>
    </row>
    <row r="1964" customFormat="false" ht="15" hidden="false" customHeight="false" outlineLevel="0" collapsed="false">
      <c r="A1964" s="2" t="s">
        <v>1855</v>
      </c>
      <c r="B1964" s="13" t="n">
        <v>46290</v>
      </c>
      <c r="C1964" s="2" t="s">
        <v>84</v>
      </c>
      <c r="D1964" s="2" t="n">
        <v>1</v>
      </c>
      <c r="E1964" s="15" t="n">
        <v>0.751388888888889</v>
      </c>
      <c r="F1964" s="7" t="n">
        <v>5000</v>
      </c>
      <c r="G1964" s="7" t="n">
        <f aca="false">D1964*F1964</f>
        <v>5000</v>
      </c>
      <c r="H1964" s="2" t="str">
        <f aca="false">INDEX(Daftar_Menu!$B$2:$B$13,MATCH(C1964,Daftar_Menu!$A$2:$A$13,0))</f>
        <v>Minuman</v>
      </c>
      <c r="I1964" s="2" t="str">
        <f aca="false">CHOOSE(WEEKDAY(B1964,2),"Senin","Selasa","Rabu","Kamis","Jumat","Sabtu","Minggu")</f>
        <v>Jumat</v>
      </c>
      <c r="J1964" s="2" t="n">
        <f aca="false">HOUR(E1964)</f>
        <v>18</v>
      </c>
      <c r="K1964" s="2" t="str">
        <f aca="false">IF(J1964&lt;11,"Pagi",IF(J1964&lt;17,"Siang","Malam"))</f>
        <v>Malam</v>
      </c>
      <c r="L1964" s="2" t="n">
        <f aca="false">IF(A1964&lt;&gt;A1963,1,0)</f>
        <v>1</v>
      </c>
    </row>
    <row r="1965" customFormat="false" ht="15" hidden="false" customHeight="false" outlineLevel="0" collapsed="false">
      <c r="A1965" s="2" t="s">
        <v>1855</v>
      </c>
      <c r="B1965" s="13" t="n">
        <v>46290</v>
      </c>
      <c r="C1965" s="2" t="s">
        <v>101</v>
      </c>
      <c r="D1965" s="2" t="n">
        <v>2</v>
      </c>
      <c r="E1965" s="15" t="n">
        <v>0.751388888888889</v>
      </c>
      <c r="F1965" s="7" t="n">
        <v>18000</v>
      </c>
      <c r="G1965" s="7" t="n">
        <f aca="false">D1965*F1965</f>
        <v>36000</v>
      </c>
      <c r="H1965" s="2" t="str">
        <f aca="false">INDEX(Daftar_Menu!$B$2:$B$13,MATCH(C1965,Daftar_Menu!$A$2:$A$13,0))</f>
        <v>Makanan</v>
      </c>
      <c r="I1965" s="2" t="str">
        <f aca="false">CHOOSE(WEEKDAY(B1965,2),"Senin","Selasa","Rabu","Kamis","Jumat","Sabtu","Minggu")</f>
        <v>Jumat</v>
      </c>
      <c r="J1965" s="2" t="n">
        <f aca="false">HOUR(E1965)</f>
        <v>18</v>
      </c>
      <c r="K1965" s="2" t="str">
        <f aca="false">IF(J1965&lt;11,"Pagi",IF(J1965&lt;17,"Siang","Malam"))</f>
        <v>Malam</v>
      </c>
      <c r="L1965" s="2" t="n">
        <f aca="false">IF(A1965&lt;&gt;A1964,1,0)</f>
        <v>0</v>
      </c>
    </row>
    <row r="1966" customFormat="false" ht="15" hidden="false" customHeight="false" outlineLevel="0" collapsed="false">
      <c r="A1966" s="2" t="s">
        <v>1856</v>
      </c>
      <c r="B1966" s="13" t="n">
        <v>46290</v>
      </c>
      <c r="C1966" s="2" t="s">
        <v>79</v>
      </c>
      <c r="D1966" s="2" t="n">
        <v>3</v>
      </c>
      <c r="E1966" s="15" t="n">
        <v>0.78125</v>
      </c>
      <c r="F1966" s="7" t="n">
        <v>16000</v>
      </c>
      <c r="G1966" s="7" t="n">
        <f aca="false">D1966*F1966</f>
        <v>48000</v>
      </c>
      <c r="H1966" s="2" t="str">
        <f aca="false">INDEX(Daftar_Menu!$B$2:$B$13,MATCH(C1966,Daftar_Menu!$A$2:$A$13,0))</f>
        <v>Makanan</v>
      </c>
      <c r="I1966" s="2" t="str">
        <f aca="false">CHOOSE(WEEKDAY(B1966,2),"Senin","Selasa","Rabu","Kamis","Jumat","Sabtu","Minggu")</f>
        <v>Jumat</v>
      </c>
      <c r="J1966" s="2" t="n">
        <f aca="false">HOUR(E1966)</f>
        <v>18</v>
      </c>
      <c r="K1966" s="2" t="str">
        <f aca="false">IF(J1966&lt;11,"Pagi",IF(J1966&lt;17,"Siang","Malam"))</f>
        <v>Malam</v>
      </c>
      <c r="L1966" s="2" t="n">
        <f aca="false">IF(A1966&lt;&gt;A1965,1,0)</f>
        <v>1</v>
      </c>
    </row>
    <row r="1967" customFormat="false" ht="15" hidden="false" customHeight="false" outlineLevel="0" collapsed="false">
      <c r="A1967" s="2" t="s">
        <v>1857</v>
      </c>
      <c r="B1967" s="13" t="n">
        <v>46290</v>
      </c>
      <c r="C1967" s="2" t="s">
        <v>81</v>
      </c>
      <c r="D1967" s="2" t="n">
        <v>1</v>
      </c>
      <c r="E1967" s="15" t="n">
        <v>0.815277777777778</v>
      </c>
      <c r="F1967" s="7" t="n">
        <v>15000</v>
      </c>
      <c r="G1967" s="7" t="n">
        <f aca="false">D1967*F1967</f>
        <v>15000</v>
      </c>
      <c r="H1967" s="2" t="str">
        <f aca="false">INDEX(Daftar_Menu!$B$2:$B$13,MATCH(C1967,Daftar_Menu!$A$2:$A$13,0))</f>
        <v>Makanan</v>
      </c>
      <c r="I1967" s="2" t="str">
        <f aca="false">CHOOSE(WEEKDAY(B1967,2),"Senin","Selasa","Rabu","Kamis","Jumat","Sabtu","Minggu")</f>
        <v>Jumat</v>
      </c>
      <c r="J1967" s="2" t="n">
        <f aca="false">HOUR(E1967)</f>
        <v>19</v>
      </c>
      <c r="K1967" s="2" t="str">
        <f aca="false">IF(J1967&lt;11,"Pagi",IF(J1967&lt;17,"Siang","Malam"))</f>
        <v>Malam</v>
      </c>
      <c r="L1967" s="2" t="n">
        <f aca="false">IF(A1967&lt;&gt;A1966,1,0)</f>
        <v>1</v>
      </c>
    </row>
    <row r="1968" customFormat="false" ht="15" hidden="false" customHeight="false" outlineLevel="0" collapsed="false">
      <c r="A1968" s="2" t="s">
        <v>1858</v>
      </c>
      <c r="B1968" s="13" t="n">
        <v>46290</v>
      </c>
      <c r="C1968" s="2" t="s">
        <v>132</v>
      </c>
      <c r="D1968" s="2" t="n">
        <v>1</v>
      </c>
      <c r="E1968" s="15" t="n">
        <v>0.816666666666667</v>
      </c>
      <c r="F1968" s="7" t="n">
        <v>15000</v>
      </c>
      <c r="G1968" s="7" t="n">
        <f aca="false">D1968*F1968</f>
        <v>15000</v>
      </c>
      <c r="H1968" s="2" t="str">
        <f aca="false">INDEX(Daftar_Menu!$B$2:$B$13,MATCH(C1968,Daftar_Menu!$A$2:$A$13,0))</f>
        <v>Makanan</v>
      </c>
      <c r="I1968" s="2" t="str">
        <f aca="false">CHOOSE(WEEKDAY(B1968,2),"Senin","Selasa","Rabu","Kamis","Jumat","Sabtu","Minggu")</f>
        <v>Jumat</v>
      </c>
      <c r="J1968" s="2" t="n">
        <f aca="false">HOUR(E1968)</f>
        <v>19</v>
      </c>
      <c r="K1968" s="2" t="str">
        <f aca="false">IF(J1968&lt;11,"Pagi",IF(J1968&lt;17,"Siang","Malam"))</f>
        <v>Malam</v>
      </c>
      <c r="L1968" s="2" t="n">
        <f aca="false">IF(A1968&lt;&gt;A1967,1,0)</f>
        <v>1</v>
      </c>
    </row>
    <row r="1969" customFormat="false" ht="15" hidden="false" customHeight="false" outlineLevel="0" collapsed="false">
      <c r="A1969" s="2" t="s">
        <v>1859</v>
      </c>
      <c r="B1969" s="13" t="n">
        <v>46290</v>
      </c>
      <c r="C1969" s="2" t="s">
        <v>132</v>
      </c>
      <c r="D1969" s="2" t="n">
        <v>1</v>
      </c>
      <c r="E1969" s="15" t="n">
        <v>0.83125</v>
      </c>
      <c r="F1969" s="7" t="n">
        <v>15000</v>
      </c>
      <c r="G1969" s="7" t="n">
        <f aca="false">D1969*F1969</f>
        <v>15000</v>
      </c>
      <c r="H1969" s="2" t="str">
        <f aca="false">INDEX(Daftar_Menu!$B$2:$B$13,MATCH(C1969,Daftar_Menu!$A$2:$A$13,0))</f>
        <v>Makanan</v>
      </c>
      <c r="I1969" s="2" t="str">
        <f aca="false">CHOOSE(WEEKDAY(B1969,2),"Senin","Selasa","Rabu","Kamis","Jumat","Sabtu","Minggu")</f>
        <v>Jumat</v>
      </c>
      <c r="J1969" s="2" t="n">
        <f aca="false">HOUR(E1969)</f>
        <v>19</v>
      </c>
      <c r="K1969" s="2" t="str">
        <f aca="false">IF(J1969&lt;11,"Pagi",IF(J1969&lt;17,"Siang","Malam"))</f>
        <v>Malam</v>
      </c>
      <c r="L1969" s="2" t="n">
        <f aca="false">IF(A1969&lt;&gt;A1968,1,0)</f>
        <v>1</v>
      </c>
    </row>
    <row r="1970" customFormat="false" ht="15" hidden="false" customHeight="false" outlineLevel="0" collapsed="false">
      <c r="A1970" s="2" t="s">
        <v>1859</v>
      </c>
      <c r="B1970" s="13" t="n">
        <v>46290</v>
      </c>
      <c r="C1970" s="2" t="s">
        <v>101</v>
      </c>
      <c r="D1970" s="2" t="n">
        <v>1</v>
      </c>
      <c r="E1970" s="15" t="n">
        <v>0.83125</v>
      </c>
      <c r="F1970" s="7" t="n">
        <v>18000</v>
      </c>
      <c r="G1970" s="7" t="n">
        <f aca="false">D1970*F1970</f>
        <v>18000</v>
      </c>
      <c r="H1970" s="2" t="str">
        <f aca="false">INDEX(Daftar_Menu!$B$2:$B$13,MATCH(C1970,Daftar_Menu!$A$2:$A$13,0))</f>
        <v>Makanan</v>
      </c>
      <c r="I1970" s="2" t="str">
        <f aca="false">CHOOSE(WEEKDAY(B1970,2),"Senin","Selasa","Rabu","Kamis","Jumat","Sabtu","Minggu")</f>
        <v>Jumat</v>
      </c>
      <c r="J1970" s="2" t="n">
        <f aca="false">HOUR(E1970)</f>
        <v>19</v>
      </c>
      <c r="K1970" s="2" t="str">
        <f aca="false">IF(J1970&lt;11,"Pagi",IF(J1970&lt;17,"Siang","Malam"))</f>
        <v>Malam</v>
      </c>
      <c r="L1970" s="2" t="n">
        <f aca="false">IF(A1970&lt;&gt;A1969,1,0)</f>
        <v>0</v>
      </c>
    </row>
    <row r="1971" customFormat="false" ht="15" hidden="false" customHeight="false" outlineLevel="0" collapsed="false">
      <c r="A1971" s="2" t="s">
        <v>1859</v>
      </c>
      <c r="B1971" s="13" t="n">
        <v>46290</v>
      </c>
      <c r="C1971" s="2" t="s">
        <v>89</v>
      </c>
      <c r="D1971" s="2" t="n">
        <v>1</v>
      </c>
      <c r="E1971" s="15" t="n">
        <v>0.83125</v>
      </c>
      <c r="F1971" s="7" t="n">
        <v>14000</v>
      </c>
      <c r="G1971" s="7" t="n">
        <f aca="false">D1971*F1971</f>
        <v>14000</v>
      </c>
      <c r="H1971" s="2" t="str">
        <f aca="false">INDEX(Daftar_Menu!$B$2:$B$13,MATCH(C1971,Daftar_Menu!$A$2:$A$13,0))</f>
        <v>Makanan</v>
      </c>
      <c r="I1971" s="2" t="str">
        <f aca="false">CHOOSE(WEEKDAY(B1971,2),"Senin","Selasa","Rabu","Kamis","Jumat","Sabtu","Minggu")</f>
        <v>Jumat</v>
      </c>
      <c r="J1971" s="2" t="n">
        <f aca="false">HOUR(E1971)</f>
        <v>19</v>
      </c>
      <c r="K1971" s="2" t="str">
        <f aca="false">IF(J1971&lt;11,"Pagi",IF(J1971&lt;17,"Siang","Malam"))</f>
        <v>Malam</v>
      </c>
      <c r="L1971" s="2" t="n">
        <f aca="false">IF(A1971&lt;&gt;A1970,1,0)</f>
        <v>0</v>
      </c>
    </row>
    <row r="1972" customFormat="false" ht="15" hidden="false" customHeight="false" outlineLevel="0" collapsed="false">
      <c r="A1972" s="2" t="s">
        <v>1860</v>
      </c>
      <c r="B1972" s="13" t="n">
        <v>46290</v>
      </c>
      <c r="C1972" s="2" t="s">
        <v>81</v>
      </c>
      <c r="D1972" s="2" t="n">
        <v>2</v>
      </c>
      <c r="E1972" s="15" t="n">
        <v>0.836111111111111</v>
      </c>
      <c r="F1972" s="7" t="n">
        <v>15000</v>
      </c>
      <c r="G1972" s="7" t="n">
        <f aca="false">D1972*F1972</f>
        <v>30000</v>
      </c>
      <c r="H1972" s="2" t="str">
        <f aca="false">INDEX(Daftar_Menu!$B$2:$B$13,MATCH(C1972,Daftar_Menu!$A$2:$A$13,0))</f>
        <v>Makanan</v>
      </c>
      <c r="I1972" s="2" t="str">
        <f aca="false">CHOOSE(WEEKDAY(B1972,2),"Senin","Selasa","Rabu","Kamis","Jumat","Sabtu","Minggu")</f>
        <v>Jumat</v>
      </c>
      <c r="J1972" s="2" t="n">
        <f aca="false">HOUR(E1972)</f>
        <v>20</v>
      </c>
      <c r="K1972" s="2" t="str">
        <f aca="false">IF(J1972&lt;11,"Pagi",IF(J1972&lt;17,"Siang","Malam"))</f>
        <v>Malam</v>
      </c>
      <c r="L1972" s="2" t="n">
        <f aca="false">IF(A1972&lt;&gt;A1971,1,0)</f>
        <v>1</v>
      </c>
    </row>
    <row r="1973" customFormat="false" ht="15" hidden="false" customHeight="false" outlineLevel="0" collapsed="false">
      <c r="A1973" s="2" t="s">
        <v>1862</v>
      </c>
      <c r="B1973" s="13" t="n">
        <v>46290</v>
      </c>
      <c r="C1973" s="2" t="s">
        <v>84</v>
      </c>
      <c r="D1973" s="2" t="n">
        <v>1</v>
      </c>
      <c r="E1973" s="15" t="n">
        <v>0.838194444444445</v>
      </c>
      <c r="F1973" s="7" t="n">
        <v>5000</v>
      </c>
      <c r="G1973" s="7" t="n">
        <f aca="false">D1973*F1973</f>
        <v>5000</v>
      </c>
      <c r="H1973" s="2" t="str">
        <f aca="false">INDEX(Daftar_Menu!$B$2:$B$13,MATCH(C1973,Daftar_Menu!$A$2:$A$13,0))</f>
        <v>Minuman</v>
      </c>
      <c r="I1973" s="2" t="str">
        <f aca="false">CHOOSE(WEEKDAY(B1973,2),"Senin","Selasa","Rabu","Kamis","Jumat","Sabtu","Minggu")</f>
        <v>Jumat</v>
      </c>
      <c r="J1973" s="2" t="n">
        <f aca="false">HOUR(E1973)</f>
        <v>20</v>
      </c>
      <c r="K1973" s="2" t="str">
        <f aca="false">IF(J1973&lt;11,"Pagi",IF(J1973&lt;17,"Siang","Malam"))</f>
        <v>Malam</v>
      </c>
      <c r="L1973" s="2" t="n">
        <f aca="false">IF(A1973&lt;&gt;A1972,1,0)</f>
        <v>1</v>
      </c>
    </row>
    <row r="1974" customFormat="false" ht="15" hidden="false" customHeight="false" outlineLevel="0" collapsed="false">
      <c r="A1974" s="2" t="s">
        <v>1863</v>
      </c>
      <c r="B1974" s="13" t="n">
        <v>46290</v>
      </c>
      <c r="C1974" s="2" t="s">
        <v>112</v>
      </c>
      <c r="D1974" s="2" t="n">
        <v>3</v>
      </c>
      <c r="E1974" s="15" t="n">
        <v>0.838194444444445</v>
      </c>
      <c r="F1974" s="7" t="n">
        <v>10000</v>
      </c>
      <c r="G1974" s="7" t="n">
        <f aca="false">D1974*F1974</f>
        <v>30000</v>
      </c>
      <c r="H1974" s="2" t="str">
        <f aca="false">INDEX(Daftar_Menu!$B$2:$B$13,MATCH(C1974,Daftar_Menu!$A$2:$A$13,0))</f>
        <v>Minuman</v>
      </c>
      <c r="I1974" s="2" t="str">
        <f aca="false">CHOOSE(WEEKDAY(B1974,2),"Senin","Selasa","Rabu","Kamis","Jumat","Sabtu","Minggu")</f>
        <v>Jumat</v>
      </c>
      <c r="J1974" s="2" t="n">
        <f aca="false">HOUR(E1974)</f>
        <v>20</v>
      </c>
      <c r="K1974" s="2" t="str">
        <f aca="false">IF(J1974&lt;11,"Pagi",IF(J1974&lt;17,"Siang","Malam"))</f>
        <v>Malam</v>
      </c>
      <c r="L1974" s="2" t="n">
        <f aca="false">IF(A1974&lt;&gt;A1973,1,0)</f>
        <v>1</v>
      </c>
    </row>
    <row r="1975" customFormat="false" ht="15" hidden="false" customHeight="false" outlineLevel="0" collapsed="false">
      <c r="A1975" s="2" t="s">
        <v>1863</v>
      </c>
      <c r="B1975" s="13" t="n">
        <v>46290</v>
      </c>
      <c r="C1975" s="2" t="s">
        <v>108</v>
      </c>
      <c r="D1975" s="2" t="n">
        <v>1</v>
      </c>
      <c r="E1975" s="15" t="n">
        <v>0.838194444444445</v>
      </c>
      <c r="F1975" s="7" t="n">
        <v>20000</v>
      </c>
      <c r="G1975" s="7" t="n">
        <f aca="false">D1975*F1975</f>
        <v>20000</v>
      </c>
      <c r="H1975" s="2" t="str">
        <f aca="false">INDEX(Daftar_Menu!$B$2:$B$13,MATCH(C1975,Daftar_Menu!$A$2:$A$13,0))</f>
        <v>Makanan</v>
      </c>
      <c r="I1975" s="2" t="str">
        <f aca="false">CHOOSE(WEEKDAY(B1975,2),"Senin","Selasa","Rabu","Kamis","Jumat","Sabtu","Minggu")</f>
        <v>Jumat</v>
      </c>
      <c r="J1975" s="2" t="n">
        <f aca="false">HOUR(E1975)</f>
        <v>20</v>
      </c>
      <c r="K1975" s="2" t="str">
        <f aca="false">IF(J1975&lt;11,"Pagi",IF(J1975&lt;17,"Siang","Malam"))</f>
        <v>Malam</v>
      </c>
      <c r="L1975" s="2" t="n">
        <f aca="false">IF(A1975&lt;&gt;A1974,1,0)</f>
        <v>0</v>
      </c>
    </row>
    <row r="1976" customFormat="false" ht="15" hidden="false" customHeight="false" outlineLevel="0" collapsed="false">
      <c r="A1976" s="2" t="s">
        <v>1864</v>
      </c>
      <c r="B1976" s="13" t="n">
        <v>46290</v>
      </c>
      <c r="C1976" s="2" t="s">
        <v>132</v>
      </c>
      <c r="D1976" s="2" t="n">
        <v>2</v>
      </c>
      <c r="E1976" s="15" t="n">
        <v>0.838888888888889</v>
      </c>
      <c r="F1976" s="7" t="n">
        <v>15000</v>
      </c>
      <c r="G1976" s="7" t="n">
        <f aca="false">D1976*F1976</f>
        <v>30000</v>
      </c>
      <c r="H1976" s="2" t="str">
        <f aca="false">INDEX(Daftar_Menu!$B$2:$B$13,MATCH(C1976,Daftar_Menu!$A$2:$A$13,0))</f>
        <v>Makanan</v>
      </c>
      <c r="I1976" s="2" t="str">
        <f aca="false">CHOOSE(WEEKDAY(B1976,2),"Senin","Selasa","Rabu","Kamis","Jumat","Sabtu","Minggu")</f>
        <v>Jumat</v>
      </c>
      <c r="J1976" s="2" t="n">
        <f aca="false">HOUR(E1976)</f>
        <v>20</v>
      </c>
      <c r="K1976" s="2" t="str">
        <f aca="false">IF(J1976&lt;11,"Pagi",IF(J1976&lt;17,"Siang","Malam"))</f>
        <v>Malam</v>
      </c>
      <c r="L1976" s="2" t="n">
        <f aca="false">IF(A1976&lt;&gt;A1975,1,0)</f>
        <v>1</v>
      </c>
    </row>
    <row r="1977" customFormat="false" ht="15" hidden="false" customHeight="false" outlineLevel="0" collapsed="false">
      <c r="A1977" s="2" t="s">
        <v>1864</v>
      </c>
      <c r="B1977" s="13" t="n">
        <v>46290</v>
      </c>
      <c r="C1977" s="2" t="s">
        <v>84</v>
      </c>
      <c r="D1977" s="2" t="n">
        <v>1</v>
      </c>
      <c r="E1977" s="15" t="n">
        <v>0.838888888888889</v>
      </c>
      <c r="F1977" s="7" t="n">
        <v>5000</v>
      </c>
      <c r="G1977" s="7" t="n">
        <f aca="false">D1977*F1977</f>
        <v>5000</v>
      </c>
      <c r="H1977" s="2" t="str">
        <f aca="false">INDEX(Daftar_Menu!$B$2:$B$13,MATCH(C1977,Daftar_Menu!$A$2:$A$13,0))</f>
        <v>Minuman</v>
      </c>
      <c r="I1977" s="2" t="str">
        <f aca="false">CHOOSE(WEEKDAY(B1977,2),"Senin","Selasa","Rabu","Kamis","Jumat","Sabtu","Minggu")</f>
        <v>Jumat</v>
      </c>
      <c r="J1977" s="2" t="n">
        <f aca="false">HOUR(E1977)</f>
        <v>20</v>
      </c>
      <c r="K1977" s="2" t="str">
        <f aca="false">IF(J1977&lt;11,"Pagi",IF(J1977&lt;17,"Siang","Malam"))</f>
        <v>Malam</v>
      </c>
      <c r="L1977" s="2" t="n">
        <f aca="false">IF(A1977&lt;&gt;A1976,1,0)</f>
        <v>0</v>
      </c>
    </row>
    <row r="1978" customFormat="false" ht="15" hidden="false" customHeight="false" outlineLevel="0" collapsed="false">
      <c r="A1978" s="2" t="s">
        <v>1865</v>
      </c>
      <c r="B1978" s="13" t="n">
        <v>46291</v>
      </c>
      <c r="C1978" s="2" t="s">
        <v>82</v>
      </c>
      <c r="D1978" s="2" t="n">
        <v>1</v>
      </c>
      <c r="E1978" s="15" t="n">
        <v>0.381944444444444</v>
      </c>
      <c r="F1978" s="7" t="n">
        <v>13000</v>
      </c>
      <c r="G1978" s="7" t="n">
        <f aca="false">D1978*F1978</f>
        <v>13000</v>
      </c>
      <c r="H1978" s="2" t="str">
        <f aca="false">INDEX(Daftar_Menu!$B$2:$B$13,MATCH(C1978,Daftar_Menu!$A$2:$A$13,0))</f>
        <v>Makanan</v>
      </c>
      <c r="I1978" s="2" t="str">
        <f aca="false">CHOOSE(WEEKDAY(B1978,2),"Senin","Selasa","Rabu","Kamis","Jumat","Sabtu","Minggu")</f>
        <v>Sabtu</v>
      </c>
      <c r="J1978" s="2" t="n">
        <f aca="false">HOUR(E1978)</f>
        <v>9</v>
      </c>
      <c r="K1978" s="2" t="str">
        <f aca="false">IF(J1978&lt;11,"Pagi",IF(J1978&lt;17,"Siang","Malam"))</f>
        <v>Pagi</v>
      </c>
      <c r="L1978" s="2" t="n">
        <f aca="false">IF(A1978&lt;&gt;A1977,1,0)</f>
        <v>1</v>
      </c>
    </row>
    <row r="1979" customFormat="false" ht="15" hidden="false" customHeight="false" outlineLevel="0" collapsed="false">
      <c r="A1979" s="2" t="s">
        <v>1867</v>
      </c>
      <c r="B1979" s="13" t="n">
        <v>46291</v>
      </c>
      <c r="C1979" s="2" t="s">
        <v>126</v>
      </c>
      <c r="D1979" s="2" t="n">
        <v>2</v>
      </c>
      <c r="E1979" s="15" t="n">
        <v>0.390277777777778</v>
      </c>
      <c r="F1979" s="7" t="n">
        <v>3000</v>
      </c>
      <c r="G1979" s="7" t="n">
        <f aca="false">D1979*F1979</f>
        <v>6000</v>
      </c>
      <c r="H1979" s="2" t="str">
        <f aca="false">INDEX(Daftar_Menu!$B$2:$B$13,MATCH(C1979,Daftar_Menu!$A$2:$A$13,0))</f>
        <v>Minuman</v>
      </c>
      <c r="I1979" s="2" t="str">
        <f aca="false">CHOOSE(WEEKDAY(B1979,2),"Senin","Selasa","Rabu","Kamis","Jumat","Sabtu","Minggu")</f>
        <v>Sabtu</v>
      </c>
      <c r="J1979" s="2" t="n">
        <f aca="false">HOUR(E1979)</f>
        <v>9</v>
      </c>
      <c r="K1979" s="2" t="str">
        <f aca="false">IF(J1979&lt;11,"Pagi",IF(J1979&lt;17,"Siang","Malam"))</f>
        <v>Pagi</v>
      </c>
      <c r="L1979" s="2" t="n">
        <f aca="false">IF(A1979&lt;&gt;A1978,1,0)</f>
        <v>1</v>
      </c>
    </row>
    <row r="1980" customFormat="false" ht="15" hidden="false" customHeight="false" outlineLevel="0" collapsed="false">
      <c r="A1980" s="2" t="s">
        <v>1867</v>
      </c>
      <c r="B1980" s="13" t="n">
        <v>46291</v>
      </c>
      <c r="C1980" s="2" t="s">
        <v>84</v>
      </c>
      <c r="D1980" s="2" t="n">
        <v>2</v>
      </c>
      <c r="E1980" s="15" t="n">
        <v>0.390277777777778</v>
      </c>
      <c r="F1980" s="7" t="n">
        <v>5000</v>
      </c>
      <c r="G1980" s="7" t="n">
        <f aca="false">D1980*F1980</f>
        <v>10000</v>
      </c>
      <c r="H1980" s="2" t="str">
        <f aca="false">INDEX(Daftar_Menu!$B$2:$B$13,MATCH(C1980,Daftar_Menu!$A$2:$A$13,0))</f>
        <v>Minuman</v>
      </c>
      <c r="I1980" s="2" t="str">
        <f aca="false">CHOOSE(WEEKDAY(B1980,2),"Senin","Selasa","Rabu","Kamis","Jumat","Sabtu","Minggu")</f>
        <v>Sabtu</v>
      </c>
      <c r="J1980" s="2" t="n">
        <f aca="false">HOUR(E1980)</f>
        <v>9</v>
      </c>
      <c r="K1980" s="2" t="str">
        <f aca="false">IF(J1980&lt;11,"Pagi",IF(J1980&lt;17,"Siang","Malam"))</f>
        <v>Pagi</v>
      </c>
      <c r="L1980" s="2" t="n">
        <f aca="false">IF(A1980&lt;&gt;A1979,1,0)</f>
        <v>0</v>
      </c>
    </row>
    <row r="1981" customFormat="false" ht="15" hidden="false" customHeight="false" outlineLevel="0" collapsed="false">
      <c r="A1981" s="2" t="s">
        <v>1868</v>
      </c>
      <c r="B1981" s="13" t="n">
        <v>46291</v>
      </c>
      <c r="C1981" s="2" t="s">
        <v>101</v>
      </c>
      <c r="D1981" s="2" t="n">
        <v>1</v>
      </c>
      <c r="E1981" s="15" t="n">
        <v>0.416666666666667</v>
      </c>
      <c r="F1981" s="7" t="n">
        <v>18000</v>
      </c>
      <c r="G1981" s="7" t="n">
        <f aca="false">D1981*F1981</f>
        <v>18000</v>
      </c>
      <c r="H1981" s="2" t="str">
        <f aca="false">INDEX(Daftar_Menu!$B$2:$B$13,MATCH(C1981,Daftar_Menu!$A$2:$A$13,0))</f>
        <v>Makanan</v>
      </c>
      <c r="I1981" s="2" t="str">
        <f aca="false">CHOOSE(WEEKDAY(B1981,2),"Senin","Selasa","Rabu","Kamis","Jumat","Sabtu","Minggu")</f>
        <v>Sabtu</v>
      </c>
      <c r="J1981" s="2" t="n">
        <f aca="false">HOUR(E1981)</f>
        <v>10</v>
      </c>
      <c r="K1981" s="2" t="str">
        <f aca="false">IF(J1981&lt;11,"Pagi",IF(J1981&lt;17,"Siang","Malam"))</f>
        <v>Pagi</v>
      </c>
      <c r="L1981" s="2" t="n">
        <f aca="false">IF(A1981&lt;&gt;A1980,1,0)</f>
        <v>1</v>
      </c>
    </row>
    <row r="1982" customFormat="false" ht="15" hidden="false" customHeight="false" outlineLevel="0" collapsed="false">
      <c r="A1982" s="2" t="s">
        <v>1869</v>
      </c>
      <c r="B1982" s="13" t="n">
        <v>46291</v>
      </c>
      <c r="C1982" s="2" t="s">
        <v>81</v>
      </c>
      <c r="D1982" s="2" t="n">
        <v>1</v>
      </c>
      <c r="E1982" s="15" t="n">
        <v>0.421527777777778</v>
      </c>
      <c r="F1982" s="7" t="n">
        <v>15000</v>
      </c>
      <c r="G1982" s="7" t="n">
        <f aca="false">D1982*F1982</f>
        <v>15000</v>
      </c>
      <c r="H1982" s="2" t="str">
        <f aca="false">INDEX(Daftar_Menu!$B$2:$B$13,MATCH(C1982,Daftar_Menu!$A$2:$A$13,0))</f>
        <v>Makanan</v>
      </c>
      <c r="I1982" s="2" t="str">
        <f aca="false">CHOOSE(WEEKDAY(B1982,2),"Senin","Selasa","Rabu","Kamis","Jumat","Sabtu","Minggu")</f>
        <v>Sabtu</v>
      </c>
      <c r="J1982" s="2" t="n">
        <f aca="false">HOUR(E1982)</f>
        <v>10</v>
      </c>
      <c r="K1982" s="2" t="str">
        <f aca="false">IF(J1982&lt;11,"Pagi",IF(J1982&lt;17,"Siang","Malam"))</f>
        <v>Pagi</v>
      </c>
      <c r="L1982" s="2" t="n">
        <f aca="false">IF(A1982&lt;&gt;A1981,1,0)</f>
        <v>1</v>
      </c>
    </row>
    <row r="1983" customFormat="false" ht="15" hidden="false" customHeight="false" outlineLevel="0" collapsed="false">
      <c r="A1983" s="2" t="s">
        <v>1871</v>
      </c>
      <c r="B1983" s="13" t="n">
        <v>46291</v>
      </c>
      <c r="C1983" s="2" t="s">
        <v>81</v>
      </c>
      <c r="D1983" s="2" t="n">
        <v>1</v>
      </c>
      <c r="E1983" s="15" t="n">
        <v>0.429861111111111</v>
      </c>
      <c r="F1983" s="7" t="n">
        <v>15000</v>
      </c>
      <c r="G1983" s="7" t="n">
        <f aca="false">D1983*F1983</f>
        <v>15000</v>
      </c>
      <c r="H1983" s="2" t="str">
        <f aca="false">INDEX(Daftar_Menu!$B$2:$B$13,MATCH(C1983,Daftar_Menu!$A$2:$A$13,0))</f>
        <v>Makanan</v>
      </c>
      <c r="I1983" s="2" t="str">
        <f aca="false">CHOOSE(WEEKDAY(B1983,2),"Senin","Selasa","Rabu","Kamis","Jumat","Sabtu","Minggu")</f>
        <v>Sabtu</v>
      </c>
      <c r="J1983" s="2" t="n">
        <f aca="false">HOUR(E1983)</f>
        <v>10</v>
      </c>
      <c r="K1983" s="2" t="str">
        <f aca="false">IF(J1983&lt;11,"Pagi",IF(J1983&lt;17,"Siang","Malam"))</f>
        <v>Pagi</v>
      </c>
      <c r="L1983" s="2" t="n">
        <f aca="false">IF(A1983&lt;&gt;A1982,1,0)</f>
        <v>1</v>
      </c>
    </row>
    <row r="1984" customFormat="false" ht="15" hidden="false" customHeight="false" outlineLevel="0" collapsed="false">
      <c r="A1984" s="2" t="s">
        <v>1871</v>
      </c>
      <c r="B1984" s="13" t="n">
        <v>46291</v>
      </c>
      <c r="C1984" s="2" t="s">
        <v>92</v>
      </c>
      <c r="D1984" s="2" t="n">
        <v>1</v>
      </c>
      <c r="E1984" s="15" t="n">
        <v>0.429861111111111</v>
      </c>
      <c r="F1984" s="7" t="n">
        <v>4000</v>
      </c>
      <c r="G1984" s="7" t="n">
        <f aca="false">D1984*F1984</f>
        <v>4000</v>
      </c>
      <c r="H1984" s="2" t="str">
        <f aca="false">INDEX(Daftar_Menu!$B$2:$B$13,MATCH(C1984,Daftar_Menu!$A$2:$A$13,0))</f>
        <v>Minuman</v>
      </c>
      <c r="I1984" s="2" t="str">
        <f aca="false">CHOOSE(WEEKDAY(B1984,2),"Senin","Selasa","Rabu","Kamis","Jumat","Sabtu","Minggu")</f>
        <v>Sabtu</v>
      </c>
      <c r="J1984" s="2" t="n">
        <f aca="false">HOUR(E1984)</f>
        <v>10</v>
      </c>
      <c r="K1984" s="2" t="str">
        <f aca="false">IF(J1984&lt;11,"Pagi",IF(J1984&lt;17,"Siang","Malam"))</f>
        <v>Pagi</v>
      </c>
      <c r="L1984" s="2" t="n">
        <f aca="false">IF(A1984&lt;&gt;A1983,1,0)</f>
        <v>0</v>
      </c>
    </row>
    <row r="1985" customFormat="false" ht="15" hidden="false" customHeight="false" outlineLevel="0" collapsed="false">
      <c r="A1985" s="2" t="s">
        <v>1871</v>
      </c>
      <c r="B1985" s="13" t="n">
        <v>46291</v>
      </c>
      <c r="C1985" s="2" t="s">
        <v>112</v>
      </c>
      <c r="D1985" s="2" t="n">
        <v>1</v>
      </c>
      <c r="E1985" s="15" t="n">
        <v>0.429861111111111</v>
      </c>
      <c r="F1985" s="7" t="n">
        <v>10000</v>
      </c>
      <c r="G1985" s="7" t="n">
        <f aca="false">D1985*F1985</f>
        <v>10000</v>
      </c>
      <c r="H1985" s="2" t="str">
        <f aca="false">INDEX(Daftar_Menu!$B$2:$B$13,MATCH(C1985,Daftar_Menu!$A$2:$A$13,0))</f>
        <v>Minuman</v>
      </c>
      <c r="I1985" s="2" t="str">
        <f aca="false">CHOOSE(WEEKDAY(B1985,2),"Senin","Selasa","Rabu","Kamis","Jumat","Sabtu","Minggu")</f>
        <v>Sabtu</v>
      </c>
      <c r="J1985" s="2" t="n">
        <f aca="false">HOUR(E1985)</f>
        <v>10</v>
      </c>
      <c r="K1985" s="2" t="str">
        <f aca="false">IF(J1985&lt;11,"Pagi",IF(J1985&lt;17,"Siang","Malam"))</f>
        <v>Pagi</v>
      </c>
      <c r="L1985" s="2" t="n">
        <f aca="false">IF(A1985&lt;&gt;A1984,1,0)</f>
        <v>0</v>
      </c>
    </row>
    <row r="1986" customFormat="false" ht="15" hidden="false" customHeight="false" outlineLevel="0" collapsed="false">
      <c r="A1986" s="2" t="s">
        <v>1872</v>
      </c>
      <c r="B1986" s="13" t="n">
        <v>46291</v>
      </c>
      <c r="C1986" s="2" t="s">
        <v>89</v>
      </c>
      <c r="D1986" s="2" t="n">
        <v>2</v>
      </c>
      <c r="E1986" s="15" t="n">
        <v>0.431944444444445</v>
      </c>
      <c r="F1986" s="7" t="n">
        <v>14000</v>
      </c>
      <c r="G1986" s="7" t="n">
        <f aca="false">D1986*F1986</f>
        <v>28000</v>
      </c>
      <c r="H1986" s="2" t="str">
        <f aca="false">INDEX(Daftar_Menu!$B$2:$B$13,MATCH(C1986,Daftar_Menu!$A$2:$A$13,0))</f>
        <v>Makanan</v>
      </c>
      <c r="I1986" s="2" t="str">
        <f aca="false">CHOOSE(WEEKDAY(B1986,2),"Senin","Selasa","Rabu","Kamis","Jumat","Sabtu","Minggu")</f>
        <v>Sabtu</v>
      </c>
      <c r="J1986" s="2" t="n">
        <f aca="false">HOUR(E1986)</f>
        <v>10</v>
      </c>
      <c r="K1986" s="2" t="str">
        <f aca="false">IF(J1986&lt;11,"Pagi",IF(J1986&lt;17,"Siang","Malam"))</f>
        <v>Pagi</v>
      </c>
      <c r="L1986" s="2" t="n">
        <f aca="false">IF(A1986&lt;&gt;A1985,1,0)</f>
        <v>1</v>
      </c>
    </row>
    <row r="1987" customFormat="false" ht="15" hidden="false" customHeight="false" outlineLevel="0" collapsed="false">
      <c r="A1987" s="2" t="s">
        <v>1872</v>
      </c>
      <c r="B1987" s="13" t="n">
        <v>46291</v>
      </c>
      <c r="C1987" s="2" t="s">
        <v>186</v>
      </c>
      <c r="D1987" s="2" t="n">
        <v>1</v>
      </c>
      <c r="E1987" s="15" t="n">
        <v>0.431944444444445</v>
      </c>
      <c r="F1987" s="7" t="n">
        <v>7000</v>
      </c>
      <c r="G1987" s="7" t="n">
        <f aca="false">D1987*F1987</f>
        <v>7000</v>
      </c>
      <c r="H1987" s="2" t="str">
        <f aca="false">INDEX(Daftar_Menu!$B$2:$B$13,MATCH(C1987,Daftar_Menu!$A$2:$A$13,0))</f>
        <v>Minuman</v>
      </c>
      <c r="I1987" s="2" t="str">
        <f aca="false">CHOOSE(WEEKDAY(B1987,2),"Senin","Selasa","Rabu","Kamis","Jumat","Sabtu","Minggu")</f>
        <v>Sabtu</v>
      </c>
      <c r="J1987" s="2" t="n">
        <f aca="false">HOUR(E1987)</f>
        <v>10</v>
      </c>
      <c r="K1987" s="2" t="str">
        <f aca="false">IF(J1987&lt;11,"Pagi",IF(J1987&lt;17,"Siang","Malam"))</f>
        <v>Pagi</v>
      </c>
      <c r="L1987" s="2" t="n">
        <f aca="false">IF(A1987&lt;&gt;A1986,1,0)</f>
        <v>0</v>
      </c>
    </row>
    <row r="1988" customFormat="false" ht="15" hidden="false" customHeight="false" outlineLevel="0" collapsed="false">
      <c r="A1988" s="2" t="s">
        <v>1872</v>
      </c>
      <c r="B1988" s="13" t="n">
        <v>46291</v>
      </c>
      <c r="C1988" s="2" t="s">
        <v>84</v>
      </c>
      <c r="D1988" s="2" t="n">
        <v>1</v>
      </c>
      <c r="E1988" s="15" t="n">
        <v>0.431944444444445</v>
      </c>
      <c r="F1988" s="7" t="n">
        <v>5000</v>
      </c>
      <c r="G1988" s="7" t="n">
        <f aca="false">D1988*F1988</f>
        <v>5000</v>
      </c>
      <c r="H1988" s="2" t="str">
        <f aca="false">INDEX(Daftar_Menu!$B$2:$B$13,MATCH(C1988,Daftar_Menu!$A$2:$A$13,0))</f>
        <v>Minuman</v>
      </c>
      <c r="I1988" s="2" t="str">
        <f aca="false">CHOOSE(WEEKDAY(B1988,2),"Senin","Selasa","Rabu","Kamis","Jumat","Sabtu","Minggu")</f>
        <v>Sabtu</v>
      </c>
      <c r="J1988" s="2" t="n">
        <f aca="false">HOUR(E1988)</f>
        <v>10</v>
      </c>
      <c r="K1988" s="2" t="str">
        <f aca="false">IF(J1988&lt;11,"Pagi",IF(J1988&lt;17,"Siang","Malam"))</f>
        <v>Pagi</v>
      </c>
      <c r="L1988" s="2" t="n">
        <f aca="false">IF(A1988&lt;&gt;A1987,1,0)</f>
        <v>0</v>
      </c>
    </row>
    <row r="1989" customFormat="false" ht="15" hidden="false" customHeight="false" outlineLevel="0" collapsed="false">
      <c r="A1989" s="2" t="s">
        <v>1874</v>
      </c>
      <c r="B1989" s="13" t="n">
        <v>46291</v>
      </c>
      <c r="C1989" s="2" t="s">
        <v>84</v>
      </c>
      <c r="D1989" s="2" t="n">
        <v>1</v>
      </c>
      <c r="E1989" s="15" t="n">
        <v>0.439583333333333</v>
      </c>
      <c r="F1989" s="7" t="n">
        <v>5000</v>
      </c>
      <c r="G1989" s="7" t="n">
        <f aca="false">D1989*F1989</f>
        <v>5000</v>
      </c>
      <c r="H1989" s="2" t="str">
        <f aca="false">INDEX(Daftar_Menu!$B$2:$B$13,MATCH(C1989,Daftar_Menu!$A$2:$A$13,0))</f>
        <v>Minuman</v>
      </c>
      <c r="I1989" s="2" t="str">
        <f aca="false">CHOOSE(WEEKDAY(B1989,2),"Senin","Selasa","Rabu","Kamis","Jumat","Sabtu","Minggu")</f>
        <v>Sabtu</v>
      </c>
      <c r="J1989" s="2" t="n">
        <f aca="false">HOUR(E1989)</f>
        <v>10</v>
      </c>
      <c r="K1989" s="2" t="str">
        <f aca="false">IF(J1989&lt;11,"Pagi",IF(J1989&lt;17,"Siang","Malam"))</f>
        <v>Pagi</v>
      </c>
      <c r="L1989" s="2" t="n">
        <f aca="false">IF(A1989&lt;&gt;A1988,1,0)</f>
        <v>1</v>
      </c>
    </row>
    <row r="1990" customFormat="false" ht="15" hidden="false" customHeight="false" outlineLevel="0" collapsed="false">
      <c r="A1990" s="2" t="s">
        <v>1875</v>
      </c>
      <c r="B1990" s="13" t="n">
        <v>46291</v>
      </c>
      <c r="C1990" s="2" t="s">
        <v>81</v>
      </c>
      <c r="D1990" s="2" t="n">
        <v>1</v>
      </c>
      <c r="E1990" s="15" t="n">
        <v>0.445138888888889</v>
      </c>
      <c r="F1990" s="7" t="n">
        <v>15000</v>
      </c>
      <c r="G1990" s="7" t="n">
        <f aca="false">D1990*F1990</f>
        <v>15000</v>
      </c>
      <c r="H1990" s="2" t="str">
        <f aca="false">INDEX(Daftar_Menu!$B$2:$B$13,MATCH(C1990,Daftar_Menu!$A$2:$A$13,0))</f>
        <v>Makanan</v>
      </c>
      <c r="I1990" s="2" t="str">
        <f aca="false">CHOOSE(WEEKDAY(B1990,2),"Senin","Selasa","Rabu","Kamis","Jumat","Sabtu","Minggu")</f>
        <v>Sabtu</v>
      </c>
      <c r="J1990" s="2" t="n">
        <f aca="false">HOUR(E1990)</f>
        <v>10</v>
      </c>
      <c r="K1990" s="2" t="str">
        <f aca="false">IF(J1990&lt;11,"Pagi",IF(J1990&lt;17,"Siang","Malam"))</f>
        <v>Pagi</v>
      </c>
      <c r="L1990" s="2" t="n">
        <f aca="false">IF(A1990&lt;&gt;A1989,1,0)</f>
        <v>1</v>
      </c>
    </row>
    <row r="1991" customFormat="false" ht="15" hidden="false" customHeight="false" outlineLevel="0" collapsed="false">
      <c r="A1991" s="2" t="s">
        <v>1876</v>
      </c>
      <c r="B1991" s="13" t="n">
        <v>46291</v>
      </c>
      <c r="C1991" s="2" t="s">
        <v>81</v>
      </c>
      <c r="D1991" s="2" t="n">
        <v>1</v>
      </c>
      <c r="E1991" s="15" t="n">
        <v>0.461111111111111</v>
      </c>
      <c r="F1991" s="7" t="n">
        <v>15000</v>
      </c>
      <c r="G1991" s="7" t="n">
        <f aca="false">D1991*F1991</f>
        <v>15000</v>
      </c>
      <c r="H1991" s="2" t="str">
        <f aca="false">INDEX(Daftar_Menu!$B$2:$B$13,MATCH(C1991,Daftar_Menu!$A$2:$A$13,0))</f>
        <v>Makanan</v>
      </c>
      <c r="I1991" s="2" t="str">
        <f aca="false">CHOOSE(WEEKDAY(B1991,2),"Senin","Selasa","Rabu","Kamis","Jumat","Sabtu","Minggu")</f>
        <v>Sabtu</v>
      </c>
      <c r="J1991" s="2" t="n">
        <f aca="false">HOUR(E1991)</f>
        <v>11</v>
      </c>
      <c r="K1991" s="2" t="str">
        <f aca="false">IF(J1991&lt;11,"Pagi",IF(J1991&lt;17,"Siang","Malam"))</f>
        <v>Siang</v>
      </c>
      <c r="L1991" s="2" t="n">
        <f aca="false">IF(A1991&lt;&gt;A1990,1,0)</f>
        <v>1</v>
      </c>
    </row>
    <row r="1992" customFormat="false" ht="15" hidden="false" customHeight="false" outlineLevel="0" collapsed="false">
      <c r="A1992" s="2" t="s">
        <v>1876</v>
      </c>
      <c r="B1992" s="13" t="n">
        <v>46291</v>
      </c>
      <c r="C1992" s="2" t="s">
        <v>126</v>
      </c>
      <c r="D1992" s="2" t="n">
        <v>1</v>
      </c>
      <c r="E1992" s="15" t="n">
        <v>0.461111111111111</v>
      </c>
      <c r="F1992" s="7" t="n">
        <v>3000</v>
      </c>
      <c r="G1992" s="7" t="n">
        <f aca="false">D1992*F1992</f>
        <v>3000</v>
      </c>
      <c r="H1992" s="2" t="str">
        <f aca="false">INDEX(Daftar_Menu!$B$2:$B$13,MATCH(C1992,Daftar_Menu!$A$2:$A$13,0))</f>
        <v>Minuman</v>
      </c>
      <c r="I1992" s="2" t="str">
        <f aca="false">CHOOSE(WEEKDAY(B1992,2),"Senin","Selasa","Rabu","Kamis","Jumat","Sabtu","Minggu")</f>
        <v>Sabtu</v>
      </c>
      <c r="J1992" s="2" t="n">
        <f aca="false">HOUR(E1992)</f>
        <v>11</v>
      </c>
      <c r="K1992" s="2" t="str">
        <f aca="false">IF(J1992&lt;11,"Pagi",IF(J1992&lt;17,"Siang","Malam"))</f>
        <v>Siang</v>
      </c>
      <c r="L1992" s="2" t="n">
        <f aca="false">IF(A1992&lt;&gt;A1991,1,0)</f>
        <v>0</v>
      </c>
    </row>
    <row r="1993" customFormat="false" ht="15" hidden="false" customHeight="false" outlineLevel="0" collapsed="false">
      <c r="A1993" s="2" t="s">
        <v>1876</v>
      </c>
      <c r="B1993" s="13" t="n">
        <v>46291</v>
      </c>
      <c r="C1993" s="2" t="s">
        <v>84</v>
      </c>
      <c r="D1993" s="2" t="n">
        <v>3</v>
      </c>
      <c r="E1993" s="15" t="n">
        <v>0.461111111111111</v>
      </c>
      <c r="F1993" s="7" t="n">
        <v>5000</v>
      </c>
      <c r="G1993" s="7" t="n">
        <f aca="false">D1993*F1993</f>
        <v>15000</v>
      </c>
      <c r="H1993" s="2" t="str">
        <f aca="false">INDEX(Daftar_Menu!$B$2:$B$13,MATCH(C1993,Daftar_Menu!$A$2:$A$13,0))</f>
        <v>Minuman</v>
      </c>
      <c r="I1993" s="2" t="str">
        <f aca="false">CHOOSE(WEEKDAY(B1993,2),"Senin","Selasa","Rabu","Kamis","Jumat","Sabtu","Minggu")</f>
        <v>Sabtu</v>
      </c>
      <c r="J1993" s="2" t="n">
        <f aca="false">HOUR(E1993)</f>
        <v>11</v>
      </c>
      <c r="K1993" s="2" t="str">
        <f aca="false">IF(J1993&lt;11,"Pagi",IF(J1993&lt;17,"Siang","Malam"))</f>
        <v>Siang</v>
      </c>
      <c r="L1993" s="2" t="n">
        <f aca="false">IF(A1993&lt;&gt;A1992,1,0)</f>
        <v>0</v>
      </c>
    </row>
    <row r="1994" customFormat="false" ht="15" hidden="false" customHeight="false" outlineLevel="0" collapsed="false">
      <c r="A1994" s="2" t="s">
        <v>1877</v>
      </c>
      <c r="B1994" s="13" t="n">
        <v>46291</v>
      </c>
      <c r="C1994" s="2" t="s">
        <v>92</v>
      </c>
      <c r="D1994" s="2" t="n">
        <v>1</v>
      </c>
      <c r="E1994" s="15" t="n">
        <v>0.479861111111111</v>
      </c>
      <c r="F1994" s="7" t="n">
        <v>4000</v>
      </c>
      <c r="G1994" s="7" t="n">
        <f aca="false">D1994*F1994</f>
        <v>4000</v>
      </c>
      <c r="H1994" s="2" t="str">
        <f aca="false">INDEX(Daftar_Menu!$B$2:$B$13,MATCH(C1994,Daftar_Menu!$A$2:$A$13,0))</f>
        <v>Minuman</v>
      </c>
      <c r="I1994" s="2" t="str">
        <f aca="false">CHOOSE(WEEKDAY(B1994,2),"Senin","Selasa","Rabu","Kamis","Jumat","Sabtu","Minggu")</f>
        <v>Sabtu</v>
      </c>
      <c r="J1994" s="2" t="n">
        <f aca="false">HOUR(E1994)</f>
        <v>11</v>
      </c>
      <c r="K1994" s="2" t="str">
        <f aca="false">IF(J1994&lt;11,"Pagi",IF(J1994&lt;17,"Siang","Malam"))</f>
        <v>Siang</v>
      </c>
      <c r="L1994" s="2" t="n">
        <f aca="false">IF(A1994&lt;&gt;A1993,1,0)</f>
        <v>1</v>
      </c>
    </row>
    <row r="1995" customFormat="false" ht="15" hidden="false" customHeight="false" outlineLevel="0" collapsed="false">
      <c r="A1995" s="2" t="s">
        <v>1877</v>
      </c>
      <c r="B1995" s="13" t="n">
        <v>46291</v>
      </c>
      <c r="C1995" s="2" t="s">
        <v>132</v>
      </c>
      <c r="D1995" s="2" t="n">
        <v>1</v>
      </c>
      <c r="E1995" s="15" t="n">
        <v>0.479861111111111</v>
      </c>
      <c r="F1995" s="7" t="n">
        <v>15000</v>
      </c>
      <c r="G1995" s="7" t="n">
        <f aca="false">D1995*F1995</f>
        <v>15000</v>
      </c>
      <c r="H1995" s="2" t="str">
        <f aca="false">INDEX(Daftar_Menu!$B$2:$B$13,MATCH(C1995,Daftar_Menu!$A$2:$A$13,0))</f>
        <v>Makanan</v>
      </c>
      <c r="I1995" s="2" t="str">
        <f aca="false">CHOOSE(WEEKDAY(B1995,2),"Senin","Selasa","Rabu","Kamis","Jumat","Sabtu","Minggu")</f>
        <v>Sabtu</v>
      </c>
      <c r="J1995" s="2" t="n">
        <f aca="false">HOUR(E1995)</f>
        <v>11</v>
      </c>
      <c r="K1995" s="2" t="str">
        <f aca="false">IF(J1995&lt;11,"Pagi",IF(J1995&lt;17,"Siang","Malam"))</f>
        <v>Siang</v>
      </c>
      <c r="L1995" s="2" t="n">
        <f aca="false">IF(A1995&lt;&gt;A1994,1,0)</f>
        <v>0</v>
      </c>
    </row>
    <row r="1996" customFormat="false" ht="15" hidden="false" customHeight="false" outlineLevel="0" collapsed="false">
      <c r="A1996" s="2" t="s">
        <v>1878</v>
      </c>
      <c r="B1996" s="13" t="n">
        <v>46291</v>
      </c>
      <c r="C1996" s="2" t="s">
        <v>126</v>
      </c>
      <c r="D1996" s="2" t="n">
        <v>1</v>
      </c>
      <c r="E1996" s="15" t="n">
        <v>0.513194444444444</v>
      </c>
      <c r="F1996" s="7" t="n">
        <v>3000</v>
      </c>
      <c r="G1996" s="7" t="n">
        <f aca="false">D1996*F1996</f>
        <v>3000</v>
      </c>
      <c r="H1996" s="2" t="str">
        <f aca="false">INDEX(Daftar_Menu!$B$2:$B$13,MATCH(C1996,Daftar_Menu!$A$2:$A$13,0))</f>
        <v>Minuman</v>
      </c>
      <c r="I1996" s="2" t="str">
        <f aca="false">CHOOSE(WEEKDAY(B1996,2),"Senin","Selasa","Rabu","Kamis","Jumat","Sabtu","Minggu")</f>
        <v>Sabtu</v>
      </c>
      <c r="J1996" s="2" t="n">
        <f aca="false">HOUR(E1996)</f>
        <v>12</v>
      </c>
      <c r="K1996" s="2" t="str">
        <f aca="false">IF(J1996&lt;11,"Pagi",IF(J1996&lt;17,"Siang","Malam"))</f>
        <v>Siang</v>
      </c>
      <c r="L1996" s="2" t="n">
        <f aca="false">IF(A1996&lt;&gt;A1995,1,0)</f>
        <v>1</v>
      </c>
    </row>
    <row r="1997" customFormat="false" ht="15" hidden="false" customHeight="false" outlineLevel="0" collapsed="false">
      <c r="A1997" s="2" t="s">
        <v>1879</v>
      </c>
      <c r="B1997" s="13" t="n">
        <v>46291</v>
      </c>
      <c r="C1997" s="2" t="s">
        <v>82</v>
      </c>
      <c r="D1997" s="2" t="n">
        <v>1</v>
      </c>
      <c r="E1997" s="15" t="n">
        <v>0.526388888888889</v>
      </c>
      <c r="F1997" s="7" t="n">
        <v>13000</v>
      </c>
      <c r="G1997" s="7" t="n">
        <f aca="false">D1997*F1997</f>
        <v>13000</v>
      </c>
      <c r="H1997" s="2" t="str">
        <f aca="false">INDEX(Daftar_Menu!$B$2:$B$13,MATCH(C1997,Daftar_Menu!$A$2:$A$13,0))</f>
        <v>Makanan</v>
      </c>
      <c r="I1997" s="2" t="str">
        <f aca="false">CHOOSE(WEEKDAY(B1997,2),"Senin","Selasa","Rabu","Kamis","Jumat","Sabtu","Minggu")</f>
        <v>Sabtu</v>
      </c>
      <c r="J1997" s="2" t="n">
        <f aca="false">HOUR(E1997)</f>
        <v>12</v>
      </c>
      <c r="K1997" s="2" t="str">
        <f aca="false">IF(J1997&lt;11,"Pagi",IF(J1997&lt;17,"Siang","Malam"))</f>
        <v>Siang</v>
      </c>
      <c r="L1997" s="2" t="n">
        <f aca="false">IF(A1997&lt;&gt;A1996,1,0)</f>
        <v>1</v>
      </c>
    </row>
    <row r="1998" customFormat="false" ht="15" hidden="false" customHeight="false" outlineLevel="0" collapsed="false">
      <c r="A1998" s="2" t="s">
        <v>1881</v>
      </c>
      <c r="B1998" s="13" t="n">
        <v>46291</v>
      </c>
      <c r="C1998" s="2" t="s">
        <v>81</v>
      </c>
      <c r="D1998" s="2" t="n">
        <v>1</v>
      </c>
      <c r="E1998" s="15" t="n">
        <v>0.531944444444444</v>
      </c>
      <c r="F1998" s="7" t="n">
        <v>15000</v>
      </c>
      <c r="G1998" s="7" t="n">
        <f aca="false">D1998*F1998</f>
        <v>15000</v>
      </c>
      <c r="H1998" s="2" t="str">
        <f aca="false">INDEX(Daftar_Menu!$B$2:$B$13,MATCH(C1998,Daftar_Menu!$A$2:$A$13,0))</f>
        <v>Makanan</v>
      </c>
      <c r="I1998" s="2" t="str">
        <f aca="false">CHOOSE(WEEKDAY(B1998,2),"Senin","Selasa","Rabu","Kamis","Jumat","Sabtu","Minggu")</f>
        <v>Sabtu</v>
      </c>
      <c r="J1998" s="2" t="n">
        <f aca="false">HOUR(E1998)</f>
        <v>12</v>
      </c>
      <c r="K1998" s="2" t="str">
        <f aca="false">IF(J1998&lt;11,"Pagi",IF(J1998&lt;17,"Siang","Malam"))</f>
        <v>Siang</v>
      </c>
      <c r="L1998" s="2" t="n">
        <f aca="false">IF(A1998&lt;&gt;A1997,1,0)</f>
        <v>1</v>
      </c>
    </row>
    <row r="1999" customFormat="false" ht="15" hidden="false" customHeight="false" outlineLevel="0" collapsed="false">
      <c r="A1999" s="2" t="s">
        <v>1882</v>
      </c>
      <c r="B1999" s="13" t="n">
        <v>46291</v>
      </c>
      <c r="C1999" s="2" t="s">
        <v>84</v>
      </c>
      <c r="D1999" s="2" t="n">
        <v>1</v>
      </c>
      <c r="E1999" s="15" t="n">
        <v>0.538888888888889</v>
      </c>
      <c r="F1999" s="7" t="n">
        <v>5000</v>
      </c>
      <c r="G1999" s="7" t="n">
        <f aca="false">D1999*F1999</f>
        <v>5000</v>
      </c>
      <c r="H1999" s="2" t="str">
        <f aca="false">INDEX(Daftar_Menu!$B$2:$B$13,MATCH(C1999,Daftar_Menu!$A$2:$A$13,0))</f>
        <v>Minuman</v>
      </c>
      <c r="I1999" s="2" t="str">
        <f aca="false">CHOOSE(WEEKDAY(B1999,2),"Senin","Selasa","Rabu","Kamis","Jumat","Sabtu","Minggu")</f>
        <v>Sabtu</v>
      </c>
      <c r="J1999" s="2" t="n">
        <f aca="false">HOUR(E1999)</f>
        <v>12</v>
      </c>
      <c r="K1999" s="2" t="str">
        <f aca="false">IF(J1999&lt;11,"Pagi",IF(J1999&lt;17,"Siang","Malam"))</f>
        <v>Siang</v>
      </c>
      <c r="L1999" s="2" t="n">
        <f aca="false">IF(A1999&lt;&gt;A1998,1,0)</f>
        <v>1</v>
      </c>
    </row>
    <row r="2000" customFormat="false" ht="15" hidden="false" customHeight="false" outlineLevel="0" collapsed="false">
      <c r="A2000" s="2" t="s">
        <v>1883</v>
      </c>
      <c r="B2000" s="13" t="n">
        <v>46291</v>
      </c>
      <c r="C2000" s="2" t="s">
        <v>186</v>
      </c>
      <c r="D2000" s="2" t="n">
        <v>1</v>
      </c>
      <c r="E2000" s="15" t="n">
        <v>0.557638888888889</v>
      </c>
      <c r="F2000" s="7" t="n">
        <v>7000</v>
      </c>
      <c r="G2000" s="7" t="n">
        <f aca="false">D2000*F2000</f>
        <v>7000</v>
      </c>
      <c r="H2000" s="2" t="str">
        <f aca="false">INDEX(Daftar_Menu!$B$2:$B$13,MATCH(C2000,Daftar_Menu!$A$2:$A$13,0))</f>
        <v>Minuman</v>
      </c>
      <c r="I2000" s="2" t="str">
        <f aca="false">CHOOSE(WEEKDAY(B2000,2),"Senin","Selasa","Rabu","Kamis","Jumat","Sabtu","Minggu")</f>
        <v>Sabtu</v>
      </c>
      <c r="J2000" s="2" t="n">
        <f aca="false">HOUR(E2000)</f>
        <v>13</v>
      </c>
      <c r="K2000" s="2" t="str">
        <f aca="false">IF(J2000&lt;11,"Pagi",IF(J2000&lt;17,"Siang","Malam"))</f>
        <v>Siang</v>
      </c>
      <c r="L2000" s="2" t="n">
        <f aca="false">IF(A2000&lt;&gt;A1999,1,0)</f>
        <v>1</v>
      </c>
    </row>
    <row r="2001" customFormat="false" ht="15" hidden="false" customHeight="false" outlineLevel="0" collapsed="false">
      <c r="A2001" s="2" t="s">
        <v>1884</v>
      </c>
      <c r="B2001" s="13" t="n">
        <v>46291</v>
      </c>
      <c r="C2001" s="2" t="s">
        <v>101</v>
      </c>
      <c r="D2001" s="2" t="n">
        <v>1</v>
      </c>
      <c r="E2001" s="15" t="n">
        <v>0.557638888888889</v>
      </c>
      <c r="F2001" s="7" t="n">
        <v>18000</v>
      </c>
      <c r="G2001" s="7" t="n">
        <f aca="false">D2001*F2001</f>
        <v>18000</v>
      </c>
      <c r="H2001" s="2" t="str">
        <f aca="false">INDEX(Daftar_Menu!$B$2:$B$13,MATCH(C2001,Daftar_Menu!$A$2:$A$13,0))</f>
        <v>Makanan</v>
      </c>
      <c r="I2001" s="2" t="str">
        <f aca="false">CHOOSE(WEEKDAY(B2001,2),"Senin","Selasa","Rabu","Kamis","Jumat","Sabtu","Minggu")</f>
        <v>Sabtu</v>
      </c>
      <c r="J2001" s="2" t="n">
        <f aca="false">HOUR(E2001)</f>
        <v>13</v>
      </c>
      <c r="K2001" s="2" t="str">
        <f aca="false">IF(J2001&lt;11,"Pagi",IF(J2001&lt;17,"Siang","Malam"))</f>
        <v>Siang</v>
      </c>
      <c r="L2001" s="2" t="n">
        <f aca="false">IF(A2001&lt;&gt;A2000,1,0)</f>
        <v>1</v>
      </c>
    </row>
    <row r="2002" customFormat="false" ht="15" hidden="false" customHeight="false" outlineLevel="0" collapsed="false">
      <c r="A2002" s="2" t="s">
        <v>1885</v>
      </c>
      <c r="B2002" s="13" t="n">
        <v>46291</v>
      </c>
      <c r="C2002" s="2" t="s">
        <v>101</v>
      </c>
      <c r="D2002" s="2" t="n">
        <v>1</v>
      </c>
      <c r="E2002" s="15" t="n">
        <v>0.566666666666667</v>
      </c>
      <c r="F2002" s="7" t="n">
        <v>18000</v>
      </c>
      <c r="G2002" s="7" t="n">
        <f aca="false">D2002*F2002</f>
        <v>18000</v>
      </c>
      <c r="H2002" s="2" t="str">
        <f aca="false">INDEX(Daftar_Menu!$B$2:$B$13,MATCH(C2002,Daftar_Menu!$A$2:$A$13,0))</f>
        <v>Makanan</v>
      </c>
      <c r="I2002" s="2" t="str">
        <f aca="false">CHOOSE(WEEKDAY(B2002,2),"Senin","Selasa","Rabu","Kamis","Jumat","Sabtu","Minggu")</f>
        <v>Sabtu</v>
      </c>
      <c r="J2002" s="2" t="n">
        <f aca="false">HOUR(E2002)</f>
        <v>13</v>
      </c>
      <c r="K2002" s="2" t="str">
        <f aca="false">IF(J2002&lt;11,"Pagi",IF(J2002&lt;17,"Siang","Malam"))</f>
        <v>Siang</v>
      </c>
      <c r="L2002" s="2" t="n">
        <f aca="false">IF(A2002&lt;&gt;A2001,1,0)</f>
        <v>1</v>
      </c>
    </row>
    <row r="2003" customFormat="false" ht="15" hidden="false" customHeight="false" outlineLevel="0" collapsed="false">
      <c r="A2003" s="2" t="s">
        <v>1885</v>
      </c>
      <c r="B2003" s="13" t="n">
        <v>46291</v>
      </c>
      <c r="C2003" s="2" t="s">
        <v>82</v>
      </c>
      <c r="D2003" s="2" t="n">
        <v>1</v>
      </c>
      <c r="E2003" s="15" t="n">
        <v>0.566666666666667</v>
      </c>
      <c r="F2003" s="7" t="n">
        <v>13000</v>
      </c>
      <c r="G2003" s="7" t="n">
        <f aca="false">D2003*F2003</f>
        <v>13000</v>
      </c>
      <c r="H2003" s="2" t="str">
        <f aca="false">INDEX(Daftar_Menu!$B$2:$B$13,MATCH(C2003,Daftar_Menu!$A$2:$A$13,0))</f>
        <v>Makanan</v>
      </c>
      <c r="I2003" s="2" t="str">
        <f aca="false">CHOOSE(WEEKDAY(B2003,2),"Senin","Selasa","Rabu","Kamis","Jumat","Sabtu","Minggu")</f>
        <v>Sabtu</v>
      </c>
      <c r="J2003" s="2" t="n">
        <f aca="false">HOUR(E2003)</f>
        <v>13</v>
      </c>
      <c r="K2003" s="2" t="str">
        <f aca="false">IF(J2003&lt;11,"Pagi",IF(J2003&lt;17,"Siang","Malam"))</f>
        <v>Siang</v>
      </c>
      <c r="L2003" s="2" t="n">
        <f aca="false">IF(A2003&lt;&gt;A2002,1,0)</f>
        <v>0</v>
      </c>
    </row>
    <row r="2004" customFormat="false" ht="15" hidden="false" customHeight="false" outlineLevel="0" collapsed="false">
      <c r="A2004" s="2" t="s">
        <v>1886</v>
      </c>
      <c r="B2004" s="13" t="n">
        <v>46291</v>
      </c>
      <c r="C2004" s="2" t="s">
        <v>84</v>
      </c>
      <c r="D2004" s="2" t="n">
        <v>2</v>
      </c>
      <c r="E2004" s="15" t="n">
        <v>0.615277777777778</v>
      </c>
      <c r="F2004" s="7" t="n">
        <v>5000</v>
      </c>
      <c r="G2004" s="7" t="n">
        <f aca="false">D2004*F2004</f>
        <v>10000</v>
      </c>
      <c r="H2004" s="2" t="str">
        <f aca="false">INDEX(Daftar_Menu!$B$2:$B$13,MATCH(C2004,Daftar_Menu!$A$2:$A$13,0))</f>
        <v>Minuman</v>
      </c>
      <c r="I2004" s="2" t="str">
        <f aca="false">CHOOSE(WEEKDAY(B2004,2),"Senin","Selasa","Rabu","Kamis","Jumat","Sabtu","Minggu")</f>
        <v>Sabtu</v>
      </c>
      <c r="J2004" s="2" t="n">
        <f aca="false">HOUR(E2004)</f>
        <v>14</v>
      </c>
      <c r="K2004" s="2" t="str">
        <f aca="false">IF(J2004&lt;11,"Pagi",IF(J2004&lt;17,"Siang","Malam"))</f>
        <v>Siang</v>
      </c>
      <c r="L2004" s="2" t="n">
        <f aca="false">IF(A2004&lt;&gt;A2003,1,0)</f>
        <v>1</v>
      </c>
    </row>
    <row r="2005" customFormat="false" ht="15" hidden="false" customHeight="false" outlineLevel="0" collapsed="false">
      <c r="A2005" s="2" t="s">
        <v>1886</v>
      </c>
      <c r="B2005" s="13" t="n">
        <v>46291</v>
      </c>
      <c r="C2005" s="2" t="s">
        <v>186</v>
      </c>
      <c r="D2005" s="2" t="n">
        <v>2</v>
      </c>
      <c r="E2005" s="15" t="n">
        <v>0.615277777777778</v>
      </c>
      <c r="F2005" s="7" t="n">
        <v>7000</v>
      </c>
      <c r="G2005" s="7" t="n">
        <f aca="false">D2005*F2005</f>
        <v>14000</v>
      </c>
      <c r="H2005" s="2" t="str">
        <f aca="false">INDEX(Daftar_Menu!$B$2:$B$13,MATCH(C2005,Daftar_Menu!$A$2:$A$13,0))</f>
        <v>Minuman</v>
      </c>
      <c r="I2005" s="2" t="str">
        <f aca="false">CHOOSE(WEEKDAY(B2005,2),"Senin","Selasa","Rabu","Kamis","Jumat","Sabtu","Minggu")</f>
        <v>Sabtu</v>
      </c>
      <c r="J2005" s="2" t="n">
        <f aca="false">HOUR(E2005)</f>
        <v>14</v>
      </c>
      <c r="K2005" s="2" t="str">
        <f aca="false">IF(J2005&lt;11,"Pagi",IF(J2005&lt;17,"Siang","Malam"))</f>
        <v>Siang</v>
      </c>
      <c r="L2005" s="2" t="n">
        <f aca="false">IF(A2005&lt;&gt;A2004,1,0)</f>
        <v>0</v>
      </c>
    </row>
    <row r="2006" customFormat="false" ht="15" hidden="false" customHeight="false" outlineLevel="0" collapsed="false">
      <c r="A2006" s="2" t="s">
        <v>1887</v>
      </c>
      <c r="B2006" s="13" t="n">
        <v>46291</v>
      </c>
      <c r="C2006" s="2" t="s">
        <v>108</v>
      </c>
      <c r="D2006" s="2" t="n">
        <v>1</v>
      </c>
      <c r="E2006" s="15" t="n">
        <v>0.619444444444445</v>
      </c>
      <c r="F2006" s="7" t="n">
        <v>20000</v>
      </c>
      <c r="G2006" s="7" t="n">
        <f aca="false">D2006*F2006</f>
        <v>20000</v>
      </c>
      <c r="H2006" s="2" t="str">
        <f aca="false">INDEX(Daftar_Menu!$B$2:$B$13,MATCH(C2006,Daftar_Menu!$A$2:$A$13,0))</f>
        <v>Makanan</v>
      </c>
      <c r="I2006" s="2" t="str">
        <f aca="false">CHOOSE(WEEKDAY(B2006,2),"Senin","Selasa","Rabu","Kamis","Jumat","Sabtu","Minggu")</f>
        <v>Sabtu</v>
      </c>
      <c r="J2006" s="2" t="n">
        <f aca="false">HOUR(E2006)</f>
        <v>14</v>
      </c>
      <c r="K2006" s="2" t="str">
        <f aca="false">IF(J2006&lt;11,"Pagi",IF(J2006&lt;17,"Siang","Malam"))</f>
        <v>Siang</v>
      </c>
      <c r="L2006" s="2" t="n">
        <f aca="false">IF(A2006&lt;&gt;A2005,1,0)</f>
        <v>1</v>
      </c>
    </row>
    <row r="2007" customFormat="false" ht="15" hidden="false" customHeight="false" outlineLevel="0" collapsed="false">
      <c r="A2007" s="2" t="s">
        <v>1888</v>
      </c>
      <c r="B2007" s="13" t="n">
        <v>46291</v>
      </c>
      <c r="C2007" s="2" t="s">
        <v>101</v>
      </c>
      <c r="D2007" s="2" t="n">
        <v>2</v>
      </c>
      <c r="E2007" s="15" t="n">
        <v>0.638888888888889</v>
      </c>
      <c r="F2007" s="7" t="n">
        <v>18000</v>
      </c>
      <c r="G2007" s="7" t="n">
        <f aca="false">D2007*F2007</f>
        <v>36000</v>
      </c>
      <c r="H2007" s="2" t="str">
        <f aca="false">INDEX(Daftar_Menu!$B$2:$B$13,MATCH(C2007,Daftar_Menu!$A$2:$A$13,0))</f>
        <v>Makanan</v>
      </c>
      <c r="I2007" s="2" t="str">
        <f aca="false">CHOOSE(WEEKDAY(B2007,2),"Senin","Selasa","Rabu","Kamis","Jumat","Sabtu","Minggu")</f>
        <v>Sabtu</v>
      </c>
      <c r="J2007" s="2" t="n">
        <f aca="false">HOUR(E2007)</f>
        <v>15</v>
      </c>
      <c r="K2007" s="2" t="str">
        <f aca="false">IF(J2007&lt;11,"Pagi",IF(J2007&lt;17,"Siang","Malam"))</f>
        <v>Siang</v>
      </c>
      <c r="L2007" s="2" t="n">
        <f aca="false">IF(A2007&lt;&gt;A2006,1,0)</f>
        <v>1</v>
      </c>
    </row>
    <row r="2008" customFormat="false" ht="15" hidden="false" customHeight="false" outlineLevel="0" collapsed="false">
      <c r="A2008" s="2" t="s">
        <v>1888</v>
      </c>
      <c r="B2008" s="13" t="n">
        <v>46291</v>
      </c>
      <c r="C2008" s="2" t="s">
        <v>132</v>
      </c>
      <c r="D2008" s="2" t="n">
        <v>1</v>
      </c>
      <c r="E2008" s="15" t="n">
        <v>0.638888888888889</v>
      </c>
      <c r="F2008" s="7" t="n">
        <v>15000</v>
      </c>
      <c r="G2008" s="7" t="n">
        <f aca="false">D2008*F2008</f>
        <v>15000</v>
      </c>
      <c r="H2008" s="2" t="str">
        <f aca="false">INDEX(Daftar_Menu!$B$2:$B$13,MATCH(C2008,Daftar_Menu!$A$2:$A$13,0))</f>
        <v>Makanan</v>
      </c>
      <c r="I2008" s="2" t="str">
        <f aca="false">CHOOSE(WEEKDAY(B2008,2),"Senin","Selasa","Rabu","Kamis","Jumat","Sabtu","Minggu")</f>
        <v>Sabtu</v>
      </c>
      <c r="J2008" s="2" t="n">
        <f aca="false">HOUR(E2008)</f>
        <v>15</v>
      </c>
      <c r="K2008" s="2" t="str">
        <f aca="false">IF(J2008&lt;11,"Pagi",IF(J2008&lt;17,"Siang","Malam"))</f>
        <v>Siang</v>
      </c>
      <c r="L2008" s="2" t="n">
        <f aca="false">IF(A2008&lt;&gt;A2007,1,0)</f>
        <v>0</v>
      </c>
    </row>
    <row r="2009" customFormat="false" ht="15" hidden="false" customHeight="false" outlineLevel="0" collapsed="false">
      <c r="A2009" s="2" t="s">
        <v>1889</v>
      </c>
      <c r="B2009" s="13" t="n">
        <v>46291</v>
      </c>
      <c r="C2009" s="2" t="s">
        <v>81</v>
      </c>
      <c r="D2009" s="2" t="n">
        <v>1</v>
      </c>
      <c r="E2009" s="15" t="n">
        <v>0.639583333333333</v>
      </c>
      <c r="F2009" s="7" t="n">
        <v>15000</v>
      </c>
      <c r="G2009" s="7" t="n">
        <f aca="false">D2009*F2009</f>
        <v>15000</v>
      </c>
      <c r="H2009" s="2" t="str">
        <f aca="false">INDEX(Daftar_Menu!$B$2:$B$13,MATCH(C2009,Daftar_Menu!$A$2:$A$13,0))</f>
        <v>Makanan</v>
      </c>
      <c r="I2009" s="2" t="str">
        <f aca="false">CHOOSE(WEEKDAY(B2009,2),"Senin","Selasa","Rabu","Kamis","Jumat","Sabtu","Minggu")</f>
        <v>Sabtu</v>
      </c>
      <c r="J2009" s="2" t="n">
        <f aca="false">HOUR(E2009)</f>
        <v>15</v>
      </c>
      <c r="K2009" s="2" t="str">
        <f aca="false">IF(J2009&lt;11,"Pagi",IF(J2009&lt;17,"Siang","Malam"))</f>
        <v>Siang</v>
      </c>
      <c r="L2009" s="2" t="n">
        <f aca="false">IF(A2009&lt;&gt;A2008,1,0)</f>
        <v>1</v>
      </c>
    </row>
    <row r="2010" customFormat="false" ht="15" hidden="false" customHeight="false" outlineLevel="0" collapsed="false">
      <c r="A2010" s="2" t="s">
        <v>1889</v>
      </c>
      <c r="B2010" s="13" t="n">
        <v>46291</v>
      </c>
      <c r="C2010" s="2" t="s">
        <v>84</v>
      </c>
      <c r="D2010" s="2" t="n">
        <v>1</v>
      </c>
      <c r="E2010" s="15" t="n">
        <v>0.639583333333333</v>
      </c>
      <c r="F2010" s="7" t="n">
        <v>5000</v>
      </c>
      <c r="G2010" s="7" t="n">
        <f aca="false">D2010*F2010</f>
        <v>5000</v>
      </c>
      <c r="H2010" s="2" t="str">
        <f aca="false">INDEX(Daftar_Menu!$B$2:$B$13,MATCH(C2010,Daftar_Menu!$A$2:$A$13,0))</f>
        <v>Minuman</v>
      </c>
      <c r="I2010" s="2" t="str">
        <f aca="false">CHOOSE(WEEKDAY(B2010,2),"Senin","Selasa","Rabu","Kamis","Jumat","Sabtu","Minggu")</f>
        <v>Sabtu</v>
      </c>
      <c r="J2010" s="2" t="n">
        <f aca="false">HOUR(E2010)</f>
        <v>15</v>
      </c>
      <c r="K2010" s="2" t="str">
        <f aca="false">IF(J2010&lt;11,"Pagi",IF(J2010&lt;17,"Siang","Malam"))</f>
        <v>Siang</v>
      </c>
      <c r="L2010" s="2" t="n">
        <f aca="false">IF(A2010&lt;&gt;A2009,1,0)</f>
        <v>0</v>
      </c>
    </row>
    <row r="2011" customFormat="false" ht="15" hidden="false" customHeight="false" outlineLevel="0" collapsed="false">
      <c r="A2011" s="2" t="s">
        <v>1891</v>
      </c>
      <c r="B2011" s="13" t="n">
        <v>46291</v>
      </c>
      <c r="C2011" s="2" t="s">
        <v>92</v>
      </c>
      <c r="D2011" s="2" t="n">
        <v>1</v>
      </c>
      <c r="E2011" s="15" t="n">
        <v>0.640277777777778</v>
      </c>
      <c r="F2011" s="7" t="n">
        <v>4000</v>
      </c>
      <c r="G2011" s="7" t="n">
        <f aca="false">D2011*F2011</f>
        <v>4000</v>
      </c>
      <c r="H2011" s="2" t="str">
        <f aca="false">INDEX(Daftar_Menu!$B$2:$B$13,MATCH(C2011,Daftar_Menu!$A$2:$A$13,0))</f>
        <v>Minuman</v>
      </c>
      <c r="I2011" s="2" t="str">
        <f aca="false">CHOOSE(WEEKDAY(B2011,2),"Senin","Selasa","Rabu","Kamis","Jumat","Sabtu","Minggu")</f>
        <v>Sabtu</v>
      </c>
      <c r="J2011" s="2" t="n">
        <f aca="false">HOUR(E2011)</f>
        <v>15</v>
      </c>
      <c r="K2011" s="2" t="str">
        <f aca="false">IF(J2011&lt;11,"Pagi",IF(J2011&lt;17,"Siang","Malam"))</f>
        <v>Siang</v>
      </c>
      <c r="L2011" s="2" t="n">
        <f aca="false">IF(A2011&lt;&gt;A2010,1,0)</f>
        <v>1</v>
      </c>
    </row>
    <row r="2012" customFormat="false" ht="15" hidden="false" customHeight="false" outlineLevel="0" collapsed="false">
      <c r="A2012" s="2" t="s">
        <v>1892</v>
      </c>
      <c r="B2012" s="13" t="n">
        <v>46291</v>
      </c>
      <c r="C2012" s="2" t="s">
        <v>186</v>
      </c>
      <c r="D2012" s="2" t="n">
        <v>2</v>
      </c>
      <c r="E2012" s="15" t="n">
        <v>0.664583333333333</v>
      </c>
      <c r="F2012" s="7" t="n">
        <v>7000</v>
      </c>
      <c r="G2012" s="7" t="n">
        <f aca="false">D2012*F2012</f>
        <v>14000</v>
      </c>
      <c r="H2012" s="2" t="str">
        <f aca="false">INDEX(Daftar_Menu!$B$2:$B$13,MATCH(C2012,Daftar_Menu!$A$2:$A$13,0))</f>
        <v>Minuman</v>
      </c>
      <c r="I2012" s="2" t="str">
        <f aca="false">CHOOSE(WEEKDAY(B2012,2),"Senin","Selasa","Rabu","Kamis","Jumat","Sabtu","Minggu")</f>
        <v>Sabtu</v>
      </c>
      <c r="J2012" s="2" t="n">
        <f aca="false">HOUR(E2012)</f>
        <v>15</v>
      </c>
      <c r="K2012" s="2" t="str">
        <f aca="false">IF(J2012&lt;11,"Pagi",IF(J2012&lt;17,"Siang","Malam"))</f>
        <v>Siang</v>
      </c>
      <c r="L2012" s="2" t="n">
        <f aca="false">IF(A2012&lt;&gt;A2011,1,0)</f>
        <v>1</v>
      </c>
    </row>
    <row r="2013" customFormat="false" ht="15" hidden="false" customHeight="false" outlineLevel="0" collapsed="false">
      <c r="A2013" s="2" t="s">
        <v>1892</v>
      </c>
      <c r="B2013" s="13" t="n">
        <v>46291</v>
      </c>
      <c r="C2013" s="2" t="s">
        <v>81</v>
      </c>
      <c r="D2013" s="2" t="n">
        <v>2</v>
      </c>
      <c r="E2013" s="15" t="n">
        <v>0.664583333333333</v>
      </c>
      <c r="F2013" s="7" t="n">
        <v>15000</v>
      </c>
      <c r="G2013" s="7" t="n">
        <f aca="false">D2013*F2013</f>
        <v>30000</v>
      </c>
      <c r="H2013" s="2" t="str">
        <f aca="false">INDEX(Daftar_Menu!$B$2:$B$13,MATCH(C2013,Daftar_Menu!$A$2:$A$13,0))</f>
        <v>Makanan</v>
      </c>
      <c r="I2013" s="2" t="str">
        <f aca="false">CHOOSE(WEEKDAY(B2013,2),"Senin","Selasa","Rabu","Kamis","Jumat","Sabtu","Minggu")</f>
        <v>Sabtu</v>
      </c>
      <c r="J2013" s="2" t="n">
        <f aca="false">HOUR(E2013)</f>
        <v>15</v>
      </c>
      <c r="K2013" s="2" t="str">
        <f aca="false">IF(J2013&lt;11,"Pagi",IF(J2013&lt;17,"Siang","Malam"))</f>
        <v>Siang</v>
      </c>
      <c r="L2013" s="2" t="n">
        <f aca="false">IF(A2013&lt;&gt;A2012,1,0)</f>
        <v>0</v>
      </c>
    </row>
    <row r="2014" customFormat="false" ht="15" hidden="false" customHeight="false" outlineLevel="0" collapsed="false">
      <c r="A2014" s="2" t="s">
        <v>1892</v>
      </c>
      <c r="B2014" s="13" t="n">
        <v>46291</v>
      </c>
      <c r="C2014" s="2" t="s">
        <v>101</v>
      </c>
      <c r="D2014" s="2" t="n">
        <v>1</v>
      </c>
      <c r="E2014" s="15" t="n">
        <v>0.664583333333333</v>
      </c>
      <c r="F2014" s="7" t="n">
        <v>18000</v>
      </c>
      <c r="G2014" s="7" t="n">
        <f aca="false">D2014*F2014</f>
        <v>18000</v>
      </c>
      <c r="H2014" s="2" t="str">
        <f aca="false">INDEX(Daftar_Menu!$B$2:$B$13,MATCH(C2014,Daftar_Menu!$A$2:$A$13,0))</f>
        <v>Makanan</v>
      </c>
      <c r="I2014" s="2" t="str">
        <f aca="false">CHOOSE(WEEKDAY(B2014,2),"Senin","Selasa","Rabu","Kamis","Jumat","Sabtu","Minggu")</f>
        <v>Sabtu</v>
      </c>
      <c r="J2014" s="2" t="n">
        <f aca="false">HOUR(E2014)</f>
        <v>15</v>
      </c>
      <c r="K2014" s="2" t="str">
        <f aca="false">IF(J2014&lt;11,"Pagi",IF(J2014&lt;17,"Siang","Malam"))</f>
        <v>Siang</v>
      </c>
      <c r="L2014" s="2" t="n">
        <f aca="false">IF(A2014&lt;&gt;A2013,1,0)</f>
        <v>0</v>
      </c>
    </row>
    <row r="2015" customFormat="false" ht="15" hidden="false" customHeight="false" outlineLevel="0" collapsed="false">
      <c r="A2015" s="2" t="s">
        <v>1893</v>
      </c>
      <c r="B2015" s="13" t="n">
        <v>46291</v>
      </c>
      <c r="C2015" s="2" t="s">
        <v>89</v>
      </c>
      <c r="D2015" s="2" t="n">
        <v>2</v>
      </c>
      <c r="E2015" s="15" t="n">
        <v>0.686111111111111</v>
      </c>
      <c r="F2015" s="7" t="n">
        <v>14000</v>
      </c>
      <c r="G2015" s="7" t="n">
        <f aca="false">D2015*F2015</f>
        <v>28000</v>
      </c>
      <c r="H2015" s="2" t="str">
        <f aca="false">INDEX(Daftar_Menu!$B$2:$B$13,MATCH(C2015,Daftar_Menu!$A$2:$A$13,0))</f>
        <v>Makanan</v>
      </c>
      <c r="I2015" s="2" t="str">
        <f aca="false">CHOOSE(WEEKDAY(B2015,2),"Senin","Selasa","Rabu","Kamis","Jumat","Sabtu","Minggu")</f>
        <v>Sabtu</v>
      </c>
      <c r="J2015" s="2" t="n">
        <f aca="false">HOUR(E2015)</f>
        <v>16</v>
      </c>
      <c r="K2015" s="2" t="str">
        <f aca="false">IF(J2015&lt;11,"Pagi",IF(J2015&lt;17,"Siang","Malam"))</f>
        <v>Siang</v>
      </c>
      <c r="L2015" s="2" t="n">
        <f aca="false">IF(A2015&lt;&gt;A2014,1,0)</f>
        <v>1</v>
      </c>
    </row>
    <row r="2016" customFormat="false" ht="15" hidden="false" customHeight="false" outlineLevel="0" collapsed="false">
      <c r="A2016" s="2" t="s">
        <v>1893</v>
      </c>
      <c r="B2016" s="13" t="n">
        <v>46291</v>
      </c>
      <c r="C2016" s="2" t="s">
        <v>81</v>
      </c>
      <c r="D2016" s="2" t="n">
        <v>1</v>
      </c>
      <c r="E2016" s="15" t="n">
        <v>0.686111111111111</v>
      </c>
      <c r="F2016" s="7" t="n">
        <v>15000</v>
      </c>
      <c r="G2016" s="7" t="n">
        <f aca="false">D2016*F2016</f>
        <v>15000</v>
      </c>
      <c r="H2016" s="2" t="str">
        <f aca="false">INDEX(Daftar_Menu!$B$2:$B$13,MATCH(C2016,Daftar_Menu!$A$2:$A$13,0))</f>
        <v>Makanan</v>
      </c>
      <c r="I2016" s="2" t="str">
        <f aca="false">CHOOSE(WEEKDAY(B2016,2),"Senin","Selasa","Rabu","Kamis","Jumat","Sabtu","Minggu")</f>
        <v>Sabtu</v>
      </c>
      <c r="J2016" s="2" t="n">
        <f aca="false">HOUR(E2016)</f>
        <v>16</v>
      </c>
      <c r="K2016" s="2" t="str">
        <f aca="false">IF(J2016&lt;11,"Pagi",IF(J2016&lt;17,"Siang","Malam"))</f>
        <v>Siang</v>
      </c>
      <c r="L2016" s="2" t="n">
        <f aca="false">IF(A2016&lt;&gt;A2015,1,0)</f>
        <v>0</v>
      </c>
    </row>
    <row r="2017" customFormat="false" ht="15" hidden="false" customHeight="false" outlineLevel="0" collapsed="false">
      <c r="A2017" s="2" t="s">
        <v>1893</v>
      </c>
      <c r="B2017" s="13" t="n">
        <v>46291</v>
      </c>
      <c r="C2017" s="2" t="s">
        <v>112</v>
      </c>
      <c r="D2017" s="2" t="n">
        <v>1</v>
      </c>
      <c r="E2017" s="15" t="n">
        <v>0.686111111111111</v>
      </c>
      <c r="F2017" s="7" t="n">
        <v>10000</v>
      </c>
      <c r="G2017" s="7" t="n">
        <f aca="false">D2017*F2017</f>
        <v>10000</v>
      </c>
      <c r="H2017" s="2" t="str">
        <f aca="false">INDEX(Daftar_Menu!$B$2:$B$13,MATCH(C2017,Daftar_Menu!$A$2:$A$13,0))</f>
        <v>Minuman</v>
      </c>
      <c r="I2017" s="2" t="str">
        <f aca="false">CHOOSE(WEEKDAY(B2017,2),"Senin","Selasa","Rabu","Kamis","Jumat","Sabtu","Minggu")</f>
        <v>Sabtu</v>
      </c>
      <c r="J2017" s="2" t="n">
        <f aca="false">HOUR(E2017)</f>
        <v>16</v>
      </c>
      <c r="K2017" s="2" t="str">
        <f aca="false">IF(J2017&lt;11,"Pagi",IF(J2017&lt;17,"Siang","Malam"))</f>
        <v>Siang</v>
      </c>
      <c r="L2017" s="2" t="n">
        <f aca="false">IF(A2017&lt;&gt;A2016,1,0)</f>
        <v>0</v>
      </c>
    </row>
    <row r="2018" customFormat="false" ht="15" hidden="false" customHeight="false" outlineLevel="0" collapsed="false">
      <c r="A2018" s="2" t="s">
        <v>1894</v>
      </c>
      <c r="B2018" s="13" t="n">
        <v>46291</v>
      </c>
      <c r="C2018" s="2" t="s">
        <v>112</v>
      </c>
      <c r="D2018" s="2" t="n">
        <v>1</v>
      </c>
      <c r="E2018" s="15" t="n">
        <v>0.693055555555556</v>
      </c>
      <c r="F2018" s="7" t="n">
        <v>10000</v>
      </c>
      <c r="G2018" s="7" t="n">
        <f aca="false">D2018*F2018</f>
        <v>10000</v>
      </c>
      <c r="H2018" s="2" t="str">
        <f aca="false">INDEX(Daftar_Menu!$B$2:$B$13,MATCH(C2018,Daftar_Menu!$A$2:$A$13,0))</f>
        <v>Minuman</v>
      </c>
      <c r="I2018" s="2" t="str">
        <f aca="false">CHOOSE(WEEKDAY(B2018,2),"Senin","Selasa","Rabu","Kamis","Jumat","Sabtu","Minggu")</f>
        <v>Sabtu</v>
      </c>
      <c r="J2018" s="2" t="n">
        <f aca="false">HOUR(E2018)</f>
        <v>16</v>
      </c>
      <c r="K2018" s="2" t="str">
        <f aca="false">IF(J2018&lt;11,"Pagi",IF(J2018&lt;17,"Siang","Malam"))</f>
        <v>Siang</v>
      </c>
      <c r="L2018" s="2" t="n">
        <f aca="false">IF(A2018&lt;&gt;A2017,1,0)</f>
        <v>1</v>
      </c>
    </row>
    <row r="2019" customFormat="false" ht="15" hidden="false" customHeight="false" outlineLevel="0" collapsed="false">
      <c r="A2019" s="2" t="s">
        <v>1895</v>
      </c>
      <c r="B2019" s="13" t="n">
        <v>46291</v>
      </c>
      <c r="C2019" s="2" t="s">
        <v>81</v>
      </c>
      <c r="D2019" s="2" t="n">
        <v>1</v>
      </c>
      <c r="E2019" s="15" t="n">
        <v>0.704166666666667</v>
      </c>
      <c r="F2019" s="7" t="n">
        <v>15000</v>
      </c>
      <c r="G2019" s="7" t="n">
        <f aca="false">D2019*F2019</f>
        <v>15000</v>
      </c>
      <c r="H2019" s="2" t="str">
        <f aca="false">INDEX(Daftar_Menu!$B$2:$B$13,MATCH(C2019,Daftar_Menu!$A$2:$A$13,0))</f>
        <v>Makanan</v>
      </c>
      <c r="I2019" s="2" t="str">
        <f aca="false">CHOOSE(WEEKDAY(B2019,2),"Senin","Selasa","Rabu","Kamis","Jumat","Sabtu","Minggu")</f>
        <v>Sabtu</v>
      </c>
      <c r="J2019" s="2" t="n">
        <f aca="false">HOUR(E2019)</f>
        <v>16</v>
      </c>
      <c r="K2019" s="2" t="str">
        <f aca="false">IF(J2019&lt;11,"Pagi",IF(J2019&lt;17,"Siang","Malam"))</f>
        <v>Siang</v>
      </c>
      <c r="L2019" s="2" t="n">
        <f aca="false">IF(A2019&lt;&gt;A2018,1,0)</f>
        <v>1</v>
      </c>
    </row>
    <row r="2020" customFormat="false" ht="15" hidden="false" customHeight="false" outlineLevel="0" collapsed="false">
      <c r="A2020" s="2" t="s">
        <v>1897</v>
      </c>
      <c r="B2020" s="13" t="n">
        <v>46291</v>
      </c>
      <c r="C2020" s="2" t="s">
        <v>132</v>
      </c>
      <c r="D2020" s="2" t="n">
        <v>1</v>
      </c>
      <c r="E2020" s="15" t="n">
        <v>0.706944444444445</v>
      </c>
      <c r="F2020" s="7" t="n">
        <v>15000</v>
      </c>
      <c r="G2020" s="7" t="n">
        <f aca="false">D2020*F2020</f>
        <v>15000</v>
      </c>
      <c r="H2020" s="2" t="str">
        <f aca="false">INDEX(Daftar_Menu!$B$2:$B$13,MATCH(C2020,Daftar_Menu!$A$2:$A$13,0))</f>
        <v>Makanan</v>
      </c>
      <c r="I2020" s="2" t="str">
        <f aca="false">CHOOSE(WEEKDAY(B2020,2),"Senin","Selasa","Rabu","Kamis","Jumat","Sabtu","Minggu")</f>
        <v>Sabtu</v>
      </c>
      <c r="J2020" s="2" t="n">
        <f aca="false">HOUR(E2020)</f>
        <v>16</v>
      </c>
      <c r="K2020" s="2" t="str">
        <f aca="false">IF(J2020&lt;11,"Pagi",IF(J2020&lt;17,"Siang","Malam"))</f>
        <v>Siang</v>
      </c>
      <c r="L2020" s="2" t="n">
        <f aca="false">IF(A2020&lt;&gt;A2019,1,0)</f>
        <v>1</v>
      </c>
    </row>
    <row r="2021" customFormat="false" ht="15" hidden="false" customHeight="false" outlineLevel="0" collapsed="false">
      <c r="A2021" s="2" t="s">
        <v>1897</v>
      </c>
      <c r="B2021" s="13" t="n">
        <v>46291</v>
      </c>
      <c r="C2021" s="2" t="s">
        <v>89</v>
      </c>
      <c r="D2021" s="2" t="n">
        <v>1</v>
      </c>
      <c r="E2021" s="15" t="n">
        <v>0.706944444444445</v>
      </c>
      <c r="F2021" s="7" t="n">
        <v>14000</v>
      </c>
      <c r="G2021" s="7" t="n">
        <f aca="false">D2021*F2021</f>
        <v>14000</v>
      </c>
      <c r="H2021" s="2" t="str">
        <f aca="false">INDEX(Daftar_Menu!$B$2:$B$13,MATCH(C2021,Daftar_Menu!$A$2:$A$13,0))</f>
        <v>Makanan</v>
      </c>
      <c r="I2021" s="2" t="str">
        <f aca="false">CHOOSE(WEEKDAY(B2021,2),"Senin","Selasa","Rabu","Kamis","Jumat","Sabtu","Minggu")</f>
        <v>Sabtu</v>
      </c>
      <c r="J2021" s="2" t="n">
        <f aca="false">HOUR(E2021)</f>
        <v>16</v>
      </c>
      <c r="K2021" s="2" t="str">
        <f aca="false">IF(J2021&lt;11,"Pagi",IF(J2021&lt;17,"Siang","Malam"))</f>
        <v>Siang</v>
      </c>
      <c r="L2021" s="2" t="n">
        <f aca="false">IF(A2021&lt;&gt;A2020,1,0)</f>
        <v>0</v>
      </c>
    </row>
    <row r="2022" customFormat="false" ht="15" hidden="false" customHeight="false" outlineLevel="0" collapsed="false">
      <c r="A2022" s="2" t="s">
        <v>1897</v>
      </c>
      <c r="B2022" s="13" t="n">
        <v>46291</v>
      </c>
      <c r="C2022" s="2" t="s">
        <v>81</v>
      </c>
      <c r="D2022" s="2" t="n">
        <v>1</v>
      </c>
      <c r="E2022" s="15" t="n">
        <v>0.706944444444445</v>
      </c>
      <c r="F2022" s="7" t="n">
        <v>15000</v>
      </c>
      <c r="G2022" s="7" t="n">
        <f aca="false">D2022*F2022</f>
        <v>15000</v>
      </c>
      <c r="H2022" s="2" t="str">
        <f aca="false">INDEX(Daftar_Menu!$B$2:$B$13,MATCH(C2022,Daftar_Menu!$A$2:$A$13,0))</f>
        <v>Makanan</v>
      </c>
      <c r="I2022" s="2" t="str">
        <f aca="false">CHOOSE(WEEKDAY(B2022,2),"Senin","Selasa","Rabu","Kamis","Jumat","Sabtu","Minggu")</f>
        <v>Sabtu</v>
      </c>
      <c r="J2022" s="2" t="n">
        <f aca="false">HOUR(E2022)</f>
        <v>16</v>
      </c>
      <c r="K2022" s="2" t="str">
        <f aca="false">IF(J2022&lt;11,"Pagi",IF(J2022&lt;17,"Siang","Malam"))</f>
        <v>Siang</v>
      </c>
      <c r="L2022" s="2" t="n">
        <f aca="false">IF(A2022&lt;&gt;A2021,1,0)</f>
        <v>0</v>
      </c>
    </row>
    <row r="2023" customFormat="false" ht="15" hidden="false" customHeight="false" outlineLevel="0" collapsed="false">
      <c r="A2023" s="2" t="s">
        <v>1898</v>
      </c>
      <c r="B2023" s="13" t="n">
        <v>46291</v>
      </c>
      <c r="C2023" s="2" t="s">
        <v>101</v>
      </c>
      <c r="D2023" s="2" t="n">
        <v>2</v>
      </c>
      <c r="E2023" s="15" t="n">
        <v>0.717361111111111</v>
      </c>
      <c r="F2023" s="7" t="n">
        <v>18000</v>
      </c>
      <c r="G2023" s="7" t="n">
        <f aca="false">D2023*F2023</f>
        <v>36000</v>
      </c>
      <c r="H2023" s="2" t="str">
        <f aca="false">INDEX(Daftar_Menu!$B$2:$B$13,MATCH(C2023,Daftar_Menu!$A$2:$A$13,0))</f>
        <v>Makanan</v>
      </c>
      <c r="I2023" s="2" t="str">
        <f aca="false">CHOOSE(WEEKDAY(B2023,2),"Senin","Selasa","Rabu","Kamis","Jumat","Sabtu","Minggu")</f>
        <v>Sabtu</v>
      </c>
      <c r="J2023" s="2" t="n">
        <f aca="false">HOUR(E2023)</f>
        <v>17</v>
      </c>
      <c r="K2023" s="2" t="str">
        <f aca="false">IF(J2023&lt;11,"Pagi",IF(J2023&lt;17,"Siang","Malam"))</f>
        <v>Malam</v>
      </c>
      <c r="L2023" s="2" t="n">
        <f aca="false">IF(A2023&lt;&gt;A2022,1,0)</f>
        <v>1</v>
      </c>
    </row>
    <row r="2024" customFormat="false" ht="15" hidden="false" customHeight="false" outlineLevel="0" collapsed="false">
      <c r="A2024" s="2" t="s">
        <v>1898</v>
      </c>
      <c r="B2024" s="13" t="n">
        <v>46291</v>
      </c>
      <c r="C2024" s="2" t="s">
        <v>81</v>
      </c>
      <c r="D2024" s="2" t="n">
        <v>1</v>
      </c>
      <c r="E2024" s="15" t="n">
        <v>0.717361111111111</v>
      </c>
      <c r="F2024" s="7" t="n">
        <v>15000</v>
      </c>
      <c r="G2024" s="7" t="n">
        <f aca="false">D2024*F2024</f>
        <v>15000</v>
      </c>
      <c r="H2024" s="2" t="str">
        <f aca="false">INDEX(Daftar_Menu!$B$2:$B$13,MATCH(C2024,Daftar_Menu!$A$2:$A$13,0))</f>
        <v>Makanan</v>
      </c>
      <c r="I2024" s="2" t="str">
        <f aca="false">CHOOSE(WEEKDAY(B2024,2),"Senin","Selasa","Rabu","Kamis","Jumat","Sabtu","Minggu")</f>
        <v>Sabtu</v>
      </c>
      <c r="J2024" s="2" t="n">
        <f aca="false">HOUR(E2024)</f>
        <v>17</v>
      </c>
      <c r="K2024" s="2" t="str">
        <f aca="false">IF(J2024&lt;11,"Pagi",IF(J2024&lt;17,"Siang","Malam"))</f>
        <v>Malam</v>
      </c>
      <c r="L2024" s="2" t="n">
        <f aca="false">IF(A2024&lt;&gt;A2023,1,0)</f>
        <v>0</v>
      </c>
    </row>
    <row r="2025" customFormat="false" ht="15" hidden="false" customHeight="false" outlineLevel="0" collapsed="false">
      <c r="A2025" s="2" t="s">
        <v>1899</v>
      </c>
      <c r="B2025" s="13" t="n">
        <v>46291</v>
      </c>
      <c r="C2025" s="2" t="s">
        <v>89</v>
      </c>
      <c r="D2025" s="2" t="n">
        <v>1</v>
      </c>
      <c r="E2025" s="15" t="n">
        <v>0.736111111111111</v>
      </c>
      <c r="F2025" s="7" t="n">
        <v>14000</v>
      </c>
      <c r="G2025" s="7" t="n">
        <f aca="false">D2025*F2025</f>
        <v>14000</v>
      </c>
      <c r="H2025" s="2" t="str">
        <f aca="false">INDEX(Daftar_Menu!$B$2:$B$13,MATCH(C2025,Daftar_Menu!$A$2:$A$13,0))</f>
        <v>Makanan</v>
      </c>
      <c r="I2025" s="2" t="str">
        <f aca="false">CHOOSE(WEEKDAY(B2025,2),"Senin","Selasa","Rabu","Kamis","Jumat","Sabtu","Minggu")</f>
        <v>Sabtu</v>
      </c>
      <c r="J2025" s="2" t="n">
        <f aca="false">HOUR(E2025)</f>
        <v>17</v>
      </c>
      <c r="K2025" s="2" t="str">
        <f aca="false">IF(J2025&lt;11,"Pagi",IF(J2025&lt;17,"Siang","Malam"))</f>
        <v>Malam</v>
      </c>
      <c r="L2025" s="2" t="n">
        <f aca="false">IF(A2025&lt;&gt;A2024,1,0)</f>
        <v>1</v>
      </c>
    </row>
    <row r="2026" customFormat="false" ht="15" hidden="false" customHeight="false" outlineLevel="0" collapsed="false">
      <c r="A2026" s="2" t="s">
        <v>1899</v>
      </c>
      <c r="B2026" s="13" t="n">
        <v>46291</v>
      </c>
      <c r="C2026" s="2" t="s">
        <v>81</v>
      </c>
      <c r="D2026" s="2" t="n">
        <v>1</v>
      </c>
      <c r="E2026" s="15" t="n">
        <v>0.736111111111111</v>
      </c>
      <c r="F2026" s="7" t="n">
        <v>15000</v>
      </c>
      <c r="G2026" s="7" t="n">
        <f aca="false">D2026*F2026</f>
        <v>15000</v>
      </c>
      <c r="H2026" s="2" t="str">
        <f aca="false">INDEX(Daftar_Menu!$B$2:$B$13,MATCH(C2026,Daftar_Menu!$A$2:$A$13,0))</f>
        <v>Makanan</v>
      </c>
      <c r="I2026" s="2" t="str">
        <f aca="false">CHOOSE(WEEKDAY(B2026,2),"Senin","Selasa","Rabu","Kamis","Jumat","Sabtu","Minggu")</f>
        <v>Sabtu</v>
      </c>
      <c r="J2026" s="2" t="n">
        <f aca="false">HOUR(E2026)</f>
        <v>17</v>
      </c>
      <c r="K2026" s="2" t="str">
        <f aca="false">IF(J2026&lt;11,"Pagi",IF(J2026&lt;17,"Siang","Malam"))</f>
        <v>Malam</v>
      </c>
      <c r="L2026" s="2" t="n">
        <f aca="false">IF(A2026&lt;&gt;A2025,1,0)</f>
        <v>0</v>
      </c>
    </row>
    <row r="2027" customFormat="false" ht="15" hidden="false" customHeight="false" outlineLevel="0" collapsed="false">
      <c r="A2027" s="2" t="s">
        <v>1901</v>
      </c>
      <c r="B2027" s="13" t="n">
        <v>46291</v>
      </c>
      <c r="C2027" s="2" t="s">
        <v>92</v>
      </c>
      <c r="D2027" s="2" t="n">
        <v>2</v>
      </c>
      <c r="E2027" s="15" t="n">
        <v>0.736805555555556</v>
      </c>
      <c r="F2027" s="7" t="n">
        <v>4000</v>
      </c>
      <c r="G2027" s="7" t="n">
        <f aca="false">D2027*F2027</f>
        <v>8000</v>
      </c>
      <c r="H2027" s="2" t="str">
        <f aca="false">INDEX(Daftar_Menu!$B$2:$B$13,MATCH(C2027,Daftar_Menu!$A$2:$A$13,0))</f>
        <v>Minuman</v>
      </c>
      <c r="I2027" s="2" t="str">
        <f aca="false">CHOOSE(WEEKDAY(B2027,2),"Senin","Selasa","Rabu","Kamis","Jumat","Sabtu","Minggu")</f>
        <v>Sabtu</v>
      </c>
      <c r="J2027" s="2" t="n">
        <f aca="false">HOUR(E2027)</f>
        <v>17</v>
      </c>
      <c r="K2027" s="2" t="str">
        <f aca="false">IF(J2027&lt;11,"Pagi",IF(J2027&lt;17,"Siang","Malam"))</f>
        <v>Malam</v>
      </c>
      <c r="L2027" s="2" t="n">
        <f aca="false">IF(A2027&lt;&gt;A2026,1,0)</f>
        <v>1</v>
      </c>
    </row>
    <row r="2028" customFormat="false" ht="15" hidden="false" customHeight="false" outlineLevel="0" collapsed="false">
      <c r="A2028" s="2" t="s">
        <v>1902</v>
      </c>
      <c r="B2028" s="13" t="n">
        <v>46291</v>
      </c>
      <c r="C2028" s="2" t="s">
        <v>84</v>
      </c>
      <c r="D2028" s="2" t="n">
        <v>2</v>
      </c>
      <c r="E2028" s="15" t="n">
        <v>0.738888888888889</v>
      </c>
      <c r="F2028" s="7" t="n">
        <v>5000</v>
      </c>
      <c r="G2028" s="7" t="n">
        <f aca="false">D2028*F2028</f>
        <v>10000</v>
      </c>
      <c r="H2028" s="2" t="str">
        <f aca="false">INDEX(Daftar_Menu!$B$2:$B$13,MATCH(C2028,Daftar_Menu!$A$2:$A$13,0))</f>
        <v>Minuman</v>
      </c>
      <c r="I2028" s="2" t="str">
        <f aca="false">CHOOSE(WEEKDAY(B2028,2),"Senin","Selasa","Rabu","Kamis","Jumat","Sabtu","Minggu")</f>
        <v>Sabtu</v>
      </c>
      <c r="J2028" s="2" t="n">
        <f aca="false">HOUR(E2028)</f>
        <v>17</v>
      </c>
      <c r="K2028" s="2" t="str">
        <f aca="false">IF(J2028&lt;11,"Pagi",IF(J2028&lt;17,"Siang","Malam"))</f>
        <v>Malam</v>
      </c>
      <c r="L2028" s="2" t="n">
        <f aca="false">IF(A2028&lt;&gt;A2027,1,0)</f>
        <v>1</v>
      </c>
    </row>
    <row r="2029" customFormat="false" ht="15" hidden="false" customHeight="false" outlineLevel="0" collapsed="false">
      <c r="A2029" s="2" t="s">
        <v>1903</v>
      </c>
      <c r="B2029" s="13" t="n">
        <v>46291</v>
      </c>
      <c r="C2029" s="2" t="s">
        <v>81</v>
      </c>
      <c r="D2029" s="2" t="n">
        <v>1</v>
      </c>
      <c r="E2029" s="15" t="n">
        <v>0.745138888888889</v>
      </c>
      <c r="F2029" s="7" t="n">
        <v>15000</v>
      </c>
      <c r="G2029" s="7" t="n">
        <f aca="false">D2029*F2029</f>
        <v>15000</v>
      </c>
      <c r="H2029" s="2" t="str">
        <f aca="false">INDEX(Daftar_Menu!$B$2:$B$13,MATCH(C2029,Daftar_Menu!$A$2:$A$13,0))</f>
        <v>Makanan</v>
      </c>
      <c r="I2029" s="2" t="str">
        <f aca="false">CHOOSE(WEEKDAY(B2029,2),"Senin","Selasa","Rabu","Kamis","Jumat","Sabtu","Minggu")</f>
        <v>Sabtu</v>
      </c>
      <c r="J2029" s="2" t="n">
        <f aca="false">HOUR(E2029)</f>
        <v>17</v>
      </c>
      <c r="K2029" s="2" t="str">
        <f aca="false">IF(J2029&lt;11,"Pagi",IF(J2029&lt;17,"Siang","Malam"))</f>
        <v>Malam</v>
      </c>
      <c r="L2029" s="2" t="n">
        <f aca="false">IF(A2029&lt;&gt;A2028,1,0)</f>
        <v>1</v>
      </c>
    </row>
    <row r="2030" customFormat="false" ht="15" hidden="false" customHeight="false" outlineLevel="0" collapsed="false">
      <c r="A2030" s="2" t="s">
        <v>1905</v>
      </c>
      <c r="B2030" s="13" t="n">
        <v>46291</v>
      </c>
      <c r="C2030" s="2" t="s">
        <v>81</v>
      </c>
      <c r="D2030" s="2" t="n">
        <v>1</v>
      </c>
      <c r="E2030" s="15" t="n">
        <v>0.755555555555556</v>
      </c>
      <c r="F2030" s="7" t="n">
        <v>15000</v>
      </c>
      <c r="G2030" s="7" t="n">
        <f aca="false">D2030*F2030</f>
        <v>15000</v>
      </c>
      <c r="H2030" s="2" t="str">
        <f aca="false">INDEX(Daftar_Menu!$B$2:$B$13,MATCH(C2030,Daftar_Menu!$A$2:$A$13,0))</f>
        <v>Makanan</v>
      </c>
      <c r="I2030" s="2" t="str">
        <f aca="false">CHOOSE(WEEKDAY(B2030,2),"Senin","Selasa","Rabu","Kamis","Jumat","Sabtu","Minggu")</f>
        <v>Sabtu</v>
      </c>
      <c r="J2030" s="2" t="n">
        <f aca="false">HOUR(E2030)</f>
        <v>18</v>
      </c>
      <c r="K2030" s="2" t="str">
        <f aca="false">IF(J2030&lt;11,"Pagi",IF(J2030&lt;17,"Siang","Malam"))</f>
        <v>Malam</v>
      </c>
      <c r="L2030" s="2" t="n">
        <f aca="false">IF(A2030&lt;&gt;A2029,1,0)</f>
        <v>1</v>
      </c>
    </row>
    <row r="2031" customFormat="false" ht="15" hidden="false" customHeight="false" outlineLevel="0" collapsed="false">
      <c r="A2031" s="2" t="s">
        <v>1906</v>
      </c>
      <c r="B2031" s="13" t="n">
        <v>46291</v>
      </c>
      <c r="C2031" s="2" t="s">
        <v>84</v>
      </c>
      <c r="D2031" s="2" t="n">
        <v>2</v>
      </c>
      <c r="E2031" s="15" t="n">
        <v>0.756944444444444</v>
      </c>
      <c r="F2031" s="7" t="n">
        <v>5000</v>
      </c>
      <c r="G2031" s="7" t="n">
        <f aca="false">D2031*F2031</f>
        <v>10000</v>
      </c>
      <c r="H2031" s="2" t="str">
        <f aca="false">INDEX(Daftar_Menu!$B$2:$B$13,MATCH(C2031,Daftar_Menu!$A$2:$A$13,0))</f>
        <v>Minuman</v>
      </c>
      <c r="I2031" s="2" t="str">
        <f aca="false">CHOOSE(WEEKDAY(B2031,2),"Senin","Selasa","Rabu","Kamis","Jumat","Sabtu","Minggu")</f>
        <v>Sabtu</v>
      </c>
      <c r="J2031" s="2" t="n">
        <f aca="false">HOUR(E2031)</f>
        <v>18</v>
      </c>
      <c r="K2031" s="2" t="str">
        <f aca="false">IF(J2031&lt;11,"Pagi",IF(J2031&lt;17,"Siang","Malam"))</f>
        <v>Malam</v>
      </c>
      <c r="L2031" s="2" t="n">
        <f aca="false">IF(A2031&lt;&gt;A2030,1,0)</f>
        <v>1</v>
      </c>
    </row>
    <row r="2032" customFormat="false" ht="15" hidden="false" customHeight="false" outlineLevel="0" collapsed="false">
      <c r="A2032" s="2" t="s">
        <v>1906</v>
      </c>
      <c r="B2032" s="13" t="n">
        <v>46291</v>
      </c>
      <c r="C2032" s="2" t="s">
        <v>132</v>
      </c>
      <c r="D2032" s="2" t="n">
        <v>1</v>
      </c>
      <c r="E2032" s="15" t="n">
        <v>0.756944444444444</v>
      </c>
      <c r="F2032" s="7" t="n">
        <v>15000</v>
      </c>
      <c r="G2032" s="7" t="n">
        <f aca="false">D2032*F2032</f>
        <v>15000</v>
      </c>
      <c r="H2032" s="2" t="str">
        <f aca="false">INDEX(Daftar_Menu!$B$2:$B$13,MATCH(C2032,Daftar_Menu!$A$2:$A$13,0))</f>
        <v>Makanan</v>
      </c>
      <c r="I2032" s="2" t="str">
        <f aca="false">CHOOSE(WEEKDAY(B2032,2),"Senin","Selasa","Rabu","Kamis","Jumat","Sabtu","Minggu")</f>
        <v>Sabtu</v>
      </c>
      <c r="J2032" s="2" t="n">
        <f aca="false">HOUR(E2032)</f>
        <v>18</v>
      </c>
      <c r="K2032" s="2" t="str">
        <f aca="false">IF(J2032&lt;11,"Pagi",IF(J2032&lt;17,"Siang","Malam"))</f>
        <v>Malam</v>
      </c>
      <c r="L2032" s="2" t="n">
        <f aca="false">IF(A2032&lt;&gt;A2031,1,0)</f>
        <v>0</v>
      </c>
    </row>
    <row r="2033" customFormat="false" ht="15" hidden="false" customHeight="false" outlineLevel="0" collapsed="false">
      <c r="A2033" s="2" t="s">
        <v>1908</v>
      </c>
      <c r="B2033" s="13" t="n">
        <v>46291</v>
      </c>
      <c r="C2033" s="2" t="s">
        <v>101</v>
      </c>
      <c r="D2033" s="2" t="n">
        <v>2</v>
      </c>
      <c r="E2033" s="15" t="n">
        <v>0.757638888888889</v>
      </c>
      <c r="F2033" s="7" t="n">
        <v>18000</v>
      </c>
      <c r="G2033" s="7" t="n">
        <f aca="false">D2033*F2033</f>
        <v>36000</v>
      </c>
      <c r="H2033" s="2" t="str">
        <f aca="false">INDEX(Daftar_Menu!$B$2:$B$13,MATCH(C2033,Daftar_Menu!$A$2:$A$13,0))</f>
        <v>Makanan</v>
      </c>
      <c r="I2033" s="2" t="str">
        <f aca="false">CHOOSE(WEEKDAY(B2033,2),"Senin","Selasa","Rabu","Kamis","Jumat","Sabtu","Minggu")</f>
        <v>Sabtu</v>
      </c>
      <c r="J2033" s="2" t="n">
        <f aca="false">HOUR(E2033)</f>
        <v>18</v>
      </c>
      <c r="K2033" s="2" t="str">
        <f aca="false">IF(J2033&lt;11,"Pagi",IF(J2033&lt;17,"Siang","Malam"))</f>
        <v>Malam</v>
      </c>
      <c r="L2033" s="2" t="n">
        <f aca="false">IF(A2033&lt;&gt;A2032,1,0)</f>
        <v>1</v>
      </c>
    </row>
    <row r="2034" customFormat="false" ht="15" hidden="false" customHeight="false" outlineLevel="0" collapsed="false">
      <c r="A2034" s="2" t="s">
        <v>1909</v>
      </c>
      <c r="B2034" s="13" t="n">
        <v>46291</v>
      </c>
      <c r="C2034" s="2" t="s">
        <v>112</v>
      </c>
      <c r="D2034" s="2" t="n">
        <v>2</v>
      </c>
      <c r="E2034" s="15" t="n">
        <v>0.760416666666667</v>
      </c>
      <c r="F2034" s="7" t="n">
        <v>10000</v>
      </c>
      <c r="G2034" s="7" t="n">
        <f aca="false">D2034*F2034</f>
        <v>20000</v>
      </c>
      <c r="H2034" s="2" t="str">
        <f aca="false">INDEX(Daftar_Menu!$B$2:$B$13,MATCH(C2034,Daftar_Menu!$A$2:$A$13,0))</f>
        <v>Minuman</v>
      </c>
      <c r="I2034" s="2" t="str">
        <f aca="false">CHOOSE(WEEKDAY(B2034,2),"Senin","Selasa","Rabu","Kamis","Jumat","Sabtu","Minggu")</f>
        <v>Sabtu</v>
      </c>
      <c r="J2034" s="2" t="n">
        <f aca="false">HOUR(E2034)</f>
        <v>18</v>
      </c>
      <c r="K2034" s="2" t="str">
        <f aca="false">IF(J2034&lt;11,"Pagi",IF(J2034&lt;17,"Siang","Malam"))</f>
        <v>Malam</v>
      </c>
      <c r="L2034" s="2" t="n">
        <f aca="false">IF(A2034&lt;&gt;A2033,1,0)</f>
        <v>1</v>
      </c>
    </row>
    <row r="2035" customFormat="false" ht="15" hidden="false" customHeight="false" outlineLevel="0" collapsed="false">
      <c r="A2035" s="2" t="s">
        <v>1909</v>
      </c>
      <c r="B2035" s="13" t="n">
        <v>46291</v>
      </c>
      <c r="C2035" s="2" t="s">
        <v>84</v>
      </c>
      <c r="D2035" s="2" t="n">
        <v>2</v>
      </c>
      <c r="E2035" s="15" t="n">
        <v>0.760416666666667</v>
      </c>
      <c r="F2035" s="7" t="n">
        <v>5000</v>
      </c>
      <c r="G2035" s="7" t="n">
        <f aca="false">D2035*F2035</f>
        <v>10000</v>
      </c>
      <c r="H2035" s="2" t="str">
        <f aca="false">INDEX(Daftar_Menu!$B$2:$B$13,MATCH(C2035,Daftar_Menu!$A$2:$A$13,0))</f>
        <v>Minuman</v>
      </c>
      <c r="I2035" s="2" t="str">
        <f aca="false">CHOOSE(WEEKDAY(B2035,2),"Senin","Selasa","Rabu","Kamis","Jumat","Sabtu","Minggu")</f>
        <v>Sabtu</v>
      </c>
      <c r="J2035" s="2" t="n">
        <f aca="false">HOUR(E2035)</f>
        <v>18</v>
      </c>
      <c r="K2035" s="2" t="str">
        <f aca="false">IF(J2035&lt;11,"Pagi",IF(J2035&lt;17,"Siang","Malam"))</f>
        <v>Malam</v>
      </c>
      <c r="L2035" s="2" t="n">
        <f aca="false">IF(A2035&lt;&gt;A2034,1,0)</f>
        <v>0</v>
      </c>
    </row>
    <row r="2036" customFormat="false" ht="15" hidden="false" customHeight="false" outlineLevel="0" collapsed="false">
      <c r="A2036" s="2" t="s">
        <v>1909</v>
      </c>
      <c r="B2036" s="13" t="n">
        <v>46291</v>
      </c>
      <c r="C2036" s="2" t="s">
        <v>186</v>
      </c>
      <c r="D2036" s="2" t="n">
        <v>1</v>
      </c>
      <c r="E2036" s="15" t="n">
        <v>0.760416666666667</v>
      </c>
      <c r="F2036" s="7" t="n">
        <v>7000</v>
      </c>
      <c r="G2036" s="7" t="n">
        <f aca="false">D2036*F2036</f>
        <v>7000</v>
      </c>
      <c r="H2036" s="2" t="str">
        <f aca="false">INDEX(Daftar_Menu!$B$2:$B$13,MATCH(C2036,Daftar_Menu!$A$2:$A$13,0))</f>
        <v>Minuman</v>
      </c>
      <c r="I2036" s="2" t="str">
        <f aca="false">CHOOSE(WEEKDAY(B2036,2),"Senin","Selasa","Rabu","Kamis","Jumat","Sabtu","Minggu")</f>
        <v>Sabtu</v>
      </c>
      <c r="J2036" s="2" t="n">
        <f aca="false">HOUR(E2036)</f>
        <v>18</v>
      </c>
      <c r="K2036" s="2" t="str">
        <f aca="false">IF(J2036&lt;11,"Pagi",IF(J2036&lt;17,"Siang","Malam"))</f>
        <v>Malam</v>
      </c>
      <c r="L2036" s="2" t="n">
        <f aca="false">IF(A2036&lt;&gt;A2035,1,0)</f>
        <v>0</v>
      </c>
    </row>
    <row r="2037" customFormat="false" ht="15" hidden="false" customHeight="false" outlineLevel="0" collapsed="false">
      <c r="A2037" s="2" t="s">
        <v>1911</v>
      </c>
      <c r="B2037" s="13" t="n">
        <v>46291</v>
      </c>
      <c r="C2037" s="2" t="s">
        <v>84</v>
      </c>
      <c r="D2037" s="2" t="n">
        <v>1</v>
      </c>
      <c r="E2037" s="15" t="n">
        <v>0.761111111111111</v>
      </c>
      <c r="F2037" s="7" t="n">
        <v>5000</v>
      </c>
      <c r="G2037" s="7" t="n">
        <f aca="false">D2037*F2037</f>
        <v>5000</v>
      </c>
      <c r="H2037" s="2" t="str">
        <f aca="false">INDEX(Daftar_Menu!$B$2:$B$13,MATCH(C2037,Daftar_Menu!$A$2:$A$13,0))</f>
        <v>Minuman</v>
      </c>
      <c r="I2037" s="2" t="str">
        <f aca="false">CHOOSE(WEEKDAY(B2037,2),"Senin","Selasa","Rabu","Kamis","Jumat","Sabtu","Minggu")</f>
        <v>Sabtu</v>
      </c>
      <c r="J2037" s="2" t="n">
        <f aca="false">HOUR(E2037)</f>
        <v>18</v>
      </c>
      <c r="K2037" s="2" t="str">
        <f aca="false">IF(J2037&lt;11,"Pagi",IF(J2037&lt;17,"Siang","Malam"))</f>
        <v>Malam</v>
      </c>
      <c r="L2037" s="2" t="n">
        <f aca="false">IF(A2037&lt;&gt;A2036,1,0)</f>
        <v>1</v>
      </c>
    </row>
    <row r="2038" customFormat="false" ht="15" hidden="false" customHeight="false" outlineLevel="0" collapsed="false">
      <c r="A2038" s="2" t="s">
        <v>1911</v>
      </c>
      <c r="B2038" s="13" t="n">
        <v>46291</v>
      </c>
      <c r="C2038" s="2" t="s">
        <v>79</v>
      </c>
      <c r="D2038" s="2" t="n">
        <v>1</v>
      </c>
      <c r="E2038" s="15" t="n">
        <v>0.761111111111111</v>
      </c>
      <c r="F2038" s="7" t="n">
        <v>16000</v>
      </c>
      <c r="G2038" s="7" t="n">
        <f aca="false">D2038*F2038</f>
        <v>16000</v>
      </c>
      <c r="H2038" s="2" t="str">
        <f aca="false">INDEX(Daftar_Menu!$B$2:$B$13,MATCH(C2038,Daftar_Menu!$A$2:$A$13,0))</f>
        <v>Makanan</v>
      </c>
      <c r="I2038" s="2" t="str">
        <f aca="false">CHOOSE(WEEKDAY(B2038,2),"Senin","Selasa","Rabu","Kamis","Jumat","Sabtu","Minggu")</f>
        <v>Sabtu</v>
      </c>
      <c r="J2038" s="2" t="n">
        <f aca="false">HOUR(E2038)</f>
        <v>18</v>
      </c>
      <c r="K2038" s="2" t="str">
        <f aca="false">IF(J2038&lt;11,"Pagi",IF(J2038&lt;17,"Siang","Malam"))</f>
        <v>Malam</v>
      </c>
      <c r="L2038" s="2" t="n">
        <f aca="false">IF(A2038&lt;&gt;A2037,1,0)</f>
        <v>0</v>
      </c>
    </row>
    <row r="2039" customFormat="false" ht="15" hidden="false" customHeight="false" outlineLevel="0" collapsed="false">
      <c r="A2039" s="2" t="s">
        <v>1912</v>
      </c>
      <c r="B2039" s="13" t="n">
        <v>46291</v>
      </c>
      <c r="C2039" s="2" t="s">
        <v>101</v>
      </c>
      <c r="D2039" s="2" t="n">
        <v>1</v>
      </c>
      <c r="E2039" s="15" t="n">
        <v>0.768055555555556</v>
      </c>
      <c r="F2039" s="7" t="n">
        <v>18000</v>
      </c>
      <c r="G2039" s="7" t="n">
        <f aca="false">D2039*F2039</f>
        <v>18000</v>
      </c>
      <c r="H2039" s="2" t="str">
        <f aca="false">INDEX(Daftar_Menu!$B$2:$B$13,MATCH(C2039,Daftar_Menu!$A$2:$A$13,0))</f>
        <v>Makanan</v>
      </c>
      <c r="I2039" s="2" t="str">
        <f aca="false">CHOOSE(WEEKDAY(B2039,2),"Senin","Selasa","Rabu","Kamis","Jumat","Sabtu","Minggu")</f>
        <v>Sabtu</v>
      </c>
      <c r="J2039" s="2" t="n">
        <f aca="false">HOUR(E2039)</f>
        <v>18</v>
      </c>
      <c r="K2039" s="2" t="str">
        <f aca="false">IF(J2039&lt;11,"Pagi",IF(J2039&lt;17,"Siang","Malam"))</f>
        <v>Malam</v>
      </c>
      <c r="L2039" s="2" t="n">
        <f aca="false">IF(A2039&lt;&gt;A2038,1,0)</f>
        <v>1</v>
      </c>
    </row>
    <row r="2040" customFormat="false" ht="15" hidden="false" customHeight="false" outlineLevel="0" collapsed="false">
      <c r="A2040" s="2" t="s">
        <v>1912</v>
      </c>
      <c r="B2040" s="13" t="n">
        <v>46291</v>
      </c>
      <c r="C2040" s="2" t="s">
        <v>186</v>
      </c>
      <c r="D2040" s="2" t="n">
        <v>1</v>
      </c>
      <c r="E2040" s="15" t="n">
        <v>0.768055555555556</v>
      </c>
      <c r="F2040" s="7" t="n">
        <v>7000</v>
      </c>
      <c r="G2040" s="7" t="n">
        <f aca="false">D2040*F2040</f>
        <v>7000</v>
      </c>
      <c r="H2040" s="2" t="str">
        <f aca="false">INDEX(Daftar_Menu!$B$2:$B$13,MATCH(C2040,Daftar_Menu!$A$2:$A$13,0))</f>
        <v>Minuman</v>
      </c>
      <c r="I2040" s="2" t="str">
        <f aca="false">CHOOSE(WEEKDAY(B2040,2),"Senin","Selasa","Rabu","Kamis","Jumat","Sabtu","Minggu")</f>
        <v>Sabtu</v>
      </c>
      <c r="J2040" s="2" t="n">
        <f aca="false">HOUR(E2040)</f>
        <v>18</v>
      </c>
      <c r="K2040" s="2" t="str">
        <f aca="false">IF(J2040&lt;11,"Pagi",IF(J2040&lt;17,"Siang","Malam"))</f>
        <v>Malam</v>
      </c>
      <c r="L2040" s="2" t="n">
        <f aca="false">IF(A2040&lt;&gt;A2039,1,0)</f>
        <v>0</v>
      </c>
    </row>
    <row r="2041" customFormat="false" ht="15" hidden="false" customHeight="false" outlineLevel="0" collapsed="false">
      <c r="A2041" s="2" t="s">
        <v>1912</v>
      </c>
      <c r="B2041" s="13" t="n">
        <v>46291</v>
      </c>
      <c r="C2041" s="2" t="s">
        <v>108</v>
      </c>
      <c r="D2041" s="2" t="n">
        <v>1</v>
      </c>
      <c r="E2041" s="15" t="n">
        <v>0.768055555555556</v>
      </c>
      <c r="F2041" s="7" t="n">
        <v>20000</v>
      </c>
      <c r="G2041" s="7" t="n">
        <f aca="false">D2041*F2041</f>
        <v>20000</v>
      </c>
      <c r="H2041" s="2" t="str">
        <f aca="false">INDEX(Daftar_Menu!$B$2:$B$13,MATCH(C2041,Daftar_Menu!$A$2:$A$13,0))</f>
        <v>Makanan</v>
      </c>
      <c r="I2041" s="2" t="str">
        <f aca="false">CHOOSE(WEEKDAY(B2041,2),"Senin","Selasa","Rabu","Kamis","Jumat","Sabtu","Minggu")</f>
        <v>Sabtu</v>
      </c>
      <c r="J2041" s="2" t="n">
        <f aca="false">HOUR(E2041)</f>
        <v>18</v>
      </c>
      <c r="K2041" s="2" t="str">
        <f aca="false">IF(J2041&lt;11,"Pagi",IF(J2041&lt;17,"Siang","Malam"))</f>
        <v>Malam</v>
      </c>
      <c r="L2041" s="2" t="n">
        <f aca="false">IF(A2041&lt;&gt;A2040,1,0)</f>
        <v>0</v>
      </c>
    </row>
    <row r="2042" customFormat="false" ht="15" hidden="false" customHeight="false" outlineLevel="0" collapsed="false">
      <c r="A2042" s="2" t="s">
        <v>1913</v>
      </c>
      <c r="B2042" s="13" t="n">
        <v>46291</v>
      </c>
      <c r="C2042" s="2" t="s">
        <v>84</v>
      </c>
      <c r="D2042" s="2" t="n">
        <v>1</v>
      </c>
      <c r="E2042" s="15" t="n">
        <v>0.793055555555556</v>
      </c>
      <c r="F2042" s="7" t="n">
        <v>5000</v>
      </c>
      <c r="G2042" s="7" t="n">
        <f aca="false">D2042*F2042</f>
        <v>5000</v>
      </c>
      <c r="H2042" s="2" t="str">
        <f aca="false">INDEX(Daftar_Menu!$B$2:$B$13,MATCH(C2042,Daftar_Menu!$A$2:$A$13,0))</f>
        <v>Minuman</v>
      </c>
      <c r="I2042" s="2" t="str">
        <f aca="false">CHOOSE(WEEKDAY(B2042,2),"Senin","Selasa","Rabu","Kamis","Jumat","Sabtu","Minggu")</f>
        <v>Sabtu</v>
      </c>
      <c r="J2042" s="2" t="n">
        <f aca="false">HOUR(E2042)</f>
        <v>19</v>
      </c>
      <c r="K2042" s="2" t="str">
        <f aca="false">IF(J2042&lt;11,"Pagi",IF(J2042&lt;17,"Siang","Malam"))</f>
        <v>Malam</v>
      </c>
      <c r="L2042" s="2" t="n">
        <f aca="false">IF(A2042&lt;&gt;A2041,1,0)</f>
        <v>1</v>
      </c>
    </row>
    <row r="2043" customFormat="false" ht="15" hidden="false" customHeight="false" outlineLevel="0" collapsed="false">
      <c r="A2043" s="2" t="s">
        <v>1913</v>
      </c>
      <c r="B2043" s="13" t="n">
        <v>46291</v>
      </c>
      <c r="C2043" s="2" t="s">
        <v>112</v>
      </c>
      <c r="D2043" s="2" t="n">
        <v>1</v>
      </c>
      <c r="E2043" s="15" t="n">
        <v>0.793055555555556</v>
      </c>
      <c r="F2043" s="7" t="n">
        <v>10000</v>
      </c>
      <c r="G2043" s="7" t="n">
        <f aca="false">D2043*F2043</f>
        <v>10000</v>
      </c>
      <c r="H2043" s="2" t="str">
        <f aca="false">INDEX(Daftar_Menu!$B$2:$B$13,MATCH(C2043,Daftar_Menu!$A$2:$A$13,0))</f>
        <v>Minuman</v>
      </c>
      <c r="I2043" s="2" t="str">
        <f aca="false">CHOOSE(WEEKDAY(B2043,2),"Senin","Selasa","Rabu","Kamis","Jumat","Sabtu","Minggu")</f>
        <v>Sabtu</v>
      </c>
      <c r="J2043" s="2" t="n">
        <f aca="false">HOUR(E2043)</f>
        <v>19</v>
      </c>
      <c r="K2043" s="2" t="str">
        <f aca="false">IF(J2043&lt;11,"Pagi",IF(J2043&lt;17,"Siang","Malam"))</f>
        <v>Malam</v>
      </c>
      <c r="L2043" s="2" t="n">
        <f aca="false">IF(A2043&lt;&gt;A2042,1,0)</f>
        <v>0</v>
      </c>
    </row>
    <row r="2044" customFormat="false" ht="15" hidden="false" customHeight="false" outlineLevel="0" collapsed="false">
      <c r="A2044" s="2" t="s">
        <v>1915</v>
      </c>
      <c r="B2044" s="13" t="n">
        <v>46291</v>
      </c>
      <c r="C2044" s="2" t="s">
        <v>84</v>
      </c>
      <c r="D2044" s="2" t="n">
        <v>1</v>
      </c>
      <c r="E2044" s="15" t="n">
        <v>0.79375</v>
      </c>
      <c r="F2044" s="7" t="n">
        <v>5000</v>
      </c>
      <c r="G2044" s="7" t="n">
        <f aca="false">D2044*F2044</f>
        <v>5000</v>
      </c>
      <c r="H2044" s="2" t="str">
        <f aca="false">INDEX(Daftar_Menu!$B$2:$B$13,MATCH(C2044,Daftar_Menu!$A$2:$A$13,0))</f>
        <v>Minuman</v>
      </c>
      <c r="I2044" s="2" t="str">
        <f aca="false">CHOOSE(WEEKDAY(B2044,2),"Senin","Selasa","Rabu","Kamis","Jumat","Sabtu","Minggu")</f>
        <v>Sabtu</v>
      </c>
      <c r="J2044" s="2" t="n">
        <f aca="false">HOUR(E2044)</f>
        <v>19</v>
      </c>
      <c r="K2044" s="2" t="str">
        <f aca="false">IF(J2044&lt;11,"Pagi",IF(J2044&lt;17,"Siang","Malam"))</f>
        <v>Malam</v>
      </c>
      <c r="L2044" s="2" t="n">
        <f aca="false">IF(A2044&lt;&gt;A2043,1,0)</f>
        <v>1</v>
      </c>
    </row>
    <row r="2045" customFormat="false" ht="15" hidden="false" customHeight="false" outlineLevel="0" collapsed="false">
      <c r="A2045" s="2" t="s">
        <v>1915</v>
      </c>
      <c r="B2045" s="13" t="n">
        <v>46291</v>
      </c>
      <c r="C2045" s="2" t="s">
        <v>126</v>
      </c>
      <c r="D2045" s="2" t="n">
        <v>1</v>
      </c>
      <c r="E2045" s="15" t="n">
        <v>0.79375</v>
      </c>
      <c r="F2045" s="7" t="n">
        <v>3000</v>
      </c>
      <c r="G2045" s="7" t="n">
        <f aca="false">D2045*F2045</f>
        <v>3000</v>
      </c>
      <c r="H2045" s="2" t="str">
        <f aca="false">INDEX(Daftar_Menu!$B$2:$B$13,MATCH(C2045,Daftar_Menu!$A$2:$A$13,0))</f>
        <v>Minuman</v>
      </c>
      <c r="I2045" s="2" t="str">
        <f aca="false">CHOOSE(WEEKDAY(B2045,2),"Senin","Selasa","Rabu","Kamis","Jumat","Sabtu","Minggu")</f>
        <v>Sabtu</v>
      </c>
      <c r="J2045" s="2" t="n">
        <f aca="false">HOUR(E2045)</f>
        <v>19</v>
      </c>
      <c r="K2045" s="2" t="str">
        <f aca="false">IF(J2045&lt;11,"Pagi",IF(J2045&lt;17,"Siang","Malam"))</f>
        <v>Malam</v>
      </c>
      <c r="L2045" s="2" t="n">
        <f aca="false">IF(A2045&lt;&gt;A2044,1,0)</f>
        <v>0</v>
      </c>
    </row>
    <row r="2046" customFormat="false" ht="15" hidden="false" customHeight="false" outlineLevel="0" collapsed="false">
      <c r="A2046" s="2" t="s">
        <v>1916</v>
      </c>
      <c r="B2046" s="13" t="n">
        <v>46291</v>
      </c>
      <c r="C2046" s="2" t="s">
        <v>79</v>
      </c>
      <c r="D2046" s="2" t="n">
        <v>1</v>
      </c>
      <c r="E2046" s="15" t="n">
        <v>0.804166666666667</v>
      </c>
      <c r="F2046" s="7" t="n">
        <v>16000</v>
      </c>
      <c r="G2046" s="7" t="n">
        <f aca="false">D2046*F2046</f>
        <v>16000</v>
      </c>
      <c r="H2046" s="2" t="str">
        <f aca="false">INDEX(Daftar_Menu!$B$2:$B$13,MATCH(C2046,Daftar_Menu!$A$2:$A$13,0))</f>
        <v>Makanan</v>
      </c>
      <c r="I2046" s="2" t="str">
        <f aca="false">CHOOSE(WEEKDAY(B2046,2),"Senin","Selasa","Rabu","Kamis","Jumat","Sabtu","Minggu")</f>
        <v>Sabtu</v>
      </c>
      <c r="J2046" s="2" t="n">
        <f aca="false">HOUR(E2046)</f>
        <v>19</v>
      </c>
      <c r="K2046" s="2" t="str">
        <f aca="false">IF(J2046&lt;11,"Pagi",IF(J2046&lt;17,"Siang","Malam"))</f>
        <v>Malam</v>
      </c>
      <c r="L2046" s="2" t="n">
        <f aca="false">IF(A2046&lt;&gt;A2045,1,0)</f>
        <v>1</v>
      </c>
    </row>
    <row r="2047" customFormat="false" ht="15" hidden="false" customHeight="false" outlineLevel="0" collapsed="false">
      <c r="A2047" s="2" t="s">
        <v>1916</v>
      </c>
      <c r="B2047" s="13" t="n">
        <v>46291</v>
      </c>
      <c r="C2047" s="2" t="s">
        <v>89</v>
      </c>
      <c r="D2047" s="2" t="n">
        <v>2</v>
      </c>
      <c r="E2047" s="15" t="n">
        <v>0.804166666666667</v>
      </c>
      <c r="F2047" s="7" t="n">
        <v>14000</v>
      </c>
      <c r="G2047" s="7" t="n">
        <f aca="false">D2047*F2047</f>
        <v>28000</v>
      </c>
      <c r="H2047" s="2" t="str">
        <f aca="false">INDEX(Daftar_Menu!$B$2:$B$13,MATCH(C2047,Daftar_Menu!$A$2:$A$13,0))</f>
        <v>Makanan</v>
      </c>
      <c r="I2047" s="2" t="str">
        <f aca="false">CHOOSE(WEEKDAY(B2047,2),"Senin","Selasa","Rabu","Kamis","Jumat","Sabtu","Minggu")</f>
        <v>Sabtu</v>
      </c>
      <c r="J2047" s="2" t="n">
        <f aca="false">HOUR(E2047)</f>
        <v>19</v>
      </c>
      <c r="K2047" s="2" t="str">
        <f aca="false">IF(J2047&lt;11,"Pagi",IF(J2047&lt;17,"Siang","Malam"))</f>
        <v>Malam</v>
      </c>
      <c r="L2047" s="2" t="n">
        <f aca="false">IF(A2047&lt;&gt;A2046,1,0)</f>
        <v>0</v>
      </c>
    </row>
    <row r="2048" customFormat="false" ht="15" hidden="false" customHeight="false" outlineLevel="0" collapsed="false">
      <c r="A2048" s="2" t="s">
        <v>1918</v>
      </c>
      <c r="B2048" s="13" t="n">
        <v>46291</v>
      </c>
      <c r="C2048" s="2" t="s">
        <v>81</v>
      </c>
      <c r="D2048" s="2" t="n">
        <v>1</v>
      </c>
      <c r="E2048" s="15" t="n">
        <v>0.806944444444445</v>
      </c>
      <c r="F2048" s="7" t="n">
        <v>15000</v>
      </c>
      <c r="G2048" s="7" t="n">
        <f aca="false">D2048*F2048</f>
        <v>15000</v>
      </c>
      <c r="H2048" s="2" t="str">
        <f aca="false">INDEX(Daftar_Menu!$B$2:$B$13,MATCH(C2048,Daftar_Menu!$A$2:$A$13,0))</f>
        <v>Makanan</v>
      </c>
      <c r="I2048" s="2" t="str">
        <f aca="false">CHOOSE(WEEKDAY(B2048,2),"Senin","Selasa","Rabu","Kamis","Jumat","Sabtu","Minggu")</f>
        <v>Sabtu</v>
      </c>
      <c r="J2048" s="2" t="n">
        <f aca="false">HOUR(E2048)</f>
        <v>19</v>
      </c>
      <c r="K2048" s="2" t="str">
        <f aca="false">IF(J2048&lt;11,"Pagi",IF(J2048&lt;17,"Siang","Malam"))</f>
        <v>Malam</v>
      </c>
      <c r="L2048" s="2" t="n">
        <f aca="false">IF(A2048&lt;&gt;A2047,1,0)</f>
        <v>1</v>
      </c>
    </row>
    <row r="2049" customFormat="false" ht="15" hidden="false" customHeight="false" outlineLevel="0" collapsed="false">
      <c r="A2049" s="2" t="s">
        <v>1918</v>
      </c>
      <c r="B2049" s="13" t="n">
        <v>46291</v>
      </c>
      <c r="C2049" s="2" t="s">
        <v>79</v>
      </c>
      <c r="D2049" s="2" t="n">
        <v>2</v>
      </c>
      <c r="E2049" s="15" t="n">
        <v>0.806944444444445</v>
      </c>
      <c r="F2049" s="7" t="n">
        <v>16000</v>
      </c>
      <c r="G2049" s="7" t="n">
        <f aca="false">D2049*F2049</f>
        <v>32000</v>
      </c>
      <c r="H2049" s="2" t="str">
        <f aca="false">INDEX(Daftar_Menu!$B$2:$B$13,MATCH(C2049,Daftar_Menu!$A$2:$A$13,0))</f>
        <v>Makanan</v>
      </c>
      <c r="I2049" s="2" t="str">
        <f aca="false">CHOOSE(WEEKDAY(B2049,2),"Senin","Selasa","Rabu","Kamis","Jumat","Sabtu","Minggu")</f>
        <v>Sabtu</v>
      </c>
      <c r="J2049" s="2" t="n">
        <f aca="false">HOUR(E2049)</f>
        <v>19</v>
      </c>
      <c r="K2049" s="2" t="str">
        <f aca="false">IF(J2049&lt;11,"Pagi",IF(J2049&lt;17,"Siang","Malam"))</f>
        <v>Malam</v>
      </c>
      <c r="L2049" s="2" t="n">
        <f aca="false">IF(A2049&lt;&gt;A2048,1,0)</f>
        <v>0</v>
      </c>
    </row>
    <row r="2050" customFormat="false" ht="15" hidden="false" customHeight="false" outlineLevel="0" collapsed="false">
      <c r="A2050" s="2" t="s">
        <v>1919</v>
      </c>
      <c r="B2050" s="13" t="n">
        <v>46291</v>
      </c>
      <c r="C2050" s="2" t="s">
        <v>84</v>
      </c>
      <c r="D2050" s="2" t="n">
        <v>1</v>
      </c>
      <c r="E2050" s="15" t="n">
        <v>0.809722222222222</v>
      </c>
      <c r="F2050" s="7" t="n">
        <v>5000</v>
      </c>
      <c r="G2050" s="7" t="n">
        <f aca="false">D2050*F2050</f>
        <v>5000</v>
      </c>
      <c r="H2050" s="2" t="str">
        <f aca="false">INDEX(Daftar_Menu!$B$2:$B$13,MATCH(C2050,Daftar_Menu!$A$2:$A$13,0))</f>
        <v>Minuman</v>
      </c>
      <c r="I2050" s="2" t="str">
        <f aca="false">CHOOSE(WEEKDAY(B2050,2),"Senin","Selasa","Rabu","Kamis","Jumat","Sabtu","Minggu")</f>
        <v>Sabtu</v>
      </c>
      <c r="J2050" s="2" t="n">
        <f aca="false">HOUR(E2050)</f>
        <v>19</v>
      </c>
      <c r="K2050" s="2" t="str">
        <f aca="false">IF(J2050&lt;11,"Pagi",IF(J2050&lt;17,"Siang","Malam"))</f>
        <v>Malam</v>
      </c>
      <c r="L2050" s="2" t="n">
        <f aca="false">IF(A2050&lt;&gt;A2049,1,0)</f>
        <v>1</v>
      </c>
    </row>
    <row r="2051" customFormat="false" ht="15" hidden="false" customHeight="false" outlineLevel="0" collapsed="false">
      <c r="A2051" s="2" t="s">
        <v>1919</v>
      </c>
      <c r="B2051" s="13" t="n">
        <v>46291</v>
      </c>
      <c r="C2051" s="2" t="s">
        <v>186</v>
      </c>
      <c r="D2051" s="2" t="n">
        <v>2</v>
      </c>
      <c r="E2051" s="15" t="n">
        <v>0.809722222222222</v>
      </c>
      <c r="F2051" s="7" t="n">
        <v>7000</v>
      </c>
      <c r="G2051" s="7" t="n">
        <f aca="false">D2051*F2051</f>
        <v>14000</v>
      </c>
      <c r="H2051" s="2" t="str">
        <f aca="false">INDEX(Daftar_Menu!$B$2:$B$13,MATCH(C2051,Daftar_Menu!$A$2:$A$13,0))</f>
        <v>Minuman</v>
      </c>
      <c r="I2051" s="2" t="str">
        <f aca="false">CHOOSE(WEEKDAY(B2051,2),"Senin","Selasa","Rabu","Kamis","Jumat","Sabtu","Minggu")</f>
        <v>Sabtu</v>
      </c>
      <c r="J2051" s="2" t="n">
        <f aca="false">HOUR(E2051)</f>
        <v>19</v>
      </c>
      <c r="K2051" s="2" t="str">
        <f aca="false">IF(J2051&lt;11,"Pagi",IF(J2051&lt;17,"Siang","Malam"))</f>
        <v>Malam</v>
      </c>
      <c r="L2051" s="2" t="n">
        <f aca="false">IF(A2051&lt;&gt;A2050,1,0)</f>
        <v>0</v>
      </c>
    </row>
    <row r="2052" customFormat="false" ht="15" hidden="false" customHeight="false" outlineLevel="0" collapsed="false">
      <c r="A2052" s="2" t="s">
        <v>1921</v>
      </c>
      <c r="B2052" s="13" t="n">
        <v>46291</v>
      </c>
      <c r="C2052" s="2" t="s">
        <v>112</v>
      </c>
      <c r="D2052" s="2" t="n">
        <v>2</v>
      </c>
      <c r="E2052" s="15" t="n">
        <v>0.81875</v>
      </c>
      <c r="F2052" s="7" t="n">
        <v>10000</v>
      </c>
      <c r="G2052" s="7" t="n">
        <f aca="false">D2052*F2052</f>
        <v>20000</v>
      </c>
      <c r="H2052" s="2" t="str">
        <f aca="false">INDEX(Daftar_Menu!$B$2:$B$13,MATCH(C2052,Daftar_Menu!$A$2:$A$13,0))</f>
        <v>Minuman</v>
      </c>
      <c r="I2052" s="2" t="str">
        <f aca="false">CHOOSE(WEEKDAY(B2052,2),"Senin","Selasa","Rabu","Kamis","Jumat","Sabtu","Minggu")</f>
        <v>Sabtu</v>
      </c>
      <c r="J2052" s="2" t="n">
        <f aca="false">HOUR(E2052)</f>
        <v>19</v>
      </c>
      <c r="K2052" s="2" t="str">
        <f aca="false">IF(J2052&lt;11,"Pagi",IF(J2052&lt;17,"Siang","Malam"))</f>
        <v>Malam</v>
      </c>
      <c r="L2052" s="2" t="n">
        <f aca="false">IF(A2052&lt;&gt;A2051,1,0)</f>
        <v>1</v>
      </c>
    </row>
    <row r="2053" customFormat="false" ht="15" hidden="false" customHeight="false" outlineLevel="0" collapsed="false">
      <c r="A2053" s="2" t="s">
        <v>1921</v>
      </c>
      <c r="B2053" s="13" t="n">
        <v>46291</v>
      </c>
      <c r="C2053" s="2" t="s">
        <v>84</v>
      </c>
      <c r="D2053" s="2" t="n">
        <v>2</v>
      </c>
      <c r="E2053" s="15" t="n">
        <v>0.81875</v>
      </c>
      <c r="F2053" s="7" t="n">
        <v>5000</v>
      </c>
      <c r="G2053" s="7" t="n">
        <f aca="false">D2053*F2053</f>
        <v>10000</v>
      </c>
      <c r="H2053" s="2" t="str">
        <f aca="false">INDEX(Daftar_Menu!$B$2:$B$13,MATCH(C2053,Daftar_Menu!$A$2:$A$13,0))</f>
        <v>Minuman</v>
      </c>
      <c r="I2053" s="2" t="str">
        <f aca="false">CHOOSE(WEEKDAY(B2053,2),"Senin","Selasa","Rabu","Kamis","Jumat","Sabtu","Minggu")</f>
        <v>Sabtu</v>
      </c>
      <c r="J2053" s="2" t="n">
        <f aca="false">HOUR(E2053)</f>
        <v>19</v>
      </c>
      <c r="K2053" s="2" t="str">
        <f aca="false">IF(J2053&lt;11,"Pagi",IF(J2053&lt;17,"Siang","Malam"))</f>
        <v>Malam</v>
      </c>
      <c r="L2053" s="2" t="n">
        <f aca="false">IF(A2053&lt;&gt;A2052,1,0)</f>
        <v>0</v>
      </c>
    </row>
    <row r="2054" customFormat="false" ht="15" hidden="false" customHeight="false" outlineLevel="0" collapsed="false">
      <c r="A2054" s="2" t="s">
        <v>1921</v>
      </c>
      <c r="B2054" s="13" t="n">
        <v>46291</v>
      </c>
      <c r="C2054" s="2" t="s">
        <v>132</v>
      </c>
      <c r="D2054" s="2" t="n">
        <v>1</v>
      </c>
      <c r="E2054" s="15" t="n">
        <v>0.81875</v>
      </c>
      <c r="F2054" s="7" t="n">
        <v>15000</v>
      </c>
      <c r="G2054" s="7" t="n">
        <f aca="false">D2054*F2054</f>
        <v>15000</v>
      </c>
      <c r="H2054" s="2" t="str">
        <f aca="false">INDEX(Daftar_Menu!$B$2:$B$13,MATCH(C2054,Daftar_Menu!$A$2:$A$13,0))</f>
        <v>Makanan</v>
      </c>
      <c r="I2054" s="2" t="str">
        <f aca="false">CHOOSE(WEEKDAY(B2054,2),"Senin","Selasa","Rabu","Kamis","Jumat","Sabtu","Minggu")</f>
        <v>Sabtu</v>
      </c>
      <c r="J2054" s="2" t="n">
        <f aca="false">HOUR(E2054)</f>
        <v>19</v>
      </c>
      <c r="K2054" s="2" t="str">
        <f aca="false">IF(J2054&lt;11,"Pagi",IF(J2054&lt;17,"Siang","Malam"))</f>
        <v>Malam</v>
      </c>
      <c r="L2054" s="2" t="n">
        <f aca="false">IF(A2054&lt;&gt;A2053,1,0)</f>
        <v>0</v>
      </c>
    </row>
    <row r="2055" customFormat="false" ht="15" hidden="false" customHeight="false" outlineLevel="0" collapsed="false">
      <c r="A2055" s="2" t="s">
        <v>1922</v>
      </c>
      <c r="B2055" s="13" t="n">
        <v>46291</v>
      </c>
      <c r="C2055" s="2" t="s">
        <v>81</v>
      </c>
      <c r="D2055" s="2" t="n">
        <v>1</v>
      </c>
      <c r="E2055" s="15" t="n">
        <v>0.822916666666667</v>
      </c>
      <c r="F2055" s="7" t="n">
        <v>15000</v>
      </c>
      <c r="G2055" s="7" t="n">
        <f aca="false">D2055*F2055</f>
        <v>15000</v>
      </c>
      <c r="H2055" s="2" t="str">
        <f aca="false">INDEX(Daftar_Menu!$B$2:$B$13,MATCH(C2055,Daftar_Menu!$A$2:$A$13,0))</f>
        <v>Makanan</v>
      </c>
      <c r="I2055" s="2" t="str">
        <f aca="false">CHOOSE(WEEKDAY(B2055,2),"Senin","Selasa","Rabu","Kamis","Jumat","Sabtu","Minggu")</f>
        <v>Sabtu</v>
      </c>
      <c r="J2055" s="2" t="n">
        <f aca="false">HOUR(E2055)</f>
        <v>19</v>
      </c>
      <c r="K2055" s="2" t="str">
        <f aca="false">IF(J2055&lt;11,"Pagi",IF(J2055&lt;17,"Siang","Malam"))</f>
        <v>Malam</v>
      </c>
      <c r="L2055" s="2" t="n">
        <f aca="false">IF(A2055&lt;&gt;A2054,1,0)</f>
        <v>1</v>
      </c>
    </row>
    <row r="2056" customFormat="false" ht="15" hidden="false" customHeight="false" outlineLevel="0" collapsed="false">
      <c r="A2056" s="2" t="s">
        <v>1922</v>
      </c>
      <c r="B2056" s="13" t="n">
        <v>46291</v>
      </c>
      <c r="C2056" s="2" t="s">
        <v>132</v>
      </c>
      <c r="D2056" s="2" t="n">
        <v>1</v>
      </c>
      <c r="E2056" s="15" t="n">
        <v>0.822916666666667</v>
      </c>
      <c r="F2056" s="7" t="n">
        <v>15000</v>
      </c>
      <c r="G2056" s="7" t="n">
        <f aca="false">D2056*F2056</f>
        <v>15000</v>
      </c>
      <c r="H2056" s="2" t="str">
        <f aca="false">INDEX(Daftar_Menu!$B$2:$B$13,MATCH(C2056,Daftar_Menu!$A$2:$A$13,0))</f>
        <v>Makanan</v>
      </c>
      <c r="I2056" s="2" t="str">
        <f aca="false">CHOOSE(WEEKDAY(B2056,2),"Senin","Selasa","Rabu","Kamis","Jumat","Sabtu","Minggu")</f>
        <v>Sabtu</v>
      </c>
      <c r="J2056" s="2" t="n">
        <f aca="false">HOUR(E2056)</f>
        <v>19</v>
      </c>
      <c r="K2056" s="2" t="str">
        <f aca="false">IF(J2056&lt;11,"Pagi",IF(J2056&lt;17,"Siang","Malam"))</f>
        <v>Malam</v>
      </c>
      <c r="L2056" s="2" t="n">
        <f aca="false">IF(A2056&lt;&gt;A2055,1,0)</f>
        <v>0</v>
      </c>
    </row>
    <row r="2057" customFormat="false" ht="15" hidden="false" customHeight="false" outlineLevel="0" collapsed="false">
      <c r="A2057" s="2" t="s">
        <v>1923</v>
      </c>
      <c r="B2057" s="13" t="n">
        <v>46291</v>
      </c>
      <c r="C2057" s="2" t="s">
        <v>132</v>
      </c>
      <c r="D2057" s="2" t="n">
        <v>1</v>
      </c>
      <c r="E2057" s="15" t="n">
        <v>0.824305555555556</v>
      </c>
      <c r="F2057" s="7" t="n">
        <v>15000</v>
      </c>
      <c r="G2057" s="7" t="n">
        <f aca="false">D2057*F2057</f>
        <v>15000</v>
      </c>
      <c r="H2057" s="2" t="str">
        <f aca="false">INDEX(Daftar_Menu!$B$2:$B$13,MATCH(C2057,Daftar_Menu!$A$2:$A$13,0))</f>
        <v>Makanan</v>
      </c>
      <c r="I2057" s="2" t="str">
        <f aca="false">CHOOSE(WEEKDAY(B2057,2),"Senin","Selasa","Rabu","Kamis","Jumat","Sabtu","Minggu")</f>
        <v>Sabtu</v>
      </c>
      <c r="J2057" s="2" t="n">
        <f aca="false">HOUR(E2057)</f>
        <v>19</v>
      </c>
      <c r="K2057" s="2" t="str">
        <f aca="false">IF(J2057&lt;11,"Pagi",IF(J2057&lt;17,"Siang","Malam"))</f>
        <v>Malam</v>
      </c>
      <c r="L2057" s="2" t="n">
        <f aca="false">IF(A2057&lt;&gt;A2056,1,0)</f>
        <v>1</v>
      </c>
    </row>
    <row r="2058" customFormat="false" ht="15" hidden="false" customHeight="false" outlineLevel="0" collapsed="false">
      <c r="A2058" s="2" t="s">
        <v>1923</v>
      </c>
      <c r="B2058" s="13" t="n">
        <v>46291</v>
      </c>
      <c r="C2058" s="2" t="s">
        <v>84</v>
      </c>
      <c r="D2058" s="2" t="n">
        <v>1</v>
      </c>
      <c r="E2058" s="15" t="n">
        <v>0.824305555555556</v>
      </c>
      <c r="F2058" s="7" t="n">
        <v>5000</v>
      </c>
      <c r="G2058" s="7" t="n">
        <f aca="false">D2058*F2058</f>
        <v>5000</v>
      </c>
      <c r="H2058" s="2" t="str">
        <f aca="false">INDEX(Daftar_Menu!$B$2:$B$13,MATCH(C2058,Daftar_Menu!$A$2:$A$13,0))</f>
        <v>Minuman</v>
      </c>
      <c r="I2058" s="2" t="str">
        <f aca="false">CHOOSE(WEEKDAY(B2058,2),"Senin","Selasa","Rabu","Kamis","Jumat","Sabtu","Minggu")</f>
        <v>Sabtu</v>
      </c>
      <c r="J2058" s="2" t="n">
        <f aca="false">HOUR(E2058)</f>
        <v>19</v>
      </c>
      <c r="K2058" s="2" t="str">
        <f aca="false">IF(J2058&lt;11,"Pagi",IF(J2058&lt;17,"Siang","Malam"))</f>
        <v>Malam</v>
      </c>
      <c r="L2058" s="2" t="n">
        <f aca="false">IF(A2058&lt;&gt;A2057,1,0)</f>
        <v>0</v>
      </c>
    </row>
    <row r="2059" customFormat="false" ht="15" hidden="false" customHeight="false" outlineLevel="0" collapsed="false">
      <c r="A2059" s="2" t="s">
        <v>1925</v>
      </c>
      <c r="B2059" s="13" t="n">
        <v>46291</v>
      </c>
      <c r="C2059" s="2" t="s">
        <v>81</v>
      </c>
      <c r="D2059" s="2" t="n">
        <v>2</v>
      </c>
      <c r="E2059" s="15" t="n">
        <v>0.839583333333333</v>
      </c>
      <c r="F2059" s="7" t="n">
        <v>15000</v>
      </c>
      <c r="G2059" s="7" t="n">
        <f aca="false">D2059*F2059</f>
        <v>30000</v>
      </c>
      <c r="H2059" s="2" t="str">
        <f aca="false">INDEX(Daftar_Menu!$B$2:$B$13,MATCH(C2059,Daftar_Menu!$A$2:$A$13,0))</f>
        <v>Makanan</v>
      </c>
      <c r="I2059" s="2" t="str">
        <f aca="false">CHOOSE(WEEKDAY(B2059,2),"Senin","Selasa","Rabu","Kamis","Jumat","Sabtu","Minggu")</f>
        <v>Sabtu</v>
      </c>
      <c r="J2059" s="2" t="n">
        <f aca="false">HOUR(E2059)</f>
        <v>20</v>
      </c>
      <c r="K2059" s="2" t="str">
        <f aca="false">IF(J2059&lt;11,"Pagi",IF(J2059&lt;17,"Siang","Malam"))</f>
        <v>Malam</v>
      </c>
      <c r="L2059" s="2" t="n">
        <f aca="false">IF(A2059&lt;&gt;A2058,1,0)</f>
        <v>1</v>
      </c>
    </row>
    <row r="2060" customFormat="false" ht="15" hidden="false" customHeight="false" outlineLevel="0" collapsed="false">
      <c r="A2060" s="2" t="s">
        <v>1926</v>
      </c>
      <c r="B2060" s="13" t="n">
        <v>46291</v>
      </c>
      <c r="C2060" s="2" t="s">
        <v>132</v>
      </c>
      <c r="D2060" s="2" t="n">
        <v>3</v>
      </c>
      <c r="E2060" s="15" t="n">
        <v>0.846527777777778</v>
      </c>
      <c r="F2060" s="7" t="n">
        <v>15000</v>
      </c>
      <c r="G2060" s="7" t="n">
        <f aca="false">D2060*F2060</f>
        <v>45000</v>
      </c>
      <c r="H2060" s="2" t="str">
        <f aca="false">INDEX(Daftar_Menu!$B$2:$B$13,MATCH(C2060,Daftar_Menu!$A$2:$A$13,0))</f>
        <v>Makanan</v>
      </c>
      <c r="I2060" s="2" t="str">
        <f aca="false">CHOOSE(WEEKDAY(B2060,2),"Senin","Selasa","Rabu","Kamis","Jumat","Sabtu","Minggu")</f>
        <v>Sabtu</v>
      </c>
      <c r="J2060" s="2" t="n">
        <f aca="false">HOUR(E2060)</f>
        <v>20</v>
      </c>
      <c r="K2060" s="2" t="str">
        <f aca="false">IF(J2060&lt;11,"Pagi",IF(J2060&lt;17,"Siang","Malam"))</f>
        <v>Malam</v>
      </c>
      <c r="L2060" s="2" t="n">
        <f aca="false">IF(A2060&lt;&gt;A2059,1,0)</f>
        <v>1</v>
      </c>
    </row>
    <row r="2061" customFormat="false" ht="15" hidden="false" customHeight="false" outlineLevel="0" collapsed="false">
      <c r="A2061" s="2" t="s">
        <v>1927</v>
      </c>
      <c r="B2061" s="13" t="n">
        <v>46291</v>
      </c>
      <c r="C2061" s="2" t="s">
        <v>79</v>
      </c>
      <c r="D2061" s="2" t="n">
        <v>1</v>
      </c>
      <c r="E2061" s="15" t="n">
        <v>0.851388888888889</v>
      </c>
      <c r="F2061" s="7" t="n">
        <v>16000</v>
      </c>
      <c r="G2061" s="7" t="n">
        <f aca="false">D2061*F2061</f>
        <v>16000</v>
      </c>
      <c r="H2061" s="2" t="str">
        <f aca="false">INDEX(Daftar_Menu!$B$2:$B$13,MATCH(C2061,Daftar_Menu!$A$2:$A$13,0))</f>
        <v>Makanan</v>
      </c>
      <c r="I2061" s="2" t="str">
        <f aca="false">CHOOSE(WEEKDAY(B2061,2),"Senin","Selasa","Rabu","Kamis","Jumat","Sabtu","Minggu")</f>
        <v>Sabtu</v>
      </c>
      <c r="J2061" s="2" t="n">
        <f aca="false">HOUR(E2061)</f>
        <v>20</v>
      </c>
      <c r="K2061" s="2" t="str">
        <f aca="false">IF(J2061&lt;11,"Pagi",IF(J2061&lt;17,"Siang","Malam"))</f>
        <v>Malam</v>
      </c>
      <c r="L2061" s="2" t="n">
        <f aca="false">IF(A2061&lt;&gt;A2060,1,0)</f>
        <v>1</v>
      </c>
    </row>
    <row r="2062" customFormat="false" ht="15" hidden="false" customHeight="false" outlineLevel="0" collapsed="false">
      <c r="A2062" s="2" t="s">
        <v>1928</v>
      </c>
      <c r="B2062" s="13" t="n">
        <v>46291</v>
      </c>
      <c r="C2062" s="2" t="s">
        <v>84</v>
      </c>
      <c r="D2062" s="2" t="n">
        <v>1</v>
      </c>
      <c r="E2062" s="15" t="n">
        <v>0.852083333333333</v>
      </c>
      <c r="F2062" s="7" t="n">
        <v>5000</v>
      </c>
      <c r="G2062" s="7" t="n">
        <f aca="false">D2062*F2062</f>
        <v>5000</v>
      </c>
      <c r="H2062" s="2" t="str">
        <f aca="false">INDEX(Daftar_Menu!$B$2:$B$13,MATCH(C2062,Daftar_Menu!$A$2:$A$13,0))</f>
        <v>Minuman</v>
      </c>
      <c r="I2062" s="2" t="str">
        <f aca="false">CHOOSE(WEEKDAY(B2062,2),"Senin","Selasa","Rabu","Kamis","Jumat","Sabtu","Minggu")</f>
        <v>Sabtu</v>
      </c>
      <c r="J2062" s="2" t="n">
        <f aca="false">HOUR(E2062)</f>
        <v>20</v>
      </c>
      <c r="K2062" s="2" t="str">
        <f aca="false">IF(J2062&lt;11,"Pagi",IF(J2062&lt;17,"Siang","Malam"))</f>
        <v>Malam</v>
      </c>
      <c r="L2062" s="2" t="n">
        <f aca="false">IF(A2062&lt;&gt;A2061,1,0)</f>
        <v>1</v>
      </c>
    </row>
    <row r="2063" customFormat="false" ht="15" hidden="false" customHeight="false" outlineLevel="0" collapsed="false">
      <c r="A2063" s="2" t="s">
        <v>1928</v>
      </c>
      <c r="B2063" s="13" t="n">
        <v>46291</v>
      </c>
      <c r="C2063" s="2" t="s">
        <v>81</v>
      </c>
      <c r="D2063" s="2" t="n">
        <v>2</v>
      </c>
      <c r="E2063" s="15" t="n">
        <v>0.852083333333333</v>
      </c>
      <c r="F2063" s="7" t="n">
        <v>15000</v>
      </c>
      <c r="G2063" s="7" t="n">
        <f aca="false">D2063*F2063</f>
        <v>30000</v>
      </c>
      <c r="H2063" s="2" t="str">
        <f aca="false">INDEX(Daftar_Menu!$B$2:$B$13,MATCH(C2063,Daftar_Menu!$A$2:$A$13,0))</f>
        <v>Makanan</v>
      </c>
      <c r="I2063" s="2" t="str">
        <f aca="false">CHOOSE(WEEKDAY(B2063,2),"Senin","Selasa","Rabu","Kamis","Jumat","Sabtu","Minggu")</f>
        <v>Sabtu</v>
      </c>
      <c r="J2063" s="2" t="n">
        <f aca="false">HOUR(E2063)</f>
        <v>20</v>
      </c>
      <c r="K2063" s="2" t="str">
        <f aca="false">IF(J2063&lt;11,"Pagi",IF(J2063&lt;17,"Siang","Malam"))</f>
        <v>Malam</v>
      </c>
      <c r="L2063" s="2" t="n">
        <f aca="false">IF(A2063&lt;&gt;A2062,1,0)</f>
        <v>0</v>
      </c>
    </row>
    <row r="2064" customFormat="false" ht="15" hidden="false" customHeight="false" outlineLevel="0" collapsed="false">
      <c r="A2064" s="2" t="s">
        <v>1928</v>
      </c>
      <c r="B2064" s="13" t="n">
        <v>46291</v>
      </c>
      <c r="C2064" s="2" t="s">
        <v>79</v>
      </c>
      <c r="D2064" s="2" t="n">
        <v>1</v>
      </c>
      <c r="E2064" s="15" t="n">
        <v>0.852083333333333</v>
      </c>
      <c r="F2064" s="7" t="n">
        <v>16000</v>
      </c>
      <c r="G2064" s="7" t="n">
        <f aca="false">D2064*F2064</f>
        <v>16000</v>
      </c>
      <c r="H2064" s="2" t="str">
        <f aca="false">INDEX(Daftar_Menu!$B$2:$B$13,MATCH(C2064,Daftar_Menu!$A$2:$A$13,0))</f>
        <v>Makanan</v>
      </c>
      <c r="I2064" s="2" t="str">
        <f aca="false">CHOOSE(WEEKDAY(B2064,2),"Senin","Selasa","Rabu","Kamis","Jumat","Sabtu","Minggu")</f>
        <v>Sabtu</v>
      </c>
      <c r="J2064" s="2" t="n">
        <f aca="false">HOUR(E2064)</f>
        <v>20</v>
      </c>
      <c r="K2064" s="2" t="str">
        <f aca="false">IF(J2064&lt;11,"Pagi",IF(J2064&lt;17,"Siang","Malam"))</f>
        <v>Malam</v>
      </c>
      <c r="L2064" s="2" t="n">
        <f aca="false">IF(A2064&lt;&gt;A2063,1,0)</f>
        <v>0</v>
      </c>
    </row>
    <row r="2065" customFormat="false" ht="15" hidden="false" customHeight="false" outlineLevel="0" collapsed="false">
      <c r="A2065" s="2" t="s">
        <v>1929</v>
      </c>
      <c r="B2065" s="13" t="n">
        <v>46291</v>
      </c>
      <c r="C2065" s="2" t="s">
        <v>92</v>
      </c>
      <c r="D2065" s="2" t="n">
        <v>1</v>
      </c>
      <c r="E2065" s="15" t="n">
        <v>0.870138888888889</v>
      </c>
      <c r="F2065" s="7" t="n">
        <v>4000</v>
      </c>
      <c r="G2065" s="7" t="n">
        <f aca="false">D2065*F2065</f>
        <v>4000</v>
      </c>
      <c r="H2065" s="2" t="str">
        <f aca="false">INDEX(Daftar_Menu!$B$2:$B$13,MATCH(C2065,Daftar_Menu!$A$2:$A$13,0))</f>
        <v>Minuman</v>
      </c>
      <c r="I2065" s="2" t="str">
        <f aca="false">CHOOSE(WEEKDAY(B2065,2),"Senin","Selasa","Rabu","Kamis","Jumat","Sabtu","Minggu")</f>
        <v>Sabtu</v>
      </c>
      <c r="J2065" s="2" t="n">
        <f aca="false">HOUR(E2065)</f>
        <v>20</v>
      </c>
      <c r="K2065" s="2" t="str">
        <f aca="false">IF(J2065&lt;11,"Pagi",IF(J2065&lt;17,"Siang","Malam"))</f>
        <v>Malam</v>
      </c>
      <c r="L2065" s="2" t="n">
        <f aca="false">IF(A2065&lt;&gt;A2064,1,0)</f>
        <v>1</v>
      </c>
    </row>
    <row r="2066" customFormat="false" ht="15" hidden="false" customHeight="false" outlineLevel="0" collapsed="false">
      <c r="A2066" s="2" t="s">
        <v>1929</v>
      </c>
      <c r="B2066" s="13" t="n">
        <v>46291</v>
      </c>
      <c r="C2066" s="2" t="s">
        <v>89</v>
      </c>
      <c r="D2066" s="2" t="n">
        <v>2</v>
      </c>
      <c r="E2066" s="15" t="n">
        <v>0.870138888888889</v>
      </c>
      <c r="F2066" s="7" t="n">
        <v>14000</v>
      </c>
      <c r="G2066" s="7" t="n">
        <f aca="false">D2066*F2066</f>
        <v>28000</v>
      </c>
      <c r="H2066" s="2" t="str">
        <f aca="false">INDEX(Daftar_Menu!$B$2:$B$13,MATCH(C2066,Daftar_Menu!$A$2:$A$13,0))</f>
        <v>Makanan</v>
      </c>
      <c r="I2066" s="2" t="str">
        <f aca="false">CHOOSE(WEEKDAY(B2066,2),"Senin","Selasa","Rabu","Kamis","Jumat","Sabtu","Minggu")</f>
        <v>Sabtu</v>
      </c>
      <c r="J2066" s="2" t="n">
        <f aca="false">HOUR(E2066)</f>
        <v>20</v>
      </c>
      <c r="K2066" s="2" t="str">
        <f aca="false">IF(J2066&lt;11,"Pagi",IF(J2066&lt;17,"Siang","Malam"))</f>
        <v>Malam</v>
      </c>
      <c r="L2066" s="2" t="n">
        <f aca="false">IF(A2066&lt;&gt;A2065,1,0)</f>
        <v>0</v>
      </c>
    </row>
    <row r="2067" customFormat="false" ht="15" hidden="false" customHeight="false" outlineLevel="0" collapsed="false">
      <c r="A2067" s="2" t="s">
        <v>1931</v>
      </c>
      <c r="B2067" s="13" t="n">
        <v>46292</v>
      </c>
      <c r="C2067" s="2" t="s">
        <v>84</v>
      </c>
      <c r="D2067" s="2" t="n">
        <v>1</v>
      </c>
      <c r="E2067" s="15" t="n">
        <v>0.359027777777778</v>
      </c>
      <c r="F2067" s="7" t="n">
        <v>5000</v>
      </c>
      <c r="G2067" s="7" t="n">
        <f aca="false">D2067*F2067</f>
        <v>5000</v>
      </c>
      <c r="H2067" s="2" t="str">
        <f aca="false">INDEX(Daftar_Menu!$B$2:$B$13,MATCH(C2067,Daftar_Menu!$A$2:$A$13,0))</f>
        <v>Minuman</v>
      </c>
      <c r="I2067" s="2" t="str">
        <f aca="false">CHOOSE(WEEKDAY(B2067,2),"Senin","Selasa","Rabu","Kamis","Jumat","Sabtu","Minggu")</f>
        <v>Minggu</v>
      </c>
      <c r="J2067" s="2" t="n">
        <f aca="false">HOUR(E2067)</f>
        <v>8</v>
      </c>
      <c r="K2067" s="2" t="str">
        <f aca="false">IF(J2067&lt;11,"Pagi",IF(J2067&lt;17,"Siang","Malam"))</f>
        <v>Pagi</v>
      </c>
      <c r="L2067" s="2" t="n">
        <f aca="false">IF(A2067&lt;&gt;A2066,1,0)</f>
        <v>1</v>
      </c>
    </row>
    <row r="2068" customFormat="false" ht="15" hidden="false" customHeight="false" outlineLevel="0" collapsed="false">
      <c r="A2068" s="2" t="s">
        <v>1931</v>
      </c>
      <c r="B2068" s="13" t="n">
        <v>46292</v>
      </c>
      <c r="C2068" s="2" t="s">
        <v>101</v>
      </c>
      <c r="D2068" s="2" t="n">
        <v>3</v>
      </c>
      <c r="E2068" s="15" t="n">
        <v>0.359027777777778</v>
      </c>
      <c r="F2068" s="7" t="n">
        <v>18000</v>
      </c>
      <c r="G2068" s="7" t="n">
        <f aca="false">D2068*F2068</f>
        <v>54000</v>
      </c>
      <c r="H2068" s="2" t="str">
        <f aca="false">INDEX(Daftar_Menu!$B$2:$B$13,MATCH(C2068,Daftar_Menu!$A$2:$A$13,0))</f>
        <v>Makanan</v>
      </c>
      <c r="I2068" s="2" t="str">
        <f aca="false">CHOOSE(WEEKDAY(B2068,2),"Senin","Selasa","Rabu","Kamis","Jumat","Sabtu","Minggu")</f>
        <v>Minggu</v>
      </c>
      <c r="J2068" s="2" t="n">
        <f aca="false">HOUR(E2068)</f>
        <v>8</v>
      </c>
      <c r="K2068" s="2" t="str">
        <f aca="false">IF(J2068&lt;11,"Pagi",IF(J2068&lt;17,"Siang","Malam"))</f>
        <v>Pagi</v>
      </c>
      <c r="L2068" s="2" t="n">
        <f aca="false">IF(A2068&lt;&gt;A2067,1,0)</f>
        <v>0</v>
      </c>
    </row>
    <row r="2069" customFormat="false" ht="15" hidden="false" customHeight="false" outlineLevel="0" collapsed="false">
      <c r="A2069" s="2" t="s">
        <v>1932</v>
      </c>
      <c r="B2069" s="13" t="n">
        <v>46292</v>
      </c>
      <c r="C2069" s="2" t="s">
        <v>84</v>
      </c>
      <c r="D2069" s="2" t="n">
        <v>1</v>
      </c>
      <c r="E2069" s="15" t="n">
        <v>0.365972222222222</v>
      </c>
      <c r="F2069" s="7" t="n">
        <v>5000</v>
      </c>
      <c r="G2069" s="7" t="n">
        <f aca="false">D2069*F2069</f>
        <v>5000</v>
      </c>
      <c r="H2069" s="2" t="str">
        <f aca="false">INDEX(Daftar_Menu!$B$2:$B$13,MATCH(C2069,Daftar_Menu!$A$2:$A$13,0))</f>
        <v>Minuman</v>
      </c>
      <c r="I2069" s="2" t="str">
        <f aca="false">CHOOSE(WEEKDAY(B2069,2),"Senin","Selasa","Rabu","Kamis","Jumat","Sabtu","Minggu")</f>
        <v>Minggu</v>
      </c>
      <c r="J2069" s="2" t="n">
        <f aca="false">HOUR(E2069)</f>
        <v>8</v>
      </c>
      <c r="K2069" s="2" t="str">
        <f aca="false">IF(J2069&lt;11,"Pagi",IF(J2069&lt;17,"Siang","Malam"))</f>
        <v>Pagi</v>
      </c>
      <c r="L2069" s="2" t="n">
        <f aca="false">IF(A2069&lt;&gt;A2068,1,0)</f>
        <v>1</v>
      </c>
    </row>
    <row r="2070" customFormat="false" ht="15" hidden="false" customHeight="false" outlineLevel="0" collapsed="false">
      <c r="A2070" s="2" t="s">
        <v>1932</v>
      </c>
      <c r="B2070" s="13" t="n">
        <v>46292</v>
      </c>
      <c r="C2070" s="2" t="s">
        <v>79</v>
      </c>
      <c r="D2070" s="2" t="n">
        <v>2</v>
      </c>
      <c r="E2070" s="15" t="n">
        <v>0.365972222222222</v>
      </c>
      <c r="F2070" s="7" t="n">
        <v>16000</v>
      </c>
      <c r="G2070" s="7" t="n">
        <f aca="false">D2070*F2070</f>
        <v>32000</v>
      </c>
      <c r="H2070" s="2" t="str">
        <f aca="false">INDEX(Daftar_Menu!$B$2:$B$13,MATCH(C2070,Daftar_Menu!$A$2:$A$13,0))</f>
        <v>Makanan</v>
      </c>
      <c r="I2070" s="2" t="str">
        <f aca="false">CHOOSE(WEEKDAY(B2070,2),"Senin","Selasa","Rabu","Kamis","Jumat","Sabtu","Minggu")</f>
        <v>Minggu</v>
      </c>
      <c r="J2070" s="2" t="n">
        <f aca="false">HOUR(E2070)</f>
        <v>8</v>
      </c>
      <c r="K2070" s="2" t="str">
        <f aca="false">IF(J2070&lt;11,"Pagi",IF(J2070&lt;17,"Siang","Malam"))</f>
        <v>Pagi</v>
      </c>
      <c r="L2070" s="2" t="n">
        <f aca="false">IF(A2070&lt;&gt;A2069,1,0)</f>
        <v>0</v>
      </c>
    </row>
    <row r="2071" customFormat="false" ht="15" hidden="false" customHeight="false" outlineLevel="0" collapsed="false">
      <c r="A2071" s="2" t="s">
        <v>1934</v>
      </c>
      <c r="B2071" s="13" t="n">
        <v>46292</v>
      </c>
      <c r="C2071" s="2" t="s">
        <v>81</v>
      </c>
      <c r="D2071" s="2" t="n">
        <v>1</v>
      </c>
      <c r="E2071" s="15" t="n">
        <v>0.428472222222222</v>
      </c>
      <c r="F2071" s="7" t="n">
        <v>15000</v>
      </c>
      <c r="G2071" s="7" t="n">
        <f aca="false">D2071*F2071</f>
        <v>15000</v>
      </c>
      <c r="H2071" s="2" t="str">
        <f aca="false">INDEX(Daftar_Menu!$B$2:$B$13,MATCH(C2071,Daftar_Menu!$A$2:$A$13,0))</f>
        <v>Makanan</v>
      </c>
      <c r="I2071" s="2" t="str">
        <f aca="false">CHOOSE(WEEKDAY(B2071,2),"Senin","Selasa","Rabu","Kamis","Jumat","Sabtu","Minggu")</f>
        <v>Minggu</v>
      </c>
      <c r="J2071" s="2" t="n">
        <f aca="false">HOUR(E2071)</f>
        <v>10</v>
      </c>
      <c r="K2071" s="2" t="str">
        <f aca="false">IF(J2071&lt;11,"Pagi",IF(J2071&lt;17,"Siang","Malam"))</f>
        <v>Pagi</v>
      </c>
      <c r="L2071" s="2" t="n">
        <f aca="false">IF(A2071&lt;&gt;A2070,1,0)</f>
        <v>1</v>
      </c>
    </row>
    <row r="2072" customFormat="false" ht="15" hidden="false" customHeight="false" outlineLevel="0" collapsed="false">
      <c r="A2072" s="2" t="s">
        <v>1934</v>
      </c>
      <c r="B2072" s="13" t="n">
        <v>46292</v>
      </c>
      <c r="C2072" s="2" t="s">
        <v>132</v>
      </c>
      <c r="D2072" s="2" t="n">
        <v>1</v>
      </c>
      <c r="E2072" s="15" t="n">
        <v>0.428472222222222</v>
      </c>
      <c r="F2072" s="7" t="n">
        <v>15000</v>
      </c>
      <c r="G2072" s="7" t="n">
        <f aca="false">D2072*F2072</f>
        <v>15000</v>
      </c>
      <c r="H2072" s="2" t="str">
        <f aca="false">INDEX(Daftar_Menu!$B$2:$B$13,MATCH(C2072,Daftar_Menu!$A$2:$A$13,0))</f>
        <v>Makanan</v>
      </c>
      <c r="I2072" s="2" t="str">
        <f aca="false">CHOOSE(WEEKDAY(B2072,2),"Senin","Selasa","Rabu","Kamis","Jumat","Sabtu","Minggu")</f>
        <v>Minggu</v>
      </c>
      <c r="J2072" s="2" t="n">
        <f aca="false">HOUR(E2072)</f>
        <v>10</v>
      </c>
      <c r="K2072" s="2" t="str">
        <f aca="false">IF(J2072&lt;11,"Pagi",IF(J2072&lt;17,"Siang","Malam"))</f>
        <v>Pagi</v>
      </c>
      <c r="L2072" s="2" t="n">
        <f aca="false">IF(A2072&lt;&gt;A2071,1,0)</f>
        <v>0</v>
      </c>
    </row>
    <row r="2073" customFormat="false" ht="15" hidden="false" customHeight="false" outlineLevel="0" collapsed="false">
      <c r="A2073" s="2" t="s">
        <v>1934</v>
      </c>
      <c r="B2073" s="13" t="n">
        <v>46292</v>
      </c>
      <c r="C2073" s="2" t="s">
        <v>92</v>
      </c>
      <c r="D2073" s="2" t="n">
        <v>1</v>
      </c>
      <c r="E2073" s="15" t="n">
        <v>0.428472222222222</v>
      </c>
      <c r="F2073" s="7" t="n">
        <v>4000</v>
      </c>
      <c r="G2073" s="7" t="n">
        <f aca="false">D2073*F2073</f>
        <v>4000</v>
      </c>
      <c r="H2073" s="2" t="str">
        <f aca="false">INDEX(Daftar_Menu!$B$2:$B$13,MATCH(C2073,Daftar_Menu!$A$2:$A$13,0))</f>
        <v>Minuman</v>
      </c>
      <c r="I2073" s="2" t="str">
        <f aca="false">CHOOSE(WEEKDAY(B2073,2),"Senin","Selasa","Rabu","Kamis","Jumat","Sabtu","Minggu")</f>
        <v>Minggu</v>
      </c>
      <c r="J2073" s="2" t="n">
        <f aca="false">HOUR(E2073)</f>
        <v>10</v>
      </c>
      <c r="K2073" s="2" t="str">
        <f aca="false">IF(J2073&lt;11,"Pagi",IF(J2073&lt;17,"Siang","Malam"))</f>
        <v>Pagi</v>
      </c>
      <c r="L2073" s="2" t="n">
        <f aca="false">IF(A2073&lt;&gt;A2072,1,0)</f>
        <v>0</v>
      </c>
    </row>
    <row r="2074" customFormat="false" ht="15" hidden="false" customHeight="false" outlineLevel="0" collapsed="false">
      <c r="A2074" s="2" t="s">
        <v>1936</v>
      </c>
      <c r="B2074" s="13" t="n">
        <v>46292</v>
      </c>
      <c r="C2074" s="2" t="s">
        <v>112</v>
      </c>
      <c r="D2074" s="2" t="n">
        <v>1</v>
      </c>
      <c r="E2074" s="15" t="n">
        <v>0.432638888888889</v>
      </c>
      <c r="F2074" s="7" t="n">
        <v>10000</v>
      </c>
      <c r="G2074" s="7" t="n">
        <f aca="false">D2074*F2074</f>
        <v>10000</v>
      </c>
      <c r="H2074" s="2" t="str">
        <f aca="false">INDEX(Daftar_Menu!$B$2:$B$13,MATCH(C2074,Daftar_Menu!$A$2:$A$13,0))</f>
        <v>Minuman</v>
      </c>
      <c r="I2074" s="2" t="str">
        <f aca="false">CHOOSE(WEEKDAY(B2074,2),"Senin","Selasa","Rabu","Kamis","Jumat","Sabtu","Minggu")</f>
        <v>Minggu</v>
      </c>
      <c r="J2074" s="2" t="n">
        <f aca="false">HOUR(E2074)</f>
        <v>10</v>
      </c>
      <c r="K2074" s="2" t="str">
        <f aca="false">IF(J2074&lt;11,"Pagi",IF(J2074&lt;17,"Siang","Malam"))</f>
        <v>Pagi</v>
      </c>
      <c r="L2074" s="2" t="n">
        <f aca="false">IF(A2074&lt;&gt;A2073,1,0)</f>
        <v>1</v>
      </c>
    </row>
    <row r="2075" customFormat="false" ht="15" hidden="false" customHeight="false" outlineLevel="0" collapsed="false">
      <c r="A2075" s="2" t="s">
        <v>1936</v>
      </c>
      <c r="B2075" s="13" t="n">
        <v>46292</v>
      </c>
      <c r="C2075" s="2" t="s">
        <v>132</v>
      </c>
      <c r="D2075" s="2" t="n">
        <v>3</v>
      </c>
      <c r="E2075" s="15" t="n">
        <v>0.432638888888889</v>
      </c>
      <c r="F2075" s="7" t="n">
        <v>15000</v>
      </c>
      <c r="G2075" s="7" t="n">
        <f aca="false">D2075*F2075</f>
        <v>45000</v>
      </c>
      <c r="H2075" s="2" t="str">
        <f aca="false">INDEX(Daftar_Menu!$B$2:$B$13,MATCH(C2075,Daftar_Menu!$A$2:$A$13,0))</f>
        <v>Makanan</v>
      </c>
      <c r="I2075" s="2" t="str">
        <f aca="false">CHOOSE(WEEKDAY(B2075,2),"Senin","Selasa","Rabu","Kamis","Jumat","Sabtu","Minggu")</f>
        <v>Minggu</v>
      </c>
      <c r="J2075" s="2" t="n">
        <f aca="false">HOUR(E2075)</f>
        <v>10</v>
      </c>
      <c r="K2075" s="2" t="str">
        <f aca="false">IF(J2075&lt;11,"Pagi",IF(J2075&lt;17,"Siang","Malam"))</f>
        <v>Pagi</v>
      </c>
      <c r="L2075" s="2" t="n">
        <f aca="false">IF(A2075&lt;&gt;A2074,1,0)</f>
        <v>0</v>
      </c>
    </row>
    <row r="2076" customFormat="false" ht="15" hidden="false" customHeight="false" outlineLevel="0" collapsed="false">
      <c r="A2076" s="2" t="s">
        <v>1937</v>
      </c>
      <c r="B2076" s="13" t="n">
        <v>46292</v>
      </c>
      <c r="C2076" s="2" t="s">
        <v>81</v>
      </c>
      <c r="D2076" s="2" t="n">
        <v>2</v>
      </c>
      <c r="E2076" s="15" t="n">
        <v>0.460416666666667</v>
      </c>
      <c r="F2076" s="7" t="n">
        <v>15000</v>
      </c>
      <c r="G2076" s="7" t="n">
        <f aca="false">D2076*F2076</f>
        <v>30000</v>
      </c>
      <c r="H2076" s="2" t="str">
        <f aca="false">INDEX(Daftar_Menu!$B$2:$B$13,MATCH(C2076,Daftar_Menu!$A$2:$A$13,0))</f>
        <v>Makanan</v>
      </c>
      <c r="I2076" s="2" t="str">
        <f aca="false">CHOOSE(WEEKDAY(B2076,2),"Senin","Selasa","Rabu","Kamis","Jumat","Sabtu","Minggu")</f>
        <v>Minggu</v>
      </c>
      <c r="J2076" s="2" t="n">
        <f aca="false">HOUR(E2076)</f>
        <v>11</v>
      </c>
      <c r="K2076" s="2" t="str">
        <f aca="false">IF(J2076&lt;11,"Pagi",IF(J2076&lt;17,"Siang","Malam"))</f>
        <v>Siang</v>
      </c>
      <c r="L2076" s="2" t="n">
        <f aca="false">IF(A2076&lt;&gt;A2075,1,0)</f>
        <v>1</v>
      </c>
    </row>
    <row r="2077" customFormat="false" ht="15" hidden="false" customHeight="false" outlineLevel="0" collapsed="false">
      <c r="A2077" s="2" t="s">
        <v>1938</v>
      </c>
      <c r="B2077" s="13" t="n">
        <v>46292</v>
      </c>
      <c r="C2077" s="2" t="s">
        <v>132</v>
      </c>
      <c r="D2077" s="2" t="n">
        <v>1</v>
      </c>
      <c r="E2077" s="15" t="n">
        <v>0.497222222222222</v>
      </c>
      <c r="F2077" s="7" t="n">
        <v>15000</v>
      </c>
      <c r="G2077" s="7" t="n">
        <f aca="false">D2077*F2077</f>
        <v>15000</v>
      </c>
      <c r="H2077" s="2" t="str">
        <f aca="false">INDEX(Daftar_Menu!$B$2:$B$13,MATCH(C2077,Daftar_Menu!$A$2:$A$13,0))</f>
        <v>Makanan</v>
      </c>
      <c r="I2077" s="2" t="str">
        <f aca="false">CHOOSE(WEEKDAY(B2077,2),"Senin","Selasa","Rabu","Kamis","Jumat","Sabtu","Minggu")</f>
        <v>Minggu</v>
      </c>
      <c r="J2077" s="2" t="n">
        <f aca="false">HOUR(E2077)</f>
        <v>11</v>
      </c>
      <c r="K2077" s="2" t="str">
        <f aca="false">IF(J2077&lt;11,"Pagi",IF(J2077&lt;17,"Siang","Malam"))</f>
        <v>Siang</v>
      </c>
      <c r="L2077" s="2" t="n">
        <f aca="false">IF(A2077&lt;&gt;A2076,1,0)</f>
        <v>1</v>
      </c>
    </row>
    <row r="2078" customFormat="false" ht="15" hidden="false" customHeight="false" outlineLevel="0" collapsed="false">
      <c r="A2078" s="2" t="s">
        <v>1938</v>
      </c>
      <c r="B2078" s="13" t="n">
        <v>46292</v>
      </c>
      <c r="C2078" s="2" t="s">
        <v>79</v>
      </c>
      <c r="D2078" s="2" t="n">
        <v>1</v>
      </c>
      <c r="E2078" s="15" t="n">
        <v>0.497222222222222</v>
      </c>
      <c r="F2078" s="7" t="n">
        <v>16000</v>
      </c>
      <c r="G2078" s="7" t="n">
        <f aca="false">D2078*F2078</f>
        <v>16000</v>
      </c>
      <c r="H2078" s="2" t="str">
        <f aca="false">INDEX(Daftar_Menu!$B$2:$B$13,MATCH(C2078,Daftar_Menu!$A$2:$A$13,0))</f>
        <v>Makanan</v>
      </c>
      <c r="I2078" s="2" t="str">
        <f aca="false">CHOOSE(WEEKDAY(B2078,2),"Senin","Selasa","Rabu","Kamis","Jumat","Sabtu","Minggu")</f>
        <v>Minggu</v>
      </c>
      <c r="J2078" s="2" t="n">
        <f aca="false">HOUR(E2078)</f>
        <v>11</v>
      </c>
      <c r="K2078" s="2" t="str">
        <f aca="false">IF(J2078&lt;11,"Pagi",IF(J2078&lt;17,"Siang","Malam"))</f>
        <v>Siang</v>
      </c>
      <c r="L2078" s="2" t="n">
        <f aca="false">IF(A2078&lt;&gt;A2077,1,0)</f>
        <v>0</v>
      </c>
    </row>
    <row r="2079" customFormat="false" ht="15" hidden="false" customHeight="false" outlineLevel="0" collapsed="false">
      <c r="A2079" s="2" t="s">
        <v>1939</v>
      </c>
      <c r="B2079" s="13" t="n">
        <v>46292</v>
      </c>
      <c r="C2079" s="2" t="s">
        <v>84</v>
      </c>
      <c r="D2079" s="2" t="n">
        <v>1</v>
      </c>
      <c r="E2079" s="15" t="n">
        <v>0.500694444444444</v>
      </c>
      <c r="F2079" s="7" t="n">
        <v>5000</v>
      </c>
      <c r="G2079" s="7" t="n">
        <f aca="false">D2079*F2079</f>
        <v>5000</v>
      </c>
      <c r="H2079" s="2" t="str">
        <f aca="false">INDEX(Daftar_Menu!$B$2:$B$13,MATCH(C2079,Daftar_Menu!$A$2:$A$13,0))</f>
        <v>Minuman</v>
      </c>
      <c r="I2079" s="2" t="str">
        <f aca="false">CHOOSE(WEEKDAY(B2079,2),"Senin","Selasa","Rabu","Kamis","Jumat","Sabtu","Minggu")</f>
        <v>Minggu</v>
      </c>
      <c r="J2079" s="2" t="n">
        <f aca="false">HOUR(E2079)</f>
        <v>12</v>
      </c>
      <c r="K2079" s="2" t="str">
        <f aca="false">IF(J2079&lt;11,"Pagi",IF(J2079&lt;17,"Siang","Malam"))</f>
        <v>Siang</v>
      </c>
      <c r="L2079" s="2" t="n">
        <f aca="false">IF(A2079&lt;&gt;A2078,1,0)</f>
        <v>1</v>
      </c>
    </row>
    <row r="2080" customFormat="false" ht="15" hidden="false" customHeight="false" outlineLevel="0" collapsed="false">
      <c r="A2080" s="2" t="s">
        <v>1940</v>
      </c>
      <c r="B2080" s="13" t="n">
        <v>46292</v>
      </c>
      <c r="C2080" s="2" t="s">
        <v>79</v>
      </c>
      <c r="D2080" s="2" t="n">
        <v>1</v>
      </c>
      <c r="E2080" s="15" t="n">
        <v>0.506944444444444</v>
      </c>
      <c r="F2080" s="7" t="n">
        <v>16000</v>
      </c>
      <c r="G2080" s="7" t="n">
        <f aca="false">D2080*F2080</f>
        <v>16000</v>
      </c>
      <c r="H2080" s="2" t="str">
        <f aca="false">INDEX(Daftar_Menu!$B$2:$B$13,MATCH(C2080,Daftar_Menu!$A$2:$A$13,0))</f>
        <v>Makanan</v>
      </c>
      <c r="I2080" s="2" t="str">
        <f aca="false">CHOOSE(WEEKDAY(B2080,2),"Senin","Selasa","Rabu","Kamis","Jumat","Sabtu","Minggu")</f>
        <v>Minggu</v>
      </c>
      <c r="J2080" s="2" t="n">
        <f aca="false">HOUR(E2080)</f>
        <v>12</v>
      </c>
      <c r="K2080" s="2" t="str">
        <f aca="false">IF(J2080&lt;11,"Pagi",IF(J2080&lt;17,"Siang","Malam"))</f>
        <v>Siang</v>
      </c>
      <c r="L2080" s="2" t="n">
        <f aca="false">IF(A2080&lt;&gt;A2079,1,0)</f>
        <v>1</v>
      </c>
    </row>
    <row r="2081" customFormat="false" ht="15" hidden="false" customHeight="false" outlineLevel="0" collapsed="false">
      <c r="A2081" s="2" t="s">
        <v>1941</v>
      </c>
      <c r="B2081" s="13" t="n">
        <v>46292</v>
      </c>
      <c r="C2081" s="2" t="s">
        <v>81</v>
      </c>
      <c r="D2081" s="2" t="n">
        <v>2</v>
      </c>
      <c r="E2081" s="15" t="n">
        <v>0.509027777777778</v>
      </c>
      <c r="F2081" s="7" t="n">
        <v>15000</v>
      </c>
      <c r="G2081" s="7" t="n">
        <f aca="false">D2081*F2081</f>
        <v>30000</v>
      </c>
      <c r="H2081" s="2" t="str">
        <f aca="false">INDEX(Daftar_Menu!$B$2:$B$13,MATCH(C2081,Daftar_Menu!$A$2:$A$13,0))</f>
        <v>Makanan</v>
      </c>
      <c r="I2081" s="2" t="str">
        <f aca="false">CHOOSE(WEEKDAY(B2081,2),"Senin","Selasa","Rabu","Kamis","Jumat","Sabtu","Minggu")</f>
        <v>Minggu</v>
      </c>
      <c r="J2081" s="2" t="n">
        <f aca="false">HOUR(E2081)</f>
        <v>12</v>
      </c>
      <c r="K2081" s="2" t="str">
        <f aca="false">IF(J2081&lt;11,"Pagi",IF(J2081&lt;17,"Siang","Malam"))</f>
        <v>Siang</v>
      </c>
      <c r="L2081" s="2" t="n">
        <f aca="false">IF(A2081&lt;&gt;A2080,1,0)</f>
        <v>1</v>
      </c>
    </row>
    <row r="2082" customFormat="false" ht="15" hidden="false" customHeight="false" outlineLevel="0" collapsed="false">
      <c r="A2082" s="2" t="s">
        <v>1942</v>
      </c>
      <c r="B2082" s="13" t="n">
        <v>46292</v>
      </c>
      <c r="C2082" s="2" t="s">
        <v>101</v>
      </c>
      <c r="D2082" s="2" t="n">
        <v>2</v>
      </c>
      <c r="E2082" s="15" t="n">
        <v>0.520138888888889</v>
      </c>
      <c r="F2082" s="7" t="n">
        <v>18000</v>
      </c>
      <c r="G2082" s="7" t="n">
        <f aca="false">D2082*F2082</f>
        <v>36000</v>
      </c>
      <c r="H2082" s="2" t="str">
        <f aca="false">INDEX(Daftar_Menu!$B$2:$B$13,MATCH(C2082,Daftar_Menu!$A$2:$A$13,0))</f>
        <v>Makanan</v>
      </c>
      <c r="I2082" s="2" t="str">
        <f aca="false">CHOOSE(WEEKDAY(B2082,2),"Senin","Selasa","Rabu","Kamis","Jumat","Sabtu","Minggu")</f>
        <v>Minggu</v>
      </c>
      <c r="J2082" s="2" t="n">
        <f aca="false">HOUR(E2082)</f>
        <v>12</v>
      </c>
      <c r="K2082" s="2" t="str">
        <f aca="false">IF(J2082&lt;11,"Pagi",IF(J2082&lt;17,"Siang","Malam"))</f>
        <v>Siang</v>
      </c>
      <c r="L2082" s="2" t="n">
        <f aca="false">IF(A2082&lt;&gt;A2081,1,0)</f>
        <v>1</v>
      </c>
    </row>
    <row r="2083" customFormat="false" ht="15" hidden="false" customHeight="false" outlineLevel="0" collapsed="false">
      <c r="A2083" s="2" t="s">
        <v>1943</v>
      </c>
      <c r="B2083" s="13" t="n">
        <v>46292</v>
      </c>
      <c r="C2083" s="2" t="s">
        <v>101</v>
      </c>
      <c r="D2083" s="2" t="n">
        <v>1</v>
      </c>
      <c r="E2083" s="15" t="n">
        <v>0.522916666666667</v>
      </c>
      <c r="F2083" s="7" t="n">
        <v>18000</v>
      </c>
      <c r="G2083" s="7" t="n">
        <f aca="false">D2083*F2083</f>
        <v>18000</v>
      </c>
      <c r="H2083" s="2" t="str">
        <f aca="false">INDEX(Daftar_Menu!$B$2:$B$13,MATCH(C2083,Daftar_Menu!$A$2:$A$13,0))</f>
        <v>Makanan</v>
      </c>
      <c r="I2083" s="2" t="str">
        <f aca="false">CHOOSE(WEEKDAY(B2083,2),"Senin","Selasa","Rabu","Kamis","Jumat","Sabtu","Minggu")</f>
        <v>Minggu</v>
      </c>
      <c r="J2083" s="2" t="n">
        <f aca="false">HOUR(E2083)</f>
        <v>12</v>
      </c>
      <c r="K2083" s="2" t="str">
        <f aca="false">IF(J2083&lt;11,"Pagi",IF(J2083&lt;17,"Siang","Malam"))</f>
        <v>Siang</v>
      </c>
      <c r="L2083" s="2" t="n">
        <f aca="false">IF(A2083&lt;&gt;A2082,1,0)</f>
        <v>1</v>
      </c>
    </row>
    <row r="2084" customFormat="false" ht="15" hidden="false" customHeight="false" outlineLevel="0" collapsed="false">
      <c r="A2084" s="2" t="s">
        <v>1944</v>
      </c>
      <c r="B2084" s="13" t="n">
        <v>46292</v>
      </c>
      <c r="C2084" s="2" t="s">
        <v>81</v>
      </c>
      <c r="D2084" s="2" t="n">
        <v>1</v>
      </c>
      <c r="E2084" s="15" t="n">
        <v>0.525</v>
      </c>
      <c r="F2084" s="7" t="n">
        <v>15000</v>
      </c>
      <c r="G2084" s="7" t="n">
        <f aca="false">D2084*F2084</f>
        <v>15000</v>
      </c>
      <c r="H2084" s="2" t="str">
        <f aca="false">INDEX(Daftar_Menu!$B$2:$B$13,MATCH(C2084,Daftar_Menu!$A$2:$A$13,0))</f>
        <v>Makanan</v>
      </c>
      <c r="I2084" s="2" t="str">
        <f aca="false">CHOOSE(WEEKDAY(B2084,2),"Senin","Selasa","Rabu","Kamis","Jumat","Sabtu","Minggu")</f>
        <v>Minggu</v>
      </c>
      <c r="J2084" s="2" t="n">
        <f aca="false">HOUR(E2084)</f>
        <v>12</v>
      </c>
      <c r="K2084" s="2" t="str">
        <f aca="false">IF(J2084&lt;11,"Pagi",IF(J2084&lt;17,"Siang","Malam"))</f>
        <v>Siang</v>
      </c>
      <c r="L2084" s="2" t="n">
        <f aca="false">IF(A2084&lt;&gt;A2083,1,0)</f>
        <v>1</v>
      </c>
    </row>
    <row r="2085" customFormat="false" ht="15" hidden="false" customHeight="false" outlineLevel="0" collapsed="false">
      <c r="A2085" s="2" t="s">
        <v>1944</v>
      </c>
      <c r="B2085" s="13" t="n">
        <v>46292</v>
      </c>
      <c r="C2085" s="2" t="s">
        <v>186</v>
      </c>
      <c r="D2085" s="2" t="n">
        <v>1</v>
      </c>
      <c r="E2085" s="15" t="n">
        <v>0.525</v>
      </c>
      <c r="F2085" s="7" t="n">
        <v>7000</v>
      </c>
      <c r="G2085" s="7" t="n">
        <f aca="false">D2085*F2085</f>
        <v>7000</v>
      </c>
      <c r="H2085" s="2" t="str">
        <f aca="false">INDEX(Daftar_Menu!$B$2:$B$13,MATCH(C2085,Daftar_Menu!$A$2:$A$13,0))</f>
        <v>Minuman</v>
      </c>
      <c r="I2085" s="2" t="str">
        <f aca="false">CHOOSE(WEEKDAY(B2085,2),"Senin","Selasa","Rabu","Kamis","Jumat","Sabtu","Minggu")</f>
        <v>Minggu</v>
      </c>
      <c r="J2085" s="2" t="n">
        <f aca="false">HOUR(E2085)</f>
        <v>12</v>
      </c>
      <c r="K2085" s="2" t="str">
        <f aca="false">IF(J2085&lt;11,"Pagi",IF(J2085&lt;17,"Siang","Malam"))</f>
        <v>Siang</v>
      </c>
      <c r="L2085" s="2" t="n">
        <f aca="false">IF(A2085&lt;&gt;A2084,1,0)</f>
        <v>0</v>
      </c>
    </row>
    <row r="2086" customFormat="false" ht="15" hidden="false" customHeight="false" outlineLevel="0" collapsed="false">
      <c r="A2086" s="2" t="s">
        <v>1945</v>
      </c>
      <c r="B2086" s="13" t="n">
        <v>46292</v>
      </c>
      <c r="C2086" s="2" t="s">
        <v>101</v>
      </c>
      <c r="D2086" s="2" t="n">
        <v>1</v>
      </c>
      <c r="E2086" s="15" t="n">
        <v>0.540277777777778</v>
      </c>
      <c r="F2086" s="7" t="n">
        <v>18000</v>
      </c>
      <c r="G2086" s="7" t="n">
        <f aca="false">D2086*F2086</f>
        <v>18000</v>
      </c>
      <c r="H2086" s="2" t="str">
        <f aca="false">INDEX(Daftar_Menu!$B$2:$B$13,MATCH(C2086,Daftar_Menu!$A$2:$A$13,0))</f>
        <v>Makanan</v>
      </c>
      <c r="I2086" s="2" t="str">
        <f aca="false">CHOOSE(WEEKDAY(B2086,2),"Senin","Selasa","Rabu","Kamis","Jumat","Sabtu","Minggu")</f>
        <v>Minggu</v>
      </c>
      <c r="J2086" s="2" t="n">
        <f aca="false">HOUR(E2086)</f>
        <v>12</v>
      </c>
      <c r="K2086" s="2" t="str">
        <f aca="false">IF(J2086&lt;11,"Pagi",IF(J2086&lt;17,"Siang","Malam"))</f>
        <v>Siang</v>
      </c>
      <c r="L2086" s="2" t="n">
        <f aca="false">IF(A2086&lt;&gt;A2085,1,0)</f>
        <v>1</v>
      </c>
    </row>
    <row r="2087" customFormat="false" ht="15" hidden="false" customHeight="false" outlineLevel="0" collapsed="false">
      <c r="A2087" s="2" t="s">
        <v>1946</v>
      </c>
      <c r="B2087" s="13" t="n">
        <v>46292</v>
      </c>
      <c r="C2087" s="2" t="s">
        <v>112</v>
      </c>
      <c r="D2087" s="2" t="n">
        <v>1</v>
      </c>
      <c r="E2087" s="15" t="n">
        <v>0.544444444444444</v>
      </c>
      <c r="F2087" s="7" t="n">
        <v>10000</v>
      </c>
      <c r="G2087" s="7" t="n">
        <f aca="false">D2087*F2087</f>
        <v>10000</v>
      </c>
      <c r="H2087" s="2" t="str">
        <f aca="false">INDEX(Daftar_Menu!$B$2:$B$13,MATCH(C2087,Daftar_Menu!$A$2:$A$13,0))</f>
        <v>Minuman</v>
      </c>
      <c r="I2087" s="2" t="str">
        <f aca="false">CHOOSE(WEEKDAY(B2087,2),"Senin","Selasa","Rabu","Kamis","Jumat","Sabtu","Minggu")</f>
        <v>Minggu</v>
      </c>
      <c r="J2087" s="2" t="n">
        <f aca="false">HOUR(E2087)</f>
        <v>13</v>
      </c>
      <c r="K2087" s="2" t="str">
        <f aca="false">IF(J2087&lt;11,"Pagi",IF(J2087&lt;17,"Siang","Malam"))</f>
        <v>Siang</v>
      </c>
      <c r="L2087" s="2" t="n">
        <f aca="false">IF(A2087&lt;&gt;A2086,1,0)</f>
        <v>1</v>
      </c>
    </row>
    <row r="2088" customFormat="false" ht="15" hidden="false" customHeight="false" outlineLevel="0" collapsed="false">
      <c r="A2088" s="2" t="s">
        <v>1947</v>
      </c>
      <c r="B2088" s="13" t="n">
        <v>46292</v>
      </c>
      <c r="C2088" s="2" t="s">
        <v>92</v>
      </c>
      <c r="D2088" s="2" t="n">
        <v>1</v>
      </c>
      <c r="E2088" s="15" t="n">
        <v>0.546527777777778</v>
      </c>
      <c r="F2088" s="7" t="n">
        <v>4000</v>
      </c>
      <c r="G2088" s="7" t="n">
        <f aca="false">D2088*F2088</f>
        <v>4000</v>
      </c>
      <c r="H2088" s="2" t="str">
        <f aca="false">INDEX(Daftar_Menu!$B$2:$B$13,MATCH(C2088,Daftar_Menu!$A$2:$A$13,0))</f>
        <v>Minuman</v>
      </c>
      <c r="I2088" s="2" t="str">
        <f aca="false">CHOOSE(WEEKDAY(B2088,2),"Senin","Selasa","Rabu","Kamis","Jumat","Sabtu","Minggu")</f>
        <v>Minggu</v>
      </c>
      <c r="J2088" s="2" t="n">
        <f aca="false">HOUR(E2088)</f>
        <v>13</v>
      </c>
      <c r="K2088" s="2" t="str">
        <f aca="false">IF(J2088&lt;11,"Pagi",IF(J2088&lt;17,"Siang","Malam"))</f>
        <v>Siang</v>
      </c>
      <c r="L2088" s="2" t="n">
        <f aca="false">IF(A2088&lt;&gt;A2087,1,0)</f>
        <v>1</v>
      </c>
    </row>
    <row r="2089" customFormat="false" ht="15" hidden="false" customHeight="false" outlineLevel="0" collapsed="false">
      <c r="A2089" s="2" t="s">
        <v>1949</v>
      </c>
      <c r="B2089" s="13" t="n">
        <v>46292</v>
      </c>
      <c r="C2089" s="2" t="s">
        <v>101</v>
      </c>
      <c r="D2089" s="2" t="n">
        <v>1</v>
      </c>
      <c r="E2089" s="15" t="n">
        <v>0.558333333333333</v>
      </c>
      <c r="F2089" s="7" t="n">
        <v>18000</v>
      </c>
      <c r="G2089" s="7" t="n">
        <f aca="false">D2089*F2089</f>
        <v>18000</v>
      </c>
      <c r="H2089" s="2" t="str">
        <f aca="false">INDEX(Daftar_Menu!$B$2:$B$13,MATCH(C2089,Daftar_Menu!$A$2:$A$13,0))</f>
        <v>Makanan</v>
      </c>
      <c r="I2089" s="2" t="str">
        <f aca="false">CHOOSE(WEEKDAY(B2089,2),"Senin","Selasa","Rabu","Kamis","Jumat","Sabtu","Minggu")</f>
        <v>Minggu</v>
      </c>
      <c r="J2089" s="2" t="n">
        <f aca="false">HOUR(E2089)</f>
        <v>13</v>
      </c>
      <c r="K2089" s="2" t="str">
        <f aca="false">IF(J2089&lt;11,"Pagi",IF(J2089&lt;17,"Siang","Malam"))</f>
        <v>Siang</v>
      </c>
      <c r="L2089" s="2" t="n">
        <f aca="false">IF(A2089&lt;&gt;A2088,1,0)</f>
        <v>1</v>
      </c>
    </row>
    <row r="2090" customFormat="false" ht="15" hidden="false" customHeight="false" outlineLevel="0" collapsed="false">
      <c r="A2090" s="2" t="s">
        <v>1949</v>
      </c>
      <c r="B2090" s="13" t="n">
        <v>46292</v>
      </c>
      <c r="C2090" s="2" t="s">
        <v>79</v>
      </c>
      <c r="D2090" s="2" t="n">
        <v>1</v>
      </c>
      <c r="E2090" s="15" t="n">
        <v>0.558333333333333</v>
      </c>
      <c r="F2090" s="7" t="n">
        <v>16000</v>
      </c>
      <c r="G2090" s="7" t="n">
        <f aca="false">D2090*F2090</f>
        <v>16000</v>
      </c>
      <c r="H2090" s="2" t="str">
        <f aca="false">INDEX(Daftar_Menu!$B$2:$B$13,MATCH(C2090,Daftar_Menu!$A$2:$A$13,0))</f>
        <v>Makanan</v>
      </c>
      <c r="I2090" s="2" t="str">
        <f aca="false">CHOOSE(WEEKDAY(B2090,2),"Senin","Selasa","Rabu","Kamis","Jumat","Sabtu","Minggu")</f>
        <v>Minggu</v>
      </c>
      <c r="J2090" s="2" t="n">
        <f aca="false">HOUR(E2090)</f>
        <v>13</v>
      </c>
      <c r="K2090" s="2" t="str">
        <f aca="false">IF(J2090&lt;11,"Pagi",IF(J2090&lt;17,"Siang","Malam"))</f>
        <v>Siang</v>
      </c>
      <c r="L2090" s="2" t="n">
        <f aca="false">IF(A2090&lt;&gt;A2089,1,0)</f>
        <v>0</v>
      </c>
    </row>
    <row r="2091" customFormat="false" ht="15" hidden="false" customHeight="false" outlineLevel="0" collapsed="false">
      <c r="A2091" s="2" t="s">
        <v>1950</v>
      </c>
      <c r="B2091" s="13" t="n">
        <v>46292</v>
      </c>
      <c r="C2091" s="2" t="s">
        <v>81</v>
      </c>
      <c r="D2091" s="2" t="n">
        <v>3</v>
      </c>
      <c r="E2091" s="15" t="n">
        <v>0.558333333333333</v>
      </c>
      <c r="F2091" s="7" t="n">
        <v>15000</v>
      </c>
      <c r="G2091" s="7" t="n">
        <f aca="false">D2091*F2091</f>
        <v>45000</v>
      </c>
      <c r="H2091" s="2" t="str">
        <f aca="false">INDEX(Daftar_Menu!$B$2:$B$13,MATCH(C2091,Daftar_Menu!$A$2:$A$13,0))</f>
        <v>Makanan</v>
      </c>
      <c r="I2091" s="2" t="str">
        <f aca="false">CHOOSE(WEEKDAY(B2091,2),"Senin","Selasa","Rabu","Kamis","Jumat","Sabtu","Minggu")</f>
        <v>Minggu</v>
      </c>
      <c r="J2091" s="2" t="n">
        <f aca="false">HOUR(E2091)</f>
        <v>13</v>
      </c>
      <c r="K2091" s="2" t="str">
        <f aca="false">IF(J2091&lt;11,"Pagi",IF(J2091&lt;17,"Siang","Malam"))</f>
        <v>Siang</v>
      </c>
      <c r="L2091" s="2" t="n">
        <f aca="false">IF(A2091&lt;&gt;A2090,1,0)</f>
        <v>1</v>
      </c>
    </row>
    <row r="2092" customFormat="false" ht="15" hidden="false" customHeight="false" outlineLevel="0" collapsed="false">
      <c r="A2092" s="2" t="s">
        <v>1950</v>
      </c>
      <c r="B2092" s="13" t="n">
        <v>46292</v>
      </c>
      <c r="C2092" s="2" t="s">
        <v>89</v>
      </c>
      <c r="D2092" s="2" t="n">
        <v>2</v>
      </c>
      <c r="E2092" s="15" t="n">
        <v>0.558333333333333</v>
      </c>
      <c r="F2092" s="7" t="n">
        <v>14000</v>
      </c>
      <c r="G2092" s="7" t="n">
        <f aca="false">D2092*F2092</f>
        <v>28000</v>
      </c>
      <c r="H2092" s="2" t="str">
        <f aca="false">INDEX(Daftar_Menu!$B$2:$B$13,MATCH(C2092,Daftar_Menu!$A$2:$A$13,0))</f>
        <v>Makanan</v>
      </c>
      <c r="I2092" s="2" t="str">
        <f aca="false">CHOOSE(WEEKDAY(B2092,2),"Senin","Selasa","Rabu","Kamis","Jumat","Sabtu","Minggu")</f>
        <v>Minggu</v>
      </c>
      <c r="J2092" s="2" t="n">
        <f aca="false">HOUR(E2092)</f>
        <v>13</v>
      </c>
      <c r="K2092" s="2" t="str">
        <f aca="false">IF(J2092&lt;11,"Pagi",IF(J2092&lt;17,"Siang","Malam"))</f>
        <v>Siang</v>
      </c>
      <c r="L2092" s="2" t="n">
        <f aca="false">IF(A2092&lt;&gt;A2091,1,0)</f>
        <v>0</v>
      </c>
    </row>
    <row r="2093" customFormat="false" ht="15" hidden="false" customHeight="false" outlineLevel="0" collapsed="false">
      <c r="A2093" s="2" t="s">
        <v>1951</v>
      </c>
      <c r="B2093" s="13" t="n">
        <v>46292</v>
      </c>
      <c r="C2093" s="2" t="s">
        <v>81</v>
      </c>
      <c r="D2093" s="2" t="n">
        <v>1</v>
      </c>
      <c r="E2093" s="15" t="n">
        <v>0.569444444444444</v>
      </c>
      <c r="F2093" s="7" t="n">
        <v>15000</v>
      </c>
      <c r="G2093" s="7" t="n">
        <f aca="false">D2093*F2093</f>
        <v>15000</v>
      </c>
      <c r="H2093" s="2" t="str">
        <f aca="false">INDEX(Daftar_Menu!$B$2:$B$13,MATCH(C2093,Daftar_Menu!$A$2:$A$13,0))</f>
        <v>Makanan</v>
      </c>
      <c r="I2093" s="2" t="str">
        <f aca="false">CHOOSE(WEEKDAY(B2093,2),"Senin","Selasa","Rabu","Kamis","Jumat","Sabtu","Minggu")</f>
        <v>Minggu</v>
      </c>
      <c r="J2093" s="2" t="n">
        <f aca="false">HOUR(E2093)</f>
        <v>13</v>
      </c>
      <c r="K2093" s="2" t="str">
        <f aca="false">IF(J2093&lt;11,"Pagi",IF(J2093&lt;17,"Siang","Malam"))</f>
        <v>Siang</v>
      </c>
      <c r="L2093" s="2" t="n">
        <f aca="false">IF(A2093&lt;&gt;A2092,1,0)</f>
        <v>1</v>
      </c>
    </row>
    <row r="2094" customFormat="false" ht="15" hidden="false" customHeight="false" outlineLevel="0" collapsed="false">
      <c r="A2094" s="2" t="s">
        <v>1952</v>
      </c>
      <c r="B2094" s="13" t="n">
        <v>46292</v>
      </c>
      <c r="C2094" s="2" t="s">
        <v>132</v>
      </c>
      <c r="D2094" s="2" t="n">
        <v>1</v>
      </c>
      <c r="E2094" s="15" t="n">
        <v>0.575</v>
      </c>
      <c r="F2094" s="7" t="n">
        <v>15000</v>
      </c>
      <c r="G2094" s="7" t="n">
        <f aca="false">D2094*F2094</f>
        <v>15000</v>
      </c>
      <c r="H2094" s="2" t="str">
        <f aca="false">INDEX(Daftar_Menu!$B$2:$B$13,MATCH(C2094,Daftar_Menu!$A$2:$A$13,0))</f>
        <v>Makanan</v>
      </c>
      <c r="I2094" s="2" t="str">
        <f aca="false">CHOOSE(WEEKDAY(B2094,2),"Senin","Selasa","Rabu","Kamis","Jumat","Sabtu","Minggu")</f>
        <v>Minggu</v>
      </c>
      <c r="J2094" s="2" t="n">
        <f aca="false">HOUR(E2094)</f>
        <v>13</v>
      </c>
      <c r="K2094" s="2" t="str">
        <f aca="false">IF(J2094&lt;11,"Pagi",IF(J2094&lt;17,"Siang","Malam"))</f>
        <v>Siang</v>
      </c>
      <c r="L2094" s="2" t="n">
        <f aca="false">IF(A2094&lt;&gt;A2093,1,0)</f>
        <v>1</v>
      </c>
    </row>
    <row r="2095" customFormat="false" ht="15" hidden="false" customHeight="false" outlineLevel="0" collapsed="false">
      <c r="A2095" s="2" t="s">
        <v>1954</v>
      </c>
      <c r="B2095" s="13" t="n">
        <v>46292</v>
      </c>
      <c r="C2095" s="2" t="s">
        <v>81</v>
      </c>
      <c r="D2095" s="2" t="n">
        <v>1</v>
      </c>
      <c r="E2095" s="15" t="n">
        <v>0.595138888888889</v>
      </c>
      <c r="F2095" s="7" t="n">
        <v>15000</v>
      </c>
      <c r="G2095" s="7" t="n">
        <f aca="false">D2095*F2095</f>
        <v>15000</v>
      </c>
      <c r="H2095" s="2" t="str">
        <f aca="false">INDEX(Daftar_Menu!$B$2:$B$13,MATCH(C2095,Daftar_Menu!$A$2:$A$13,0))</f>
        <v>Makanan</v>
      </c>
      <c r="I2095" s="2" t="str">
        <f aca="false">CHOOSE(WEEKDAY(B2095,2),"Senin","Selasa","Rabu","Kamis","Jumat","Sabtu","Minggu")</f>
        <v>Minggu</v>
      </c>
      <c r="J2095" s="2" t="n">
        <f aca="false">HOUR(E2095)</f>
        <v>14</v>
      </c>
      <c r="K2095" s="2" t="str">
        <f aca="false">IF(J2095&lt;11,"Pagi",IF(J2095&lt;17,"Siang","Malam"))</f>
        <v>Siang</v>
      </c>
      <c r="L2095" s="2" t="n">
        <f aca="false">IF(A2095&lt;&gt;A2094,1,0)</f>
        <v>1</v>
      </c>
    </row>
    <row r="2096" customFormat="false" ht="15" hidden="false" customHeight="false" outlineLevel="0" collapsed="false">
      <c r="A2096" s="2" t="s">
        <v>1956</v>
      </c>
      <c r="B2096" s="13" t="n">
        <v>46292</v>
      </c>
      <c r="C2096" s="2" t="s">
        <v>89</v>
      </c>
      <c r="D2096" s="2" t="n">
        <v>2</v>
      </c>
      <c r="E2096" s="15" t="n">
        <v>0.599305555555556</v>
      </c>
      <c r="F2096" s="7" t="n">
        <v>14000</v>
      </c>
      <c r="G2096" s="7" t="n">
        <f aca="false">D2096*F2096</f>
        <v>28000</v>
      </c>
      <c r="H2096" s="2" t="str">
        <f aca="false">INDEX(Daftar_Menu!$B$2:$B$13,MATCH(C2096,Daftar_Menu!$A$2:$A$13,0))</f>
        <v>Makanan</v>
      </c>
      <c r="I2096" s="2" t="str">
        <f aca="false">CHOOSE(WEEKDAY(B2096,2),"Senin","Selasa","Rabu","Kamis","Jumat","Sabtu","Minggu")</f>
        <v>Minggu</v>
      </c>
      <c r="J2096" s="2" t="n">
        <f aca="false">HOUR(E2096)</f>
        <v>14</v>
      </c>
      <c r="K2096" s="2" t="str">
        <f aca="false">IF(J2096&lt;11,"Pagi",IF(J2096&lt;17,"Siang","Malam"))</f>
        <v>Siang</v>
      </c>
      <c r="L2096" s="2" t="n">
        <f aca="false">IF(A2096&lt;&gt;A2095,1,0)</f>
        <v>1</v>
      </c>
    </row>
    <row r="2097" customFormat="false" ht="15" hidden="false" customHeight="false" outlineLevel="0" collapsed="false">
      <c r="A2097" s="2" t="s">
        <v>1957</v>
      </c>
      <c r="B2097" s="13" t="n">
        <v>46292</v>
      </c>
      <c r="C2097" s="2" t="s">
        <v>84</v>
      </c>
      <c r="D2097" s="2" t="n">
        <v>1</v>
      </c>
      <c r="E2097" s="15" t="n">
        <v>0.603472222222222</v>
      </c>
      <c r="F2097" s="7" t="n">
        <v>5000</v>
      </c>
      <c r="G2097" s="7" t="n">
        <f aca="false">D2097*F2097</f>
        <v>5000</v>
      </c>
      <c r="H2097" s="2" t="str">
        <f aca="false">INDEX(Daftar_Menu!$B$2:$B$13,MATCH(C2097,Daftar_Menu!$A$2:$A$13,0))</f>
        <v>Minuman</v>
      </c>
      <c r="I2097" s="2" t="str">
        <f aca="false">CHOOSE(WEEKDAY(B2097,2),"Senin","Selasa","Rabu","Kamis","Jumat","Sabtu","Minggu")</f>
        <v>Minggu</v>
      </c>
      <c r="J2097" s="2" t="n">
        <f aca="false">HOUR(E2097)</f>
        <v>14</v>
      </c>
      <c r="K2097" s="2" t="str">
        <f aca="false">IF(J2097&lt;11,"Pagi",IF(J2097&lt;17,"Siang","Malam"))</f>
        <v>Siang</v>
      </c>
      <c r="L2097" s="2" t="n">
        <f aca="false">IF(A2097&lt;&gt;A2096,1,0)</f>
        <v>1</v>
      </c>
    </row>
    <row r="2098" customFormat="false" ht="15" hidden="false" customHeight="false" outlineLevel="0" collapsed="false">
      <c r="A2098" s="2" t="s">
        <v>1957</v>
      </c>
      <c r="B2098" s="13" t="n">
        <v>46292</v>
      </c>
      <c r="C2098" s="2" t="s">
        <v>79</v>
      </c>
      <c r="D2098" s="2" t="n">
        <v>1</v>
      </c>
      <c r="E2098" s="15" t="n">
        <v>0.603472222222222</v>
      </c>
      <c r="F2098" s="7" t="n">
        <v>16000</v>
      </c>
      <c r="G2098" s="7" t="n">
        <f aca="false">D2098*F2098</f>
        <v>16000</v>
      </c>
      <c r="H2098" s="2" t="str">
        <f aca="false">INDEX(Daftar_Menu!$B$2:$B$13,MATCH(C2098,Daftar_Menu!$A$2:$A$13,0))</f>
        <v>Makanan</v>
      </c>
      <c r="I2098" s="2" t="str">
        <f aca="false">CHOOSE(WEEKDAY(B2098,2),"Senin","Selasa","Rabu","Kamis","Jumat","Sabtu","Minggu")</f>
        <v>Minggu</v>
      </c>
      <c r="J2098" s="2" t="n">
        <f aca="false">HOUR(E2098)</f>
        <v>14</v>
      </c>
      <c r="K2098" s="2" t="str">
        <f aca="false">IF(J2098&lt;11,"Pagi",IF(J2098&lt;17,"Siang","Malam"))</f>
        <v>Siang</v>
      </c>
      <c r="L2098" s="2" t="n">
        <f aca="false">IF(A2098&lt;&gt;A2097,1,0)</f>
        <v>0</v>
      </c>
    </row>
    <row r="2099" customFormat="false" ht="15" hidden="false" customHeight="false" outlineLevel="0" collapsed="false">
      <c r="A2099" s="2" t="s">
        <v>1958</v>
      </c>
      <c r="B2099" s="13" t="n">
        <v>46292</v>
      </c>
      <c r="C2099" s="2" t="s">
        <v>81</v>
      </c>
      <c r="D2099" s="2" t="n">
        <v>2</v>
      </c>
      <c r="E2099" s="15" t="n">
        <v>0.60625</v>
      </c>
      <c r="F2099" s="7" t="n">
        <v>15000</v>
      </c>
      <c r="G2099" s="7" t="n">
        <f aca="false">D2099*F2099</f>
        <v>30000</v>
      </c>
      <c r="H2099" s="2" t="str">
        <f aca="false">INDEX(Daftar_Menu!$B$2:$B$13,MATCH(C2099,Daftar_Menu!$A$2:$A$13,0))</f>
        <v>Makanan</v>
      </c>
      <c r="I2099" s="2" t="str">
        <f aca="false">CHOOSE(WEEKDAY(B2099,2),"Senin","Selasa","Rabu","Kamis","Jumat","Sabtu","Minggu")</f>
        <v>Minggu</v>
      </c>
      <c r="J2099" s="2" t="n">
        <f aca="false">HOUR(E2099)</f>
        <v>14</v>
      </c>
      <c r="K2099" s="2" t="str">
        <f aca="false">IF(J2099&lt;11,"Pagi",IF(J2099&lt;17,"Siang","Malam"))</f>
        <v>Siang</v>
      </c>
      <c r="L2099" s="2" t="n">
        <f aca="false">IF(A2099&lt;&gt;A2098,1,0)</f>
        <v>1</v>
      </c>
    </row>
    <row r="2100" customFormat="false" ht="15" hidden="false" customHeight="false" outlineLevel="0" collapsed="false">
      <c r="A2100" s="2" t="s">
        <v>1959</v>
      </c>
      <c r="B2100" s="13" t="n">
        <v>46292</v>
      </c>
      <c r="C2100" s="2" t="s">
        <v>81</v>
      </c>
      <c r="D2100" s="2" t="n">
        <v>1</v>
      </c>
      <c r="E2100" s="15" t="n">
        <v>0.610416666666667</v>
      </c>
      <c r="F2100" s="7" t="n">
        <v>15000</v>
      </c>
      <c r="G2100" s="7" t="n">
        <f aca="false">D2100*F2100</f>
        <v>15000</v>
      </c>
      <c r="H2100" s="2" t="str">
        <f aca="false">INDEX(Daftar_Menu!$B$2:$B$13,MATCH(C2100,Daftar_Menu!$A$2:$A$13,0))</f>
        <v>Makanan</v>
      </c>
      <c r="I2100" s="2" t="str">
        <f aca="false">CHOOSE(WEEKDAY(B2100,2),"Senin","Selasa","Rabu","Kamis","Jumat","Sabtu","Minggu")</f>
        <v>Minggu</v>
      </c>
      <c r="J2100" s="2" t="n">
        <f aca="false">HOUR(E2100)</f>
        <v>14</v>
      </c>
      <c r="K2100" s="2" t="str">
        <f aca="false">IF(J2100&lt;11,"Pagi",IF(J2100&lt;17,"Siang","Malam"))</f>
        <v>Siang</v>
      </c>
      <c r="L2100" s="2" t="n">
        <f aca="false">IF(A2100&lt;&gt;A2099,1,0)</f>
        <v>1</v>
      </c>
    </row>
    <row r="2101" customFormat="false" ht="15" hidden="false" customHeight="false" outlineLevel="0" collapsed="false">
      <c r="A2101" s="2" t="s">
        <v>1960</v>
      </c>
      <c r="B2101" s="13" t="n">
        <v>46292</v>
      </c>
      <c r="C2101" s="2" t="s">
        <v>89</v>
      </c>
      <c r="D2101" s="2" t="n">
        <v>1</v>
      </c>
      <c r="E2101" s="15" t="n">
        <v>0.630555555555556</v>
      </c>
      <c r="F2101" s="7" t="n">
        <v>14000</v>
      </c>
      <c r="G2101" s="7" t="n">
        <f aca="false">D2101*F2101</f>
        <v>14000</v>
      </c>
      <c r="H2101" s="2" t="str">
        <f aca="false">INDEX(Daftar_Menu!$B$2:$B$13,MATCH(C2101,Daftar_Menu!$A$2:$A$13,0))</f>
        <v>Makanan</v>
      </c>
      <c r="I2101" s="2" t="str">
        <f aca="false">CHOOSE(WEEKDAY(B2101,2),"Senin","Selasa","Rabu","Kamis","Jumat","Sabtu","Minggu")</f>
        <v>Minggu</v>
      </c>
      <c r="J2101" s="2" t="n">
        <f aca="false">HOUR(E2101)</f>
        <v>15</v>
      </c>
      <c r="K2101" s="2" t="str">
        <f aca="false">IF(J2101&lt;11,"Pagi",IF(J2101&lt;17,"Siang","Malam"))</f>
        <v>Siang</v>
      </c>
      <c r="L2101" s="2" t="n">
        <f aca="false">IF(A2101&lt;&gt;A2100,1,0)</f>
        <v>1</v>
      </c>
    </row>
    <row r="2102" customFormat="false" ht="15" hidden="false" customHeight="false" outlineLevel="0" collapsed="false">
      <c r="A2102" s="2" t="s">
        <v>1961</v>
      </c>
      <c r="B2102" s="13" t="n">
        <v>46292</v>
      </c>
      <c r="C2102" s="2" t="s">
        <v>92</v>
      </c>
      <c r="D2102" s="2" t="n">
        <v>3</v>
      </c>
      <c r="E2102" s="15" t="n">
        <v>0.647222222222222</v>
      </c>
      <c r="F2102" s="7" t="n">
        <v>4000</v>
      </c>
      <c r="G2102" s="7" t="n">
        <f aca="false">D2102*F2102</f>
        <v>12000</v>
      </c>
      <c r="H2102" s="2" t="str">
        <f aca="false">INDEX(Daftar_Menu!$B$2:$B$13,MATCH(C2102,Daftar_Menu!$A$2:$A$13,0))</f>
        <v>Minuman</v>
      </c>
      <c r="I2102" s="2" t="str">
        <f aca="false">CHOOSE(WEEKDAY(B2102,2),"Senin","Selasa","Rabu","Kamis","Jumat","Sabtu","Minggu")</f>
        <v>Minggu</v>
      </c>
      <c r="J2102" s="2" t="n">
        <f aca="false">HOUR(E2102)</f>
        <v>15</v>
      </c>
      <c r="K2102" s="2" t="str">
        <f aca="false">IF(J2102&lt;11,"Pagi",IF(J2102&lt;17,"Siang","Malam"))</f>
        <v>Siang</v>
      </c>
      <c r="L2102" s="2" t="n">
        <f aca="false">IF(A2102&lt;&gt;A2101,1,0)</f>
        <v>1</v>
      </c>
    </row>
    <row r="2103" customFormat="false" ht="15" hidden="false" customHeight="false" outlineLevel="0" collapsed="false">
      <c r="A2103" s="2" t="s">
        <v>1962</v>
      </c>
      <c r="B2103" s="13" t="n">
        <v>46292</v>
      </c>
      <c r="C2103" s="2" t="s">
        <v>101</v>
      </c>
      <c r="D2103" s="2" t="n">
        <v>1</v>
      </c>
      <c r="E2103" s="15" t="n">
        <v>0.661805555555556</v>
      </c>
      <c r="F2103" s="7" t="n">
        <v>18000</v>
      </c>
      <c r="G2103" s="7" t="n">
        <f aca="false">D2103*F2103</f>
        <v>18000</v>
      </c>
      <c r="H2103" s="2" t="str">
        <f aca="false">INDEX(Daftar_Menu!$B$2:$B$13,MATCH(C2103,Daftar_Menu!$A$2:$A$13,0))</f>
        <v>Makanan</v>
      </c>
      <c r="I2103" s="2" t="str">
        <f aca="false">CHOOSE(WEEKDAY(B2103,2),"Senin","Selasa","Rabu","Kamis","Jumat","Sabtu","Minggu")</f>
        <v>Minggu</v>
      </c>
      <c r="J2103" s="2" t="n">
        <f aca="false">HOUR(E2103)</f>
        <v>15</v>
      </c>
      <c r="K2103" s="2" t="str">
        <f aca="false">IF(J2103&lt;11,"Pagi",IF(J2103&lt;17,"Siang","Malam"))</f>
        <v>Siang</v>
      </c>
      <c r="L2103" s="2" t="n">
        <f aca="false">IF(A2103&lt;&gt;A2102,1,0)</f>
        <v>1</v>
      </c>
    </row>
    <row r="2104" customFormat="false" ht="15" hidden="false" customHeight="false" outlineLevel="0" collapsed="false">
      <c r="A2104" s="2" t="s">
        <v>1962</v>
      </c>
      <c r="B2104" s="13" t="n">
        <v>46292</v>
      </c>
      <c r="C2104" s="2" t="s">
        <v>89</v>
      </c>
      <c r="D2104" s="2" t="n">
        <v>2</v>
      </c>
      <c r="E2104" s="15" t="n">
        <v>0.661805555555556</v>
      </c>
      <c r="F2104" s="7" t="n">
        <v>14000</v>
      </c>
      <c r="G2104" s="7" t="n">
        <f aca="false">D2104*F2104</f>
        <v>28000</v>
      </c>
      <c r="H2104" s="2" t="str">
        <f aca="false">INDEX(Daftar_Menu!$B$2:$B$13,MATCH(C2104,Daftar_Menu!$A$2:$A$13,0))</f>
        <v>Makanan</v>
      </c>
      <c r="I2104" s="2" t="str">
        <f aca="false">CHOOSE(WEEKDAY(B2104,2),"Senin","Selasa","Rabu","Kamis","Jumat","Sabtu","Minggu")</f>
        <v>Minggu</v>
      </c>
      <c r="J2104" s="2" t="n">
        <f aca="false">HOUR(E2104)</f>
        <v>15</v>
      </c>
      <c r="K2104" s="2" t="str">
        <f aca="false">IF(J2104&lt;11,"Pagi",IF(J2104&lt;17,"Siang","Malam"))</f>
        <v>Siang</v>
      </c>
      <c r="L2104" s="2" t="n">
        <f aca="false">IF(A2104&lt;&gt;A2103,1,0)</f>
        <v>0</v>
      </c>
    </row>
    <row r="2105" customFormat="false" ht="15" hidden="false" customHeight="false" outlineLevel="0" collapsed="false">
      <c r="A2105" s="2" t="s">
        <v>1962</v>
      </c>
      <c r="B2105" s="13" t="n">
        <v>46292</v>
      </c>
      <c r="C2105" s="2" t="s">
        <v>112</v>
      </c>
      <c r="D2105" s="2" t="n">
        <v>1</v>
      </c>
      <c r="E2105" s="15" t="n">
        <v>0.661805555555556</v>
      </c>
      <c r="F2105" s="7" t="n">
        <v>10000</v>
      </c>
      <c r="G2105" s="7" t="n">
        <f aca="false">D2105*F2105</f>
        <v>10000</v>
      </c>
      <c r="H2105" s="2" t="str">
        <f aca="false">INDEX(Daftar_Menu!$B$2:$B$13,MATCH(C2105,Daftar_Menu!$A$2:$A$13,0))</f>
        <v>Minuman</v>
      </c>
      <c r="I2105" s="2" t="str">
        <f aca="false">CHOOSE(WEEKDAY(B2105,2),"Senin","Selasa","Rabu","Kamis","Jumat","Sabtu","Minggu")</f>
        <v>Minggu</v>
      </c>
      <c r="J2105" s="2" t="n">
        <f aca="false">HOUR(E2105)</f>
        <v>15</v>
      </c>
      <c r="K2105" s="2" t="str">
        <f aca="false">IF(J2105&lt;11,"Pagi",IF(J2105&lt;17,"Siang","Malam"))</f>
        <v>Siang</v>
      </c>
      <c r="L2105" s="2" t="n">
        <f aca="false">IF(A2105&lt;&gt;A2104,1,0)</f>
        <v>0</v>
      </c>
    </row>
    <row r="2106" customFormat="false" ht="15" hidden="false" customHeight="false" outlineLevel="0" collapsed="false">
      <c r="A2106" s="2" t="s">
        <v>1963</v>
      </c>
      <c r="B2106" s="13" t="n">
        <v>46292</v>
      </c>
      <c r="C2106" s="2" t="s">
        <v>89</v>
      </c>
      <c r="D2106" s="2" t="n">
        <v>1</v>
      </c>
      <c r="E2106" s="15" t="n">
        <v>0.684027777777778</v>
      </c>
      <c r="F2106" s="7" t="n">
        <v>14000</v>
      </c>
      <c r="G2106" s="7" t="n">
        <f aca="false">D2106*F2106</f>
        <v>14000</v>
      </c>
      <c r="H2106" s="2" t="str">
        <f aca="false">INDEX(Daftar_Menu!$B$2:$B$13,MATCH(C2106,Daftar_Menu!$A$2:$A$13,0))</f>
        <v>Makanan</v>
      </c>
      <c r="I2106" s="2" t="str">
        <f aca="false">CHOOSE(WEEKDAY(B2106,2),"Senin","Selasa","Rabu","Kamis","Jumat","Sabtu","Minggu")</f>
        <v>Minggu</v>
      </c>
      <c r="J2106" s="2" t="n">
        <f aca="false">HOUR(E2106)</f>
        <v>16</v>
      </c>
      <c r="K2106" s="2" t="str">
        <f aca="false">IF(J2106&lt;11,"Pagi",IF(J2106&lt;17,"Siang","Malam"))</f>
        <v>Siang</v>
      </c>
      <c r="L2106" s="2" t="n">
        <f aca="false">IF(A2106&lt;&gt;A2105,1,0)</f>
        <v>1</v>
      </c>
    </row>
    <row r="2107" customFormat="false" ht="15" hidden="false" customHeight="false" outlineLevel="0" collapsed="false">
      <c r="A2107" s="2" t="s">
        <v>1965</v>
      </c>
      <c r="B2107" s="13" t="n">
        <v>46292</v>
      </c>
      <c r="C2107" s="2" t="s">
        <v>82</v>
      </c>
      <c r="D2107" s="2" t="n">
        <v>2</v>
      </c>
      <c r="E2107" s="15" t="n">
        <v>0.690277777777778</v>
      </c>
      <c r="F2107" s="7" t="n">
        <v>13000</v>
      </c>
      <c r="G2107" s="7" t="n">
        <f aca="false">D2107*F2107</f>
        <v>26000</v>
      </c>
      <c r="H2107" s="2" t="str">
        <f aca="false">INDEX(Daftar_Menu!$B$2:$B$13,MATCH(C2107,Daftar_Menu!$A$2:$A$13,0))</f>
        <v>Makanan</v>
      </c>
      <c r="I2107" s="2" t="str">
        <f aca="false">CHOOSE(WEEKDAY(B2107,2),"Senin","Selasa","Rabu","Kamis","Jumat","Sabtu","Minggu")</f>
        <v>Minggu</v>
      </c>
      <c r="J2107" s="2" t="n">
        <f aca="false">HOUR(E2107)</f>
        <v>16</v>
      </c>
      <c r="K2107" s="2" t="str">
        <f aca="false">IF(J2107&lt;11,"Pagi",IF(J2107&lt;17,"Siang","Malam"))</f>
        <v>Siang</v>
      </c>
      <c r="L2107" s="2" t="n">
        <f aca="false">IF(A2107&lt;&gt;A2106,1,0)</f>
        <v>1</v>
      </c>
    </row>
    <row r="2108" customFormat="false" ht="15" hidden="false" customHeight="false" outlineLevel="0" collapsed="false">
      <c r="A2108" s="2" t="s">
        <v>1965</v>
      </c>
      <c r="B2108" s="13" t="n">
        <v>46292</v>
      </c>
      <c r="C2108" s="2" t="s">
        <v>112</v>
      </c>
      <c r="D2108" s="2" t="n">
        <v>1</v>
      </c>
      <c r="E2108" s="15" t="n">
        <v>0.690277777777778</v>
      </c>
      <c r="F2108" s="7" t="n">
        <v>10000</v>
      </c>
      <c r="G2108" s="7" t="n">
        <f aca="false">D2108*F2108</f>
        <v>10000</v>
      </c>
      <c r="H2108" s="2" t="str">
        <f aca="false">INDEX(Daftar_Menu!$B$2:$B$13,MATCH(C2108,Daftar_Menu!$A$2:$A$13,0))</f>
        <v>Minuman</v>
      </c>
      <c r="I2108" s="2" t="str">
        <f aca="false">CHOOSE(WEEKDAY(B2108,2),"Senin","Selasa","Rabu","Kamis","Jumat","Sabtu","Minggu")</f>
        <v>Minggu</v>
      </c>
      <c r="J2108" s="2" t="n">
        <f aca="false">HOUR(E2108)</f>
        <v>16</v>
      </c>
      <c r="K2108" s="2" t="str">
        <f aca="false">IF(J2108&lt;11,"Pagi",IF(J2108&lt;17,"Siang","Malam"))</f>
        <v>Siang</v>
      </c>
      <c r="L2108" s="2" t="n">
        <f aca="false">IF(A2108&lt;&gt;A2107,1,0)</f>
        <v>0</v>
      </c>
    </row>
    <row r="2109" customFormat="false" ht="15" hidden="false" customHeight="false" outlineLevel="0" collapsed="false">
      <c r="A2109" s="2" t="s">
        <v>1967</v>
      </c>
      <c r="B2109" s="13" t="n">
        <v>46292</v>
      </c>
      <c r="C2109" s="2" t="s">
        <v>79</v>
      </c>
      <c r="D2109" s="2" t="n">
        <v>1</v>
      </c>
      <c r="E2109" s="15" t="n">
        <v>0.722916666666667</v>
      </c>
      <c r="F2109" s="7" t="n">
        <v>16000</v>
      </c>
      <c r="G2109" s="7" t="n">
        <f aca="false">D2109*F2109</f>
        <v>16000</v>
      </c>
      <c r="H2109" s="2" t="str">
        <f aca="false">INDEX(Daftar_Menu!$B$2:$B$13,MATCH(C2109,Daftar_Menu!$A$2:$A$13,0))</f>
        <v>Makanan</v>
      </c>
      <c r="I2109" s="2" t="str">
        <f aca="false">CHOOSE(WEEKDAY(B2109,2),"Senin","Selasa","Rabu","Kamis","Jumat","Sabtu","Minggu")</f>
        <v>Minggu</v>
      </c>
      <c r="J2109" s="2" t="n">
        <f aca="false">HOUR(E2109)</f>
        <v>17</v>
      </c>
      <c r="K2109" s="2" t="str">
        <f aca="false">IF(J2109&lt;11,"Pagi",IF(J2109&lt;17,"Siang","Malam"))</f>
        <v>Malam</v>
      </c>
      <c r="L2109" s="2" t="n">
        <f aca="false">IF(A2109&lt;&gt;A2108,1,0)</f>
        <v>1</v>
      </c>
    </row>
    <row r="2110" customFormat="false" ht="15" hidden="false" customHeight="false" outlineLevel="0" collapsed="false">
      <c r="A2110" s="2" t="s">
        <v>1967</v>
      </c>
      <c r="B2110" s="13" t="n">
        <v>46292</v>
      </c>
      <c r="C2110" s="2" t="s">
        <v>89</v>
      </c>
      <c r="D2110" s="2" t="n">
        <v>1</v>
      </c>
      <c r="E2110" s="15" t="n">
        <v>0.722916666666667</v>
      </c>
      <c r="F2110" s="7" t="n">
        <v>14000</v>
      </c>
      <c r="G2110" s="7" t="n">
        <f aca="false">D2110*F2110</f>
        <v>14000</v>
      </c>
      <c r="H2110" s="2" t="str">
        <f aca="false">INDEX(Daftar_Menu!$B$2:$B$13,MATCH(C2110,Daftar_Menu!$A$2:$A$13,0))</f>
        <v>Makanan</v>
      </c>
      <c r="I2110" s="2" t="str">
        <f aca="false">CHOOSE(WEEKDAY(B2110,2),"Senin","Selasa","Rabu","Kamis","Jumat","Sabtu","Minggu")</f>
        <v>Minggu</v>
      </c>
      <c r="J2110" s="2" t="n">
        <f aca="false">HOUR(E2110)</f>
        <v>17</v>
      </c>
      <c r="K2110" s="2" t="str">
        <f aca="false">IF(J2110&lt;11,"Pagi",IF(J2110&lt;17,"Siang","Malam"))</f>
        <v>Malam</v>
      </c>
      <c r="L2110" s="2" t="n">
        <f aca="false">IF(A2110&lt;&gt;A2109,1,0)</f>
        <v>0</v>
      </c>
    </row>
    <row r="2111" customFormat="false" ht="15" hidden="false" customHeight="false" outlineLevel="0" collapsed="false">
      <c r="A2111" s="2" t="s">
        <v>1967</v>
      </c>
      <c r="B2111" s="13" t="n">
        <v>46292</v>
      </c>
      <c r="C2111" s="2" t="s">
        <v>132</v>
      </c>
      <c r="D2111" s="2" t="n">
        <v>1</v>
      </c>
      <c r="E2111" s="15" t="n">
        <v>0.722916666666667</v>
      </c>
      <c r="F2111" s="7" t="n">
        <v>15000</v>
      </c>
      <c r="G2111" s="7" t="n">
        <f aca="false">D2111*F2111</f>
        <v>15000</v>
      </c>
      <c r="H2111" s="2" t="str">
        <f aca="false">INDEX(Daftar_Menu!$B$2:$B$13,MATCH(C2111,Daftar_Menu!$A$2:$A$13,0))</f>
        <v>Makanan</v>
      </c>
      <c r="I2111" s="2" t="str">
        <f aca="false">CHOOSE(WEEKDAY(B2111,2),"Senin","Selasa","Rabu","Kamis","Jumat","Sabtu","Minggu")</f>
        <v>Minggu</v>
      </c>
      <c r="J2111" s="2" t="n">
        <f aca="false">HOUR(E2111)</f>
        <v>17</v>
      </c>
      <c r="K2111" s="2" t="str">
        <f aca="false">IF(J2111&lt;11,"Pagi",IF(J2111&lt;17,"Siang","Malam"))</f>
        <v>Malam</v>
      </c>
      <c r="L2111" s="2" t="n">
        <f aca="false">IF(A2111&lt;&gt;A2110,1,0)</f>
        <v>0</v>
      </c>
    </row>
    <row r="2112" customFormat="false" ht="15" hidden="false" customHeight="false" outlineLevel="0" collapsed="false">
      <c r="A2112" s="2" t="s">
        <v>1968</v>
      </c>
      <c r="B2112" s="13" t="n">
        <v>46292</v>
      </c>
      <c r="C2112" s="2" t="s">
        <v>108</v>
      </c>
      <c r="D2112" s="2" t="n">
        <v>2</v>
      </c>
      <c r="E2112" s="15" t="n">
        <v>0.727083333333333</v>
      </c>
      <c r="F2112" s="7" t="n">
        <v>20000</v>
      </c>
      <c r="G2112" s="7" t="n">
        <f aca="false">D2112*F2112</f>
        <v>40000</v>
      </c>
      <c r="H2112" s="2" t="str">
        <f aca="false">INDEX(Daftar_Menu!$B$2:$B$13,MATCH(C2112,Daftar_Menu!$A$2:$A$13,0))</f>
        <v>Makanan</v>
      </c>
      <c r="I2112" s="2" t="str">
        <f aca="false">CHOOSE(WEEKDAY(B2112,2),"Senin","Selasa","Rabu","Kamis","Jumat","Sabtu","Minggu")</f>
        <v>Minggu</v>
      </c>
      <c r="J2112" s="2" t="n">
        <f aca="false">HOUR(E2112)</f>
        <v>17</v>
      </c>
      <c r="K2112" s="2" t="str">
        <f aca="false">IF(J2112&lt;11,"Pagi",IF(J2112&lt;17,"Siang","Malam"))</f>
        <v>Malam</v>
      </c>
      <c r="L2112" s="2" t="n">
        <f aca="false">IF(A2112&lt;&gt;A2111,1,0)</f>
        <v>1</v>
      </c>
    </row>
    <row r="2113" customFormat="false" ht="15" hidden="false" customHeight="false" outlineLevel="0" collapsed="false">
      <c r="A2113" s="2" t="s">
        <v>1970</v>
      </c>
      <c r="B2113" s="13" t="n">
        <v>46292</v>
      </c>
      <c r="C2113" s="2" t="s">
        <v>84</v>
      </c>
      <c r="D2113" s="2" t="n">
        <v>2</v>
      </c>
      <c r="E2113" s="15" t="n">
        <v>0.731944444444444</v>
      </c>
      <c r="F2113" s="7" t="n">
        <v>5000</v>
      </c>
      <c r="G2113" s="7" t="n">
        <f aca="false">D2113*F2113</f>
        <v>10000</v>
      </c>
      <c r="H2113" s="2" t="str">
        <f aca="false">INDEX(Daftar_Menu!$B$2:$B$13,MATCH(C2113,Daftar_Menu!$A$2:$A$13,0))</f>
        <v>Minuman</v>
      </c>
      <c r="I2113" s="2" t="str">
        <f aca="false">CHOOSE(WEEKDAY(B2113,2),"Senin","Selasa","Rabu","Kamis","Jumat","Sabtu","Minggu")</f>
        <v>Minggu</v>
      </c>
      <c r="J2113" s="2" t="n">
        <f aca="false">HOUR(E2113)</f>
        <v>17</v>
      </c>
      <c r="K2113" s="2" t="str">
        <f aca="false">IF(J2113&lt;11,"Pagi",IF(J2113&lt;17,"Siang","Malam"))</f>
        <v>Malam</v>
      </c>
      <c r="L2113" s="2" t="n">
        <f aca="false">IF(A2113&lt;&gt;A2112,1,0)</f>
        <v>1</v>
      </c>
    </row>
    <row r="2114" customFormat="false" ht="15" hidden="false" customHeight="false" outlineLevel="0" collapsed="false">
      <c r="A2114" s="2" t="s">
        <v>1970</v>
      </c>
      <c r="B2114" s="13" t="n">
        <v>46292</v>
      </c>
      <c r="C2114" s="2" t="s">
        <v>108</v>
      </c>
      <c r="D2114" s="2" t="n">
        <v>1</v>
      </c>
      <c r="E2114" s="15" t="n">
        <v>0.731944444444444</v>
      </c>
      <c r="F2114" s="7" t="n">
        <v>20000</v>
      </c>
      <c r="G2114" s="7" t="n">
        <f aca="false">D2114*F2114</f>
        <v>20000</v>
      </c>
      <c r="H2114" s="2" t="str">
        <f aca="false">INDEX(Daftar_Menu!$B$2:$B$13,MATCH(C2114,Daftar_Menu!$A$2:$A$13,0))</f>
        <v>Makanan</v>
      </c>
      <c r="I2114" s="2" t="str">
        <f aca="false">CHOOSE(WEEKDAY(B2114,2),"Senin","Selasa","Rabu","Kamis","Jumat","Sabtu","Minggu")</f>
        <v>Minggu</v>
      </c>
      <c r="J2114" s="2" t="n">
        <f aca="false">HOUR(E2114)</f>
        <v>17</v>
      </c>
      <c r="K2114" s="2" t="str">
        <f aca="false">IF(J2114&lt;11,"Pagi",IF(J2114&lt;17,"Siang","Malam"))</f>
        <v>Malam</v>
      </c>
      <c r="L2114" s="2" t="n">
        <f aca="false">IF(A2114&lt;&gt;A2113,1,0)</f>
        <v>0</v>
      </c>
    </row>
    <row r="2115" customFormat="false" ht="15" hidden="false" customHeight="false" outlineLevel="0" collapsed="false">
      <c r="A2115" s="2" t="s">
        <v>1971</v>
      </c>
      <c r="B2115" s="13" t="n">
        <v>46292</v>
      </c>
      <c r="C2115" s="2" t="s">
        <v>112</v>
      </c>
      <c r="D2115" s="2" t="n">
        <v>1</v>
      </c>
      <c r="E2115" s="15" t="n">
        <v>0.736805555555556</v>
      </c>
      <c r="F2115" s="7" t="n">
        <v>10000</v>
      </c>
      <c r="G2115" s="7" t="n">
        <f aca="false">D2115*F2115</f>
        <v>10000</v>
      </c>
      <c r="H2115" s="2" t="str">
        <f aca="false">INDEX(Daftar_Menu!$B$2:$B$13,MATCH(C2115,Daftar_Menu!$A$2:$A$13,0))</f>
        <v>Minuman</v>
      </c>
      <c r="I2115" s="2" t="str">
        <f aca="false">CHOOSE(WEEKDAY(B2115,2),"Senin","Selasa","Rabu","Kamis","Jumat","Sabtu","Minggu")</f>
        <v>Minggu</v>
      </c>
      <c r="J2115" s="2" t="n">
        <f aca="false">HOUR(E2115)</f>
        <v>17</v>
      </c>
      <c r="K2115" s="2" t="str">
        <f aca="false">IF(J2115&lt;11,"Pagi",IF(J2115&lt;17,"Siang","Malam"))</f>
        <v>Malam</v>
      </c>
      <c r="L2115" s="2" t="n">
        <f aca="false">IF(A2115&lt;&gt;A2114,1,0)</f>
        <v>1</v>
      </c>
    </row>
    <row r="2116" customFormat="false" ht="15" hidden="false" customHeight="false" outlineLevel="0" collapsed="false">
      <c r="A2116" s="2" t="s">
        <v>1972</v>
      </c>
      <c r="B2116" s="13" t="n">
        <v>46292</v>
      </c>
      <c r="C2116" s="2" t="s">
        <v>84</v>
      </c>
      <c r="D2116" s="2" t="n">
        <v>2</v>
      </c>
      <c r="E2116" s="15" t="n">
        <v>0.736805555555556</v>
      </c>
      <c r="F2116" s="7" t="n">
        <v>5000</v>
      </c>
      <c r="G2116" s="7" t="n">
        <f aca="false">D2116*F2116</f>
        <v>10000</v>
      </c>
      <c r="H2116" s="2" t="str">
        <f aca="false">INDEX(Daftar_Menu!$B$2:$B$13,MATCH(C2116,Daftar_Menu!$A$2:$A$13,0))</f>
        <v>Minuman</v>
      </c>
      <c r="I2116" s="2" t="str">
        <f aca="false">CHOOSE(WEEKDAY(B2116,2),"Senin","Selasa","Rabu","Kamis","Jumat","Sabtu","Minggu")</f>
        <v>Minggu</v>
      </c>
      <c r="J2116" s="2" t="n">
        <f aca="false">HOUR(E2116)</f>
        <v>17</v>
      </c>
      <c r="K2116" s="2" t="str">
        <f aca="false">IF(J2116&lt;11,"Pagi",IF(J2116&lt;17,"Siang","Malam"))</f>
        <v>Malam</v>
      </c>
      <c r="L2116" s="2" t="n">
        <f aca="false">IF(A2116&lt;&gt;A2115,1,0)</f>
        <v>1</v>
      </c>
    </row>
    <row r="2117" customFormat="false" ht="15" hidden="false" customHeight="false" outlineLevel="0" collapsed="false">
      <c r="A2117" s="2" t="s">
        <v>1973</v>
      </c>
      <c r="B2117" s="13" t="n">
        <v>46292</v>
      </c>
      <c r="C2117" s="2" t="s">
        <v>84</v>
      </c>
      <c r="D2117" s="2" t="n">
        <v>1</v>
      </c>
      <c r="E2117" s="15" t="n">
        <v>0.736805555555556</v>
      </c>
      <c r="F2117" s="7" t="n">
        <v>5000</v>
      </c>
      <c r="G2117" s="7" t="n">
        <f aca="false">D2117*F2117</f>
        <v>5000</v>
      </c>
      <c r="H2117" s="2" t="str">
        <f aca="false">INDEX(Daftar_Menu!$B$2:$B$13,MATCH(C2117,Daftar_Menu!$A$2:$A$13,0))</f>
        <v>Minuman</v>
      </c>
      <c r="I2117" s="2" t="str">
        <f aca="false">CHOOSE(WEEKDAY(B2117,2),"Senin","Selasa","Rabu","Kamis","Jumat","Sabtu","Minggu")</f>
        <v>Minggu</v>
      </c>
      <c r="J2117" s="2" t="n">
        <f aca="false">HOUR(E2117)</f>
        <v>17</v>
      </c>
      <c r="K2117" s="2" t="str">
        <f aca="false">IF(J2117&lt;11,"Pagi",IF(J2117&lt;17,"Siang","Malam"))</f>
        <v>Malam</v>
      </c>
      <c r="L2117" s="2" t="n">
        <f aca="false">IF(A2117&lt;&gt;A2116,1,0)</f>
        <v>1</v>
      </c>
    </row>
    <row r="2118" customFormat="false" ht="15" hidden="false" customHeight="false" outlineLevel="0" collapsed="false">
      <c r="A2118" s="2" t="s">
        <v>1974</v>
      </c>
      <c r="B2118" s="13" t="n">
        <v>46292</v>
      </c>
      <c r="C2118" s="2" t="s">
        <v>81</v>
      </c>
      <c r="D2118" s="2" t="n">
        <v>1</v>
      </c>
      <c r="E2118" s="15" t="n">
        <v>0.748611111111111</v>
      </c>
      <c r="F2118" s="7" t="n">
        <v>15000</v>
      </c>
      <c r="G2118" s="7" t="n">
        <f aca="false">D2118*F2118</f>
        <v>15000</v>
      </c>
      <c r="H2118" s="2" t="str">
        <f aca="false">INDEX(Daftar_Menu!$B$2:$B$13,MATCH(C2118,Daftar_Menu!$A$2:$A$13,0))</f>
        <v>Makanan</v>
      </c>
      <c r="I2118" s="2" t="str">
        <f aca="false">CHOOSE(WEEKDAY(B2118,2),"Senin","Selasa","Rabu","Kamis","Jumat","Sabtu","Minggu")</f>
        <v>Minggu</v>
      </c>
      <c r="J2118" s="2" t="n">
        <f aca="false">HOUR(E2118)</f>
        <v>17</v>
      </c>
      <c r="K2118" s="2" t="str">
        <f aca="false">IF(J2118&lt;11,"Pagi",IF(J2118&lt;17,"Siang","Malam"))</f>
        <v>Malam</v>
      </c>
      <c r="L2118" s="2" t="n">
        <f aca="false">IF(A2118&lt;&gt;A2117,1,0)</f>
        <v>1</v>
      </c>
    </row>
    <row r="2119" customFormat="false" ht="15" hidden="false" customHeight="false" outlineLevel="0" collapsed="false">
      <c r="A2119" s="2" t="s">
        <v>1975</v>
      </c>
      <c r="B2119" s="13" t="n">
        <v>46292</v>
      </c>
      <c r="C2119" s="2" t="s">
        <v>81</v>
      </c>
      <c r="D2119" s="2" t="n">
        <v>1</v>
      </c>
      <c r="E2119" s="15" t="n">
        <v>0.756944444444444</v>
      </c>
      <c r="F2119" s="7" t="n">
        <v>15000</v>
      </c>
      <c r="G2119" s="7" t="n">
        <f aca="false">D2119*F2119</f>
        <v>15000</v>
      </c>
      <c r="H2119" s="2" t="str">
        <f aca="false">INDEX(Daftar_Menu!$B$2:$B$13,MATCH(C2119,Daftar_Menu!$A$2:$A$13,0))</f>
        <v>Makanan</v>
      </c>
      <c r="I2119" s="2" t="str">
        <f aca="false">CHOOSE(WEEKDAY(B2119,2),"Senin","Selasa","Rabu","Kamis","Jumat","Sabtu","Minggu")</f>
        <v>Minggu</v>
      </c>
      <c r="J2119" s="2" t="n">
        <f aca="false">HOUR(E2119)</f>
        <v>18</v>
      </c>
      <c r="K2119" s="2" t="str">
        <f aca="false">IF(J2119&lt;11,"Pagi",IF(J2119&lt;17,"Siang","Malam"))</f>
        <v>Malam</v>
      </c>
      <c r="L2119" s="2" t="n">
        <f aca="false">IF(A2119&lt;&gt;A2118,1,0)</f>
        <v>1</v>
      </c>
    </row>
    <row r="2120" customFormat="false" ht="15" hidden="false" customHeight="false" outlineLevel="0" collapsed="false">
      <c r="A2120" s="2" t="s">
        <v>1976</v>
      </c>
      <c r="B2120" s="13" t="n">
        <v>46292</v>
      </c>
      <c r="C2120" s="2" t="s">
        <v>186</v>
      </c>
      <c r="D2120" s="2" t="n">
        <v>1</v>
      </c>
      <c r="E2120" s="15" t="n">
        <v>0.766666666666667</v>
      </c>
      <c r="F2120" s="7" t="n">
        <v>7000</v>
      </c>
      <c r="G2120" s="7" t="n">
        <f aca="false">D2120*F2120</f>
        <v>7000</v>
      </c>
      <c r="H2120" s="2" t="str">
        <f aca="false">INDEX(Daftar_Menu!$B$2:$B$13,MATCH(C2120,Daftar_Menu!$A$2:$A$13,0))</f>
        <v>Minuman</v>
      </c>
      <c r="I2120" s="2" t="str">
        <f aca="false">CHOOSE(WEEKDAY(B2120,2),"Senin","Selasa","Rabu","Kamis","Jumat","Sabtu","Minggu")</f>
        <v>Minggu</v>
      </c>
      <c r="J2120" s="2" t="n">
        <f aca="false">HOUR(E2120)</f>
        <v>18</v>
      </c>
      <c r="K2120" s="2" t="str">
        <f aca="false">IF(J2120&lt;11,"Pagi",IF(J2120&lt;17,"Siang","Malam"))</f>
        <v>Malam</v>
      </c>
      <c r="L2120" s="2" t="n">
        <f aca="false">IF(A2120&lt;&gt;A2119,1,0)</f>
        <v>1</v>
      </c>
    </row>
    <row r="2121" customFormat="false" ht="15" hidden="false" customHeight="false" outlineLevel="0" collapsed="false">
      <c r="A2121" s="2" t="s">
        <v>1977</v>
      </c>
      <c r="B2121" s="13" t="n">
        <v>46292</v>
      </c>
      <c r="C2121" s="2" t="s">
        <v>84</v>
      </c>
      <c r="D2121" s="2" t="n">
        <v>1</v>
      </c>
      <c r="E2121" s="15" t="n">
        <v>0.767361111111111</v>
      </c>
      <c r="F2121" s="7" t="n">
        <v>5000</v>
      </c>
      <c r="G2121" s="7" t="n">
        <f aca="false">D2121*F2121</f>
        <v>5000</v>
      </c>
      <c r="H2121" s="2" t="str">
        <f aca="false">INDEX(Daftar_Menu!$B$2:$B$13,MATCH(C2121,Daftar_Menu!$A$2:$A$13,0))</f>
        <v>Minuman</v>
      </c>
      <c r="I2121" s="2" t="str">
        <f aca="false">CHOOSE(WEEKDAY(B2121,2),"Senin","Selasa","Rabu","Kamis","Jumat","Sabtu","Minggu")</f>
        <v>Minggu</v>
      </c>
      <c r="J2121" s="2" t="n">
        <f aca="false">HOUR(E2121)</f>
        <v>18</v>
      </c>
      <c r="K2121" s="2" t="str">
        <f aca="false">IF(J2121&lt;11,"Pagi",IF(J2121&lt;17,"Siang","Malam"))</f>
        <v>Malam</v>
      </c>
      <c r="L2121" s="2" t="n">
        <f aca="false">IF(A2121&lt;&gt;A2120,1,0)</f>
        <v>1</v>
      </c>
    </row>
    <row r="2122" customFormat="false" ht="15" hidden="false" customHeight="false" outlineLevel="0" collapsed="false">
      <c r="A2122" s="2" t="s">
        <v>1977</v>
      </c>
      <c r="B2122" s="13" t="n">
        <v>46292</v>
      </c>
      <c r="C2122" s="2" t="s">
        <v>82</v>
      </c>
      <c r="D2122" s="2" t="n">
        <v>1</v>
      </c>
      <c r="E2122" s="15" t="n">
        <v>0.767361111111111</v>
      </c>
      <c r="F2122" s="7" t="n">
        <v>13000</v>
      </c>
      <c r="G2122" s="7" t="n">
        <f aca="false">D2122*F2122</f>
        <v>13000</v>
      </c>
      <c r="H2122" s="2" t="str">
        <f aca="false">INDEX(Daftar_Menu!$B$2:$B$13,MATCH(C2122,Daftar_Menu!$A$2:$A$13,0))</f>
        <v>Makanan</v>
      </c>
      <c r="I2122" s="2" t="str">
        <f aca="false">CHOOSE(WEEKDAY(B2122,2),"Senin","Selasa","Rabu","Kamis","Jumat","Sabtu","Minggu")</f>
        <v>Minggu</v>
      </c>
      <c r="J2122" s="2" t="n">
        <f aca="false">HOUR(E2122)</f>
        <v>18</v>
      </c>
      <c r="K2122" s="2" t="str">
        <f aca="false">IF(J2122&lt;11,"Pagi",IF(J2122&lt;17,"Siang","Malam"))</f>
        <v>Malam</v>
      </c>
      <c r="L2122" s="2" t="n">
        <f aca="false">IF(A2122&lt;&gt;A2121,1,0)</f>
        <v>0</v>
      </c>
    </row>
    <row r="2123" customFormat="false" ht="15" hidden="false" customHeight="false" outlineLevel="0" collapsed="false">
      <c r="A2123" s="2" t="s">
        <v>1977</v>
      </c>
      <c r="B2123" s="13" t="n">
        <v>46292</v>
      </c>
      <c r="C2123" s="2" t="s">
        <v>108</v>
      </c>
      <c r="D2123" s="2" t="n">
        <v>1</v>
      </c>
      <c r="E2123" s="15" t="n">
        <v>0.767361111111111</v>
      </c>
      <c r="F2123" s="7" t="n">
        <v>20000</v>
      </c>
      <c r="G2123" s="7" t="n">
        <f aca="false">D2123*F2123</f>
        <v>20000</v>
      </c>
      <c r="H2123" s="2" t="str">
        <f aca="false">INDEX(Daftar_Menu!$B$2:$B$13,MATCH(C2123,Daftar_Menu!$A$2:$A$13,0))</f>
        <v>Makanan</v>
      </c>
      <c r="I2123" s="2" t="str">
        <f aca="false">CHOOSE(WEEKDAY(B2123,2),"Senin","Selasa","Rabu","Kamis","Jumat","Sabtu","Minggu")</f>
        <v>Minggu</v>
      </c>
      <c r="J2123" s="2" t="n">
        <f aca="false">HOUR(E2123)</f>
        <v>18</v>
      </c>
      <c r="K2123" s="2" t="str">
        <f aca="false">IF(J2123&lt;11,"Pagi",IF(J2123&lt;17,"Siang","Malam"))</f>
        <v>Malam</v>
      </c>
      <c r="L2123" s="2" t="n">
        <f aca="false">IF(A2123&lt;&gt;A2122,1,0)</f>
        <v>0</v>
      </c>
    </row>
    <row r="2124" customFormat="false" ht="15" hidden="false" customHeight="false" outlineLevel="0" collapsed="false">
      <c r="A2124" s="2" t="s">
        <v>1978</v>
      </c>
      <c r="B2124" s="13" t="n">
        <v>46292</v>
      </c>
      <c r="C2124" s="2" t="s">
        <v>126</v>
      </c>
      <c r="D2124" s="2" t="n">
        <v>1</v>
      </c>
      <c r="E2124" s="15" t="n">
        <v>0.769444444444445</v>
      </c>
      <c r="F2124" s="7" t="n">
        <v>3000</v>
      </c>
      <c r="G2124" s="7" t="n">
        <f aca="false">D2124*F2124</f>
        <v>3000</v>
      </c>
      <c r="H2124" s="2" t="str">
        <f aca="false">INDEX(Daftar_Menu!$B$2:$B$13,MATCH(C2124,Daftar_Menu!$A$2:$A$13,0))</f>
        <v>Minuman</v>
      </c>
      <c r="I2124" s="2" t="str">
        <f aca="false">CHOOSE(WEEKDAY(B2124,2),"Senin","Selasa","Rabu","Kamis","Jumat","Sabtu","Minggu")</f>
        <v>Minggu</v>
      </c>
      <c r="J2124" s="2" t="n">
        <f aca="false">HOUR(E2124)</f>
        <v>18</v>
      </c>
      <c r="K2124" s="2" t="str">
        <f aca="false">IF(J2124&lt;11,"Pagi",IF(J2124&lt;17,"Siang","Malam"))</f>
        <v>Malam</v>
      </c>
      <c r="L2124" s="2" t="n">
        <f aca="false">IF(A2124&lt;&gt;A2123,1,0)</f>
        <v>1</v>
      </c>
    </row>
    <row r="2125" customFormat="false" ht="15" hidden="false" customHeight="false" outlineLevel="0" collapsed="false">
      <c r="A2125" s="2" t="s">
        <v>1978</v>
      </c>
      <c r="B2125" s="13" t="n">
        <v>46292</v>
      </c>
      <c r="C2125" s="2" t="s">
        <v>84</v>
      </c>
      <c r="D2125" s="2" t="n">
        <v>1</v>
      </c>
      <c r="E2125" s="15" t="n">
        <v>0.769444444444445</v>
      </c>
      <c r="F2125" s="7" t="n">
        <v>5000</v>
      </c>
      <c r="G2125" s="7" t="n">
        <f aca="false">D2125*F2125</f>
        <v>5000</v>
      </c>
      <c r="H2125" s="2" t="str">
        <f aca="false">INDEX(Daftar_Menu!$B$2:$B$13,MATCH(C2125,Daftar_Menu!$A$2:$A$13,0))</f>
        <v>Minuman</v>
      </c>
      <c r="I2125" s="2" t="str">
        <f aca="false">CHOOSE(WEEKDAY(B2125,2),"Senin","Selasa","Rabu","Kamis","Jumat","Sabtu","Minggu")</f>
        <v>Minggu</v>
      </c>
      <c r="J2125" s="2" t="n">
        <f aca="false">HOUR(E2125)</f>
        <v>18</v>
      </c>
      <c r="K2125" s="2" t="str">
        <f aca="false">IF(J2125&lt;11,"Pagi",IF(J2125&lt;17,"Siang","Malam"))</f>
        <v>Malam</v>
      </c>
      <c r="L2125" s="2" t="n">
        <f aca="false">IF(A2125&lt;&gt;A2124,1,0)</f>
        <v>0</v>
      </c>
    </row>
    <row r="2126" customFormat="false" ht="15" hidden="false" customHeight="false" outlineLevel="0" collapsed="false">
      <c r="A2126" s="2" t="s">
        <v>1979</v>
      </c>
      <c r="B2126" s="13" t="n">
        <v>46292</v>
      </c>
      <c r="C2126" s="2" t="s">
        <v>79</v>
      </c>
      <c r="D2126" s="2" t="n">
        <v>1</v>
      </c>
      <c r="E2126" s="15" t="n">
        <v>0.772916666666667</v>
      </c>
      <c r="F2126" s="7" t="n">
        <v>16000</v>
      </c>
      <c r="G2126" s="7" t="n">
        <f aca="false">D2126*F2126</f>
        <v>16000</v>
      </c>
      <c r="H2126" s="2" t="str">
        <f aca="false">INDEX(Daftar_Menu!$B$2:$B$13,MATCH(C2126,Daftar_Menu!$A$2:$A$13,0))</f>
        <v>Makanan</v>
      </c>
      <c r="I2126" s="2" t="str">
        <f aca="false">CHOOSE(WEEKDAY(B2126,2),"Senin","Selasa","Rabu","Kamis","Jumat","Sabtu","Minggu")</f>
        <v>Minggu</v>
      </c>
      <c r="J2126" s="2" t="n">
        <f aca="false">HOUR(E2126)</f>
        <v>18</v>
      </c>
      <c r="K2126" s="2" t="str">
        <f aca="false">IF(J2126&lt;11,"Pagi",IF(J2126&lt;17,"Siang","Malam"))</f>
        <v>Malam</v>
      </c>
      <c r="L2126" s="2" t="n">
        <f aca="false">IF(A2126&lt;&gt;A2125,1,0)</f>
        <v>1</v>
      </c>
    </row>
    <row r="2127" customFormat="false" ht="15" hidden="false" customHeight="false" outlineLevel="0" collapsed="false">
      <c r="A2127" s="2" t="s">
        <v>1979</v>
      </c>
      <c r="B2127" s="13" t="n">
        <v>46292</v>
      </c>
      <c r="C2127" s="2" t="s">
        <v>84</v>
      </c>
      <c r="D2127" s="2" t="n">
        <v>1</v>
      </c>
      <c r="E2127" s="15" t="n">
        <v>0.772916666666667</v>
      </c>
      <c r="F2127" s="7" t="n">
        <v>5000</v>
      </c>
      <c r="G2127" s="7" t="n">
        <f aca="false">D2127*F2127</f>
        <v>5000</v>
      </c>
      <c r="H2127" s="2" t="str">
        <f aca="false">INDEX(Daftar_Menu!$B$2:$B$13,MATCH(C2127,Daftar_Menu!$A$2:$A$13,0))</f>
        <v>Minuman</v>
      </c>
      <c r="I2127" s="2" t="str">
        <f aca="false">CHOOSE(WEEKDAY(B2127,2),"Senin","Selasa","Rabu","Kamis","Jumat","Sabtu","Minggu")</f>
        <v>Minggu</v>
      </c>
      <c r="J2127" s="2" t="n">
        <f aca="false">HOUR(E2127)</f>
        <v>18</v>
      </c>
      <c r="K2127" s="2" t="str">
        <f aca="false">IF(J2127&lt;11,"Pagi",IF(J2127&lt;17,"Siang","Malam"))</f>
        <v>Malam</v>
      </c>
      <c r="L2127" s="2" t="n">
        <f aca="false">IF(A2127&lt;&gt;A2126,1,0)</f>
        <v>0</v>
      </c>
    </row>
    <row r="2128" customFormat="false" ht="15" hidden="false" customHeight="false" outlineLevel="0" collapsed="false">
      <c r="A2128" s="2" t="s">
        <v>1981</v>
      </c>
      <c r="B2128" s="13" t="n">
        <v>46292</v>
      </c>
      <c r="C2128" s="2" t="s">
        <v>81</v>
      </c>
      <c r="D2128" s="2" t="n">
        <v>2</v>
      </c>
      <c r="E2128" s="15" t="n">
        <v>0.779861111111111</v>
      </c>
      <c r="F2128" s="7" t="n">
        <v>15000</v>
      </c>
      <c r="G2128" s="7" t="n">
        <f aca="false">D2128*F2128</f>
        <v>30000</v>
      </c>
      <c r="H2128" s="2" t="str">
        <f aca="false">INDEX(Daftar_Menu!$B$2:$B$13,MATCH(C2128,Daftar_Menu!$A$2:$A$13,0))</f>
        <v>Makanan</v>
      </c>
      <c r="I2128" s="2" t="str">
        <f aca="false">CHOOSE(WEEKDAY(B2128,2),"Senin","Selasa","Rabu","Kamis","Jumat","Sabtu","Minggu")</f>
        <v>Minggu</v>
      </c>
      <c r="J2128" s="2" t="n">
        <f aca="false">HOUR(E2128)</f>
        <v>18</v>
      </c>
      <c r="K2128" s="2" t="str">
        <f aca="false">IF(J2128&lt;11,"Pagi",IF(J2128&lt;17,"Siang","Malam"))</f>
        <v>Malam</v>
      </c>
      <c r="L2128" s="2" t="n">
        <f aca="false">IF(A2128&lt;&gt;A2127,1,0)</f>
        <v>1</v>
      </c>
    </row>
    <row r="2129" customFormat="false" ht="15" hidden="false" customHeight="false" outlineLevel="0" collapsed="false">
      <c r="A2129" s="2" t="s">
        <v>1981</v>
      </c>
      <c r="B2129" s="13" t="n">
        <v>46292</v>
      </c>
      <c r="C2129" s="2" t="s">
        <v>92</v>
      </c>
      <c r="D2129" s="2" t="n">
        <v>2</v>
      </c>
      <c r="E2129" s="15" t="n">
        <v>0.779861111111111</v>
      </c>
      <c r="F2129" s="7" t="n">
        <v>4000</v>
      </c>
      <c r="G2129" s="7" t="n">
        <f aca="false">D2129*F2129</f>
        <v>8000</v>
      </c>
      <c r="H2129" s="2" t="str">
        <f aca="false">INDEX(Daftar_Menu!$B$2:$B$13,MATCH(C2129,Daftar_Menu!$A$2:$A$13,0))</f>
        <v>Minuman</v>
      </c>
      <c r="I2129" s="2" t="str">
        <f aca="false">CHOOSE(WEEKDAY(B2129,2),"Senin","Selasa","Rabu","Kamis","Jumat","Sabtu","Minggu")</f>
        <v>Minggu</v>
      </c>
      <c r="J2129" s="2" t="n">
        <f aca="false">HOUR(E2129)</f>
        <v>18</v>
      </c>
      <c r="K2129" s="2" t="str">
        <f aca="false">IF(J2129&lt;11,"Pagi",IF(J2129&lt;17,"Siang","Malam"))</f>
        <v>Malam</v>
      </c>
      <c r="L2129" s="2" t="n">
        <f aca="false">IF(A2129&lt;&gt;A2128,1,0)</f>
        <v>0</v>
      </c>
    </row>
    <row r="2130" customFormat="false" ht="15" hidden="false" customHeight="false" outlineLevel="0" collapsed="false">
      <c r="A2130" s="2" t="s">
        <v>1981</v>
      </c>
      <c r="B2130" s="13" t="n">
        <v>46292</v>
      </c>
      <c r="C2130" s="2" t="s">
        <v>84</v>
      </c>
      <c r="D2130" s="2" t="n">
        <v>1</v>
      </c>
      <c r="E2130" s="15" t="n">
        <v>0.779861111111111</v>
      </c>
      <c r="F2130" s="7" t="n">
        <v>5000</v>
      </c>
      <c r="G2130" s="7" t="n">
        <f aca="false">D2130*F2130</f>
        <v>5000</v>
      </c>
      <c r="H2130" s="2" t="str">
        <f aca="false">INDEX(Daftar_Menu!$B$2:$B$13,MATCH(C2130,Daftar_Menu!$A$2:$A$13,0))</f>
        <v>Minuman</v>
      </c>
      <c r="I2130" s="2" t="str">
        <f aca="false">CHOOSE(WEEKDAY(B2130,2),"Senin","Selasa","Rabu","Kamis","Jumat","Sabtu","Minggu")</f>
        <v>Minggu</v>
      </c>
      <c r="J2130" s="2" t="n">
        <f aca="false">HOUR(E2130)</f>
        <v>18</v>
      </c>
      <c r="K2130" s="2" t="str">
        <f aca="false">IF(J2130&lt;11,"Pagi",IF(J2130&lt;17,"Siang","Malam"))</f>
        <v>Malam</v>
      </c>
      <c r="L2130" s="2" t="n">
        <f aca="false">IF(A2130&lt;&gt;A2129,1,0)</f>
        <v>0</v>
      </c>
    </row>
    <row r="2131" customFormat="false" ht="15" hidden="false" customHeight="false" outlineLevel="0" collapsed="false">
      <c r="A2131" s="2" t="s">
        <v>1982</v>
      </c>
      <c r="B2131" s="13" t="n">
        <v>46292</v>
      </c>
      <c r="C2131" s="2" t="s">
        <v>186</v>
      </c>
      <c r="D2131" s="2" t="n">
        <v>2</v>
      </c>
      <c r="E2131" s="15" t="n">
        <v>0.780555555555556</v>
      </c>
      <c r="F2131" s="7" t="n">
        <v>7000</v>
      </c>
      <c r="G2131" s="7" t="n">
        <f aca="false">D2131*F2131</f>
        <v>14000</v>
      </c>
      <c r="H2131" s="2" t="str">
        <f aca="false">INDEX(Daftar_Menu!$B$2:$B$13,MATCH(C2131,Daftar_Menu!$A$2:$A$13,0))</f>
        <v>Minuman</v>
      </c>
      <c r="I2131" s="2" t="str">
        <f aca="false">CHOOSE(WEEKDAY(B2131,2),"Senin","Selasa","Rabu","Kamis","Jumat","Sabtu","Minggu")</f>
        <v>Minggu</v>
      </c>
      <c r="J2131" s="2" t="n">
        <f aca="false">HOUR(E2131)</f>
        <v>18</v>
      </c>
      <c r="K2131" s="2" t="str">
        <f aca="false">IF(J2131&lt;11,"Pagi",IF(J2131&lt;17,"Siang","Malam"))</f>
        <v>Malam</v>
      </c>
      <c r="L2131" s="2" t="n">
        <f aca="false">IF(A2131&lt;&gt;A2130,1,0)</f>
        <v>1</v>
      </c>
    </row>
    <row r="2132" customFormat="false" ht="15" hidden="false" customHeight="false" outlineLevel="0" collapsed="false">
      <c r="A2132" s="2" t="s">
        <v>1983</v>
      </c>
      <c r="B2132" s="13" t="n">
        <v>46292</v>
      </c>
      <c r="C2132" s="2" t="s">
        <v>108</v>
      </c>
      <c r="D2132" s="2" t="n">
        <v>1</v>
      </c>
      <c r="E2132" s="15" t="n">
        <v>0.790972222222222</v>
      </c>
      <c r="F2132" s="7" t="n">
        <v>20000</v>
      </c>
      <c r="G2132" s="7" t="n">
        <f aca="false">D2132*F2132</f>
        <v>20000</v>
      </c>
      <c r="H2132" s="2" t="str">
        <f aca="false">INDEX(Daftar_Menu!$B$2:$B$13,MATCH(C2132,Daftar_Menu!$A$2:$A$13,0))</f>
        <v>Makanan</v>
      </c>
      <c r="I2132" s="2" t="str">
        <f aca="false">CHOOSE(WEEKDAY(B2132,2),"Senin","Selasa","Rabu","Kamis","Jumat","Sabtu","Minggu")</f>
        <v>Minggu</v>
      </c>
      <c r="J2132" s="2" t="n">
        <f aca="false">HOUR(E2132)</f>
        <v>18</v>
      </c>
      <c r="K2132" s="2" t="str">
        <f aca="false">IF(J2132&lt;11,"Pagi",IF(J2132&lt;17,"Siang","Malam"))</f>
        <v>Malam</v>
      </c>
      <c r="L2132" s="2" t="n">
        <f aca="false">IF(A2132&lt;&gt;A2131,1,0)</f>
        <v>1</v>
      </c>
    </row>
    <row r="2133" customFormat="false" ht="15" hidden="false" customHeight="false" outlineLevel="0" collapsed="false">
      <c r="A2133" s="2" t="s">
        <v>1983</v>
      </c>
      <c r="B2133" s="13" t="n">
        <v>46292</v>
      </c>
      <c r="C2133" s="2" t="s">
        <v>186</v>
      </c>
      <c r="D2133" s="2" t="n">
        <v>2</v>
      </c>
      <c r="E2133" s="15" t="n">
        <v>0.790972222222222</v>
      </c>
      <c r="F2133" s="7" t="n">
        <v>7000</v>
      </c>
      <c r="G2133" s="7" t="n">
        <f aca="false">D2133*F2133</f>
        <v>14000</v>
      </c>
      <c r="H2133" s="2" t="str">
        <f aca="false">INDEX(Daftar_Menu!$B$2:$B$13,MATCH(C2133,Daftar_Menu!$A$2:$A$13,0))</f>
        <v>Minuman</v>
      </c>
      <c r="I2133" s="2" t="str">
        <f aca="false">CHOOSE(WEEKDAY(B2133,2),"Senin","Selasa","Rabu","Kamis","Jumat","Sabtu","Minggu")</f>
        <v>Minggu</v>
      </c>
      <c r="J2133" s="2" t="n">
        <f aca="false">HOUR(E2133)</f>
        <v>18</v>
      </c>
      <c r="K2133" s="2" t="str">
        <f aca="false">IF(J2133&lt;11,"Pagi",IF(J2133&lt;17,"Siang","Malam"))</f>
        <v>Malam</v>
      </c>
      <c r="L2133" s="2" t="n">
        <f aca="false">IF(A2133&lt;&gt;A2132,1,0)</f>
        <v>0</v>
      </c>
    </row>
    <row r="2134" customFormat="false" ht="15" hidden="false" customHeight="false" outlineLevel="0" collapsed="false">
      <c r="A2134" s="2" t="s">
        <v>1984</v>
      </c>
      <c r="B2134" s="13" t="n">
        <v>46292</v>
      </c>
      <c r="C2134" s="2" t="s">
        <v>84</v>
      </c>
      <c r="D2134" s="2" t="n">
        <v>1</v>
      </c>
      <c r="E2134" s="15" t="n">
        <v>0.792361111111111</v>
      </c>
      <c r="F2134" s="7" t="n">
        <v>5000</v>
      </c>
      <c r="G2134" s="7" t="n">
        <f aca="false">D2134*F2134</f>
        <v>5000</v>
      </c>
      <c r="H2134" s="2" t="str">
        <f aca="false">INDEX(Daftar_Menu!$B$2:$B$13,MATCH(C2134,Daftar_Menu!$A$2:$A$13,0))</f>
        <v>Minuman</v>
      </c>
      <c r="I2134" s="2" t="str">
        <f aca="false">CHOOSE(WEEKDAY(B2134,2),"Senin","Selasa","Rabu","Kamis","Jumat","Sabtu","Minggu")</f>
        <v>Minggu</v>
      </c>
      <c r="J2134" s="2" t="n">
        <f aca="false">HOUR(E2134)</f>
        <v>19</v>
      </c>
      <c r="K2134" s="2" t="str">
        <f aca="false">IF(J2134&lt;11,"Pagi",IF(J2134&lt;17,"Siang","Malam"))</f>
        <v>Malam</v>
      </c>
      <c r="L2134" s="2" t="n">
        <f aca="false">IF(A2134&lt;&gt;A2133,1,0)</f>
        <v>1</v>
      </c>
    </row>
    <row r="2135" customFormat="false" ht="15" hidden="false" customHeight="false" outlineLevel="0" collapsed="false">
      <c r="A2135" s="2" t="s">
        <v>1985</v>
      </c>
      <c r="B2135" s="13" t="n">
        <v>46292</v>
      </c>
      <c r="C2135" s="2" t="s">
        <v>126</v>
      </c>
      <c r="D2135" s="2" t="n">
        <v>1</v>
      </c>
      <c r="E2135" s="15" t="n">
        <v>0.797916666666667</v>
      </c>
      <c r="F2135" s="7" t="n">
        <v>3000</v>
      </c>
      <c r="G2135" s="7" t="n">
        <f aca="false">D2135*F2135</f>
        <v>3000</v>
      </c>
      <c r="H2135" s="2" t="str">
        <f aca="false">INDEX(Daftar_Menu!$B$2:$B$13,MATCH(C2135,Daftar_Menu!$A$2:$A$13,0))</f>
        <v>Minuman</v>
      </c>
      <c r="I2135" s="2" t="str">
        <f aca="false">CHOOSE(WEEKDAY(B2135,2),"Senin","Selasa","Rabu","Kamis","Jumat","Sabtu","Minggu")</f>
        <v>Minggu</v>
      </c>
      <c r="J2135" s="2" t="n">
        <f aca="false">HOUR(E2135)</f>
        <v>19</v>
      </c>
      <c r="K2135" s="2" t="str">
        <f aca="false">IF(J2135&lt;11,"Pagi",IF(J2135&lt;17,"Siang","Malam"))</f>
        <v>Malam</v>
      </c>
      <c r="L2135" s="2" t="n">
        <f aca="false">IF(A2135&lt;&gt;A2134,1,0)</f>
        <v>1</v>
      </c>
    </row>
    <row r="2136" customFormat="false" ht="15" hidden="false" customHeight="false" outlineLevel="0" collapsed="false">
      <c r="A2136" s="2" t="s">
        <v>1985</v>
      </c>
      <c r="B2136" s="13" t="n">
        <v>46292</v>
      </c>
      <c r="C2136" s="2" t="s">
        <v>89</v>
      </c>
      <c r="D2136" s="2" t="n">
        <v>1</v>
      </c>
      <c r="E2136" s="15" t="n">
        <v>0.797916666666667</v>
      </c>
      <c r="F2136" s="7" t="n">
        <v>14000</v>
      </c>
      <c r="G2136" s="7" t="n">
        <f aca="false">D2136*F2136</f>
        <v>14000</v>
      </c>
      <c r="H2136" s="2" t="str">
        <f aca="false">INDEX(Daftar_Menu!$B$2:$B$13,MATCH(C2136,Daftar_Menu!$A$2:$A$13,0))</f>
        <v>Makanan</v>
      </c>
      <c r="I2136" s="2" t="str">
        <f aca="false">CHOOSE(WEEKDAY(B2136,2),"Senin","Selasa","Rabu","Kamis","Jumat","Sabtu","Minggu")</f>
        <v>Minggu</v>
      </c>
      <c r="J2136" s="2" t="n">
        <f aca="false">HOUR(E2136)</f>
        <v>19</v>
      </c>
      <c r="K2136" s="2" t="str">
        <f aca="false">IF(J2136&lt;11,"Pagi",IF(J2136&lt;17,"Siang","Malam"))</f>
        <v>Malam</v>
      </c>
      <c r="L2136" s="2" t="n">
        <f aca="false">IF(A2136&lt;&gt;A2135,1,0)</f>
        <v>0</v>
      </c>
    </row>
    <row r="2137" customFormat="false" ht="15" hidden="false" customHeight="false" outlineLevel="0" collapsed="false">
      <c r="A2137" s="2" t="s">
        <v>1986</v>
      </c>
      <c r="B2137" s="13" t="n">
        <v>46292</v>
      </c>
      <c r="C2137" s="2" t="s">
        <v>101</v>
      </c>
      <c r="D2137" s="2" t="n">
        <v>2</v>
      </c>
      <c r="E2137" s="15" t="n">
        <v>0.799305555555556</v>
      </c>
      <c r="F2137" s="7" t="n">
        <v>18000</v>
      </c>
      <c r="G2137" s="7" t="n">
        <f aca="false">D2137*F2137</f>
        <v>36000</v>
      </c>
      <c r="H2137" s="2" t="str">
        <f aca="false">INDEX(Daftar_Menu!$B$2:$B$13,MATCH(C2137,Daftar_Menu!$A$2:$A$13,0))</f>
        <v>Makanan</v>
      </c>
      <c r="I2137" s="2" t="str">
        <f aca="false">CHOOSE(WEEKDAY(B2137,2),"Senin","Selasa","Rabu","Kamis","Jumat","Sabtu","Minggu")</f>
        <v>Minggu</v>
      </c>
      <c r="J2137" s="2" t="n">
        <f aca="false">HOUR(E2137)</f>
        <v>19</v>
      </c>
      <c r="K2137" s="2" t="str">
        <f aca="false">IF(J2137&lt;11,"Pagi",IF(J2137&lt;17,"Siang","Malam"))</f>
        <v>Malam</v>
      </c>
      <c r="L2137" s="2" t="n">
        <f aca="false">IF(A2137&lt;&gt;A2136,1,0)</f>
        <v>1</v>
      </c>
    </row>
    <row r="2138" customFormat="false" ht="15" hidden="false" customHeight="false" outlineLevel="0" collapsed="false">
      <c r="A2138" s="2" t="s">
        <v>1987</v>
      </c>
      <c r="B2138" s="13" t="n">
        <v>46292</v>
      </c>
      <c r="C2138" s="2" t="s">
        <v>81</v>
      </c>
      <c r="D2138" s="2" t="n">
        <v>2</v>
      </c>
      <c r="E2138" s="15" t="n">
        <v>0.801388888888889</v>
      </c>
      <c r="F2138" s="7" t="n">
        <v>15000</v>
      </c>
      <c r="G2138" s="7" t="n">
        <f aca="false">D2138*F2138</f>
        <v>30000</v>
      </c>
      <c r="H2138" s="2" t="str">
        <f aca="false">INDEX(Daftar_Menu!$B$2:$B$13,MATCH(C2138,Daftar_Menu!$A$2:$A$13,0))</f>
        <v>Makanan</v>
      </c>
      <c r="I2138" s="2" t="str">
        <f aca="false">CHOOSE(WEEKDAY(B2138,2),"Senin","Selasa","Rabu","Kamis","Jumat","Sabtu","Minggu")</f>
        <v>Minggu</v>
      </c>
      <c r="J2138" s="2" t="n">
        <f aca="false">HOUR(E2138)</f>
        <v>19</v>
      </c>
      <c r="K2138" s="2" t="str">
        <f aca="false">IF(J2138&lt;11,"Pagi",IF(J2138&lt;17,"Siang","Malam"))</f>
        <v>Malam</v>
      </c>
      <c r="L2138" s="2" t="n">
        <f aca="false">IF(A2138&lt;&gt;A2137,1,0)</f>
        <v>1</v>
      </c>
    </row>
    <row r="2139" customFormat="false" ht="15" hidden="false" customHeight="false" outlineLevel="0" collapsed="false">
      <c r="A2139" s="2" t="s">
        <v>1987</v>
      </c>
      <c r="B2139" s="13" t="n">
        <v>46292</v>
      </c>
      <c r="C2139" s="2" t="s">
        <v>132</v>
      </c>
      <c r="D2139" s="2" t="n">
        <v>1</v>
      </c>
      <c r="E2139" s="15" t="n">
        <v>0.801388888888889</v>
      </c>
      <c r="F2139" s="7" t="n">
        <v>15000</v>
      </c>
      <c r="G2139" s="7" t="n">
        <f aca="false">D2139*F2139</f>
        <v>15000</v>
      </c>
      <c r="H2139" s="2" t="str">
        <f aca="false">INDEX(Daftar_Menu!$B$2:$B$13,MATCH(C2139,Daftar_Menu!$A$2:$A$13,0))</f>
        <v>Makanan</v>
      </c>
      <c r="I2139" s="2" t="str">
        <f aca="false">CHOOSE(WEEKDAY(B2139,2),"Senin","Selasa","Rabu","Kamis","Jumat","Sabtu","Minggu")</f>
        <v>Minggu</v>
      </c>
      <c r="J2139" s="2" t="n">
        <f aca="false">HOUR(E2139)</f>
        <v>19</v>
      </c>
      <c r="K2139" s="2" t="str">
        <f aca="false">IF(J2139&lt;11,"Pagi",IF(J2139&lt;17,"Siang","Malam"))</f>
        <v>Malam</v>
      </c>
      <c r="L2139" s="2" t="n">
        <f aca="false">IF(A2139&lt;&gt;A2138,1,0)</f>
        <v>0</v>
      </c>
    </row>
    <row r="2140" customFormat="false" ht="15" hidden="false" customHeight="false" outlineLevel="0" collapsed="false">
      <c r="A2140" s="2" t="s">
        <v>1987</v>
      </c>
      <c r="B2140" s="13" t="n">
        <v>46292</v>
      </c>
      <c r="C2140" s="2" t="s">
        <v>112</v>
      </c>
      <c r="D2140" s="2" t="n">
        <v>1</v>
      </c>
      <c r="E2140" s="15" t="n">
        <v>0.801388888888889</v>
      </c>
      <c r="F2140" s="7" t="n">
        <v>10000</v>
      </c>
      <c r="G2140" s="7" t="n">
        <f aca="false">D2140*F2140</f>
        <v>10000</v>
      </c>
      <c r="H2140" s="2" t="str">
        <f aca="false">INDEX(Daftar_Menu!$B$2:$B$13,MATCH(C2140,Daftar_Menu!$A$2:$A$13,0))</f>
        <v>Minuman</v>
      </c>
      <c r="I2140" s="2" t="str">
        <f aca="false">CHOOSE(WEEKDAY(B2140,2),"Senin","Selasa","Rabu","Kamis","Jumat","Sabtu","Minggu")</f>
        <v>Minggu</v>
      </c>
      <c r="J2140" s="2" t="n">
        <f aca="false">HOUR(E2140)</f>
        <v>19</v>
      </c>
      <c r="K2140" s="2" t="str">
        <f aca="false">IF(J2140&lt;11,"Pagi",IF(J2140&lt;17,"Siang","Malam"))</f>
        <v>Malam</v>
      </c>
      <c r="L2140" s="2" t="n">
        <f aca="false">IF(A2140&lt;&gt;A2139,1,0)</f>
        <v>0</v>
      </c>
    </row>
    <row r="2141" customFormat="false" ht="15" hidden="false" customHeight="false" outlineLevel="0" collapsed="false">
      <c r="A2141" s="2" t="s">
        <v>1988</v>
      </c>
      <c r="B2141" s="13" t="n">
        <v>46292</v>
      </c>
      <c r="C2141" s="2" t="s">
        <v>84</v>
      </c>
      <c r="D2141" s="2" t="n">
        <v>1</v>
      </c>
      <c r="E2141" s="15" t="n">
        <v>0.807638888888889</v>
      </c>
      <c r="F2141" s="7" t="n">
        <v>5000</v>
      </c>
      <c r="G2141" s="7" t="n">
        <f aca="false">D2141*F2141</f>
        <v>5000</v>
      </c>
      <c r="H2141" s="2" t="str">
        <f aca="false">INDEX(Daftar_Menu!$B$2:$B$13,MATCH(C2141,Daftar_Menu!$A$2:$A$13,0))</f>
        <v>Minuman</v>
      </c>
      <c r="I2141" s="2" t="str">
        <f aca="false">CHOOSE(WEEKDAY(B2141,2),"Senin","Selasa","Rabu","Kamis","Jumat","Sabtu","Minggu")</f>
        <v>Minggu</v>
      </c>
      <c r="J2141" s="2" t="n">
        <f aca="false">HOUR(E2141)</f>
        <v>19</v>
      </c>
      <c r="K2141" s="2" t="str">
        <f aca="false">IF(J2141&lt;11,"Pagi",IF(J2141&lt;17,"Siang","Malam"))</f>
        <v>Malam</v>
      </c>
      <c r="L2141" s="2" t="n">
        <f aca="false">IF(A2141&lt;&gt;A2140,1,0)</f>
        <v>1</v>
      </c>
    </row>
    <row r="2142" customFormat="false" ht="15" hidden="false" customHeight="false" outlineLevel="0" collapsed="false">
      <c r="A2142" s="2" t="s">
        <v>1989</v>
      </c>
      <c r="B2142" s="13" t="n">
        <v>46292</v>
      </c>
      <c r="C2142" s="2" t="s">
        <v>132</v>
      </c>
      <c r="D2142" s="2" t="n">
        <v>1</v>
      </c>
      <c r="E2142" s="15" t="n">
        <v>0.81875</v>
      </c>
      <c r="F2142" s="7" t="n">
        <v>15000</v>
      </c>
      <c r="G2142" s="7" t="n">
        <f aca="false">D2142*F2142</f>
        <v>15000</v>
      </c>
      <c r="H2142" s="2" t="str">
        <f aca="false">INDEX(Daftar_Menu!$B$2:$B$13,MATCH(C2142,Daftar_Menu!$A$2:$A$13,0))</f>
        <v>Makanan</v>
      </c>
      <c r="I2142" s="2" t="str">
        <f aca="false">CHOOSE(WEEKDAY(B2142,2),"Senin","Selasa","Rabu","Kamis","Jumat","Sabtu","Minggu")</f>
        <v>Minggu</v>
      </c>
      <c r="J2142" s="2" t="n">
        <f aca="false">HOUR(E2142)</f>
        <v>19</v>
      </c>
      <c r="K2142" s="2" t="str">
        <f aca="false">IF(J2142&lt;11,"Pagi",IF(J2142&lt;17,"Siang","Malam"))</f>
        <v>Malam</v>
      </c>
      <c r="L2142" s="2" t="n">
        <f aca="false">IF(A2142&lt;&gt;A2141,1,0)</f>
        <v>1</v>
      </c>
    </row>
    <row r="2143" customFormat="false" ht="15" hidden="false" customHeight="false" outlineLevel="0" collapsed="false">
      <c r="A2143" s="2" t="s">
        <v>1989</v>
      </c>
      <c r="B2143" s="13" t="n">
        <v>46292</v>
      </c>
      <c r="C2143" s="2" t="s">
        <v>84</v>
      </c>
      <c r="D2143" s="2" t="n">
        <v>1</v>
      </c>
      <c r="E2143" s="15" t="n">
        <v>0.81875</v>
      </c>
      <c r="F2143" s="7" t="n">
        <v>5000</v>
      </c>
      <c r="G2143" s="7" t="n">
        <f aca="false">D2143*F2143</f>
        <v>5000</v>
      </c>
      <c r="H2143" s="2" t="str">
        <f aca="false">INDEX(Daftar_Menu!$B$2:$B$13,MATCH(C2143,Daftar_Menu!$A$2:$A$13,0))</f>
        <v>Minuman</v>
      </c>
      <c r="I2143" s="2" t="str">
        <f aca="false">CHOOSE(WEEKDAY(B2143,2),"Senin","Selasa","Rabu","Kamis","Jumat","Sabtu","Minggu")</f>
        <v>Minggu</v>
      </c>
      <c r="J2143" s="2" t="n">
        <f aca="false">HOUR(E2143)</f>
        <v>19</v>
      </c>
      <c r="K2143" s="2" t="str">
        <f aca="false">IF(J2143&lt;11,"Pagi",IF(J2143&lt;17,"Siang","Malam"))</f>
        <v>Malam</v>
      </c>
      <c r="L2143" s="2" t="n">
        <f aca="false">IF(A2143&lt;&gt;A2142,1,0)</f>
        <v>0</v>
      </c>
    </row>
    <row r="2144" customFormat="false" ht="15" hidden="false" customHeight="false" outlineLevel="0" collapsed="false">
      <c r="A2144" s="2" t="s">
        <v>1989</v>
      </c>
      <c r="B2144" s="13" t="n">
        <v>46292</v>
      </c>
      <c r="C2144" s="2" t="s">
        <v>112</v>
      </c>
      <c r="D2144" s="2" t="n">
        <v>2</v>
      </c>
      <c r="E2144" s="15" t="n">
        <v>0.81875</v>
      </c>
      <c r="F2144" s="7" t="n">
        <v>10000</v>
      </c>
      <c r="G2144" s="7" t="n">
        <f aca="false">D2144*F2144</f>
        <v>20000</v>
      </c>
      <c r="H2144" s="2" t="str">
        <f aca="false">INDEX(Daftar_Menu!$B$2:$B$13,MATCH(C2144,Daftar_Menu!$A$2:$A$13,0))</f>
        <v>Minuman</v>
      </c>
      <c r="I2144" s="2" t="str">
        <f aca="false">CHOOSE(WEEKDAY(B2144,2),"Senin","Selasa","Rabu","Kamis","Jumat","Sabtu","Minggu")</f>
        <v>Minggu</v>
      </c>
      <c r="J2144" s="2" t="n">
        <f aca="false">HOUR(E2144)</f>
        <v>19</v>
      </c>
      <c r="K2144" s="2" t="str">
        <f aca="false">IF(J2144&lt;11,"Pagi",IF(J2144&lt;17,"Siang","Malam"))</f>
        <v>Malam</v>
      </c>
      <c r="L2144" s="2" t="n">
        <f aca="false">IF(A2144&lt;&gt;A2143,1,0)</f>
        <v>0</v>
      </c>
    </row>
    <row r="2145" customFormat="false" ht="15" hidden="false" customHeight="false" outlineLevel="0" collapsed="false">
      <c r="A2145" s="2" t="s">
        <v>1990</v>
      </c>
      <c r="B2145" s="13" t="n">
        <v>46292</v>
      </c>
      <c r="C2145" s="2" t="s">
        <v>84</v>
      </c>
      <c r="D2145" s="2" t="n">
        <v>1</v>
      </c>
      <c r="E2145" s="15" t="n">
        <v>0.821527777777778</v>
      </c>
      <c r="F2145" s="7" t="n">
        <v>5000</v>
      </c>
      <c r="G2145" s="7" t="n">
        <f aca="false">D2145*F2145</f>
        <v>5000</v>
      </c>
      <c r="H2145" s="2" t="str">
        <f aca="false">INDEX(Daftar_Menu!$B$2:$B$13,MATCH(C2145,Daftar_Menu!$A$2:$A$13,0))</f>
        <v>Minuman</v>
      </c>
      <c r="I2145" s="2" t="str">
        <f aca="false">CHOOSE(WEEKDAY(B2145,2),"Senin","Selasa","Rabu","Kamis","Jumat","Sabtu","Minggu")</f>
        <v>Minggu</v>
      </c>
      <c r="J2145" s="2" t="n">
        <f aca="false">HOUR(E2145)</f>
        <v>19</v>
      </c>
      <c r="K2145" s="2" t="str">
        <f aca="false">IF(J2145&lt;11,"Pagi",IF(J2145&lt;17,"Siang","Malam"))</f>
        <v>Malam</v>
      </c>
      <c r="L2145" s="2" t="n">
        <f aca="false">IF(A2145&lt;&gt;A2144,1,0)</f>
        <v>1</v>
      </c>
    </row>
    <row r="2146" customFormat="false" ht="15" hidden="false" customHeight="false" outlineLevel="0" collapsed="false">
      <c r="A2146" s="2" t="s">
        <v>1990</v>
      </c>
      <c r="B2146" s="13" t="n">
        <v>46292</v>
      </c>
      <c r="C2146" s="2" t="s">
        <v>89</v>
      </c>
      <c r="D2146" s="2" t="n">
        <v>1</v>
      </c>
      <c r="E2146" s="15" t="n">
        <v>0.821527777777778</v>
      </c>
      <c r="F2146" s="7" t="n">
        <v>14000</v>
      </c>
      <c r="G2146" s="7" t="n">
        <f aca="false">D2146*F2146</f>
        <v>14000</v>
      </c>
      <c r="H2146" s="2" t="str">
        <f aca="false">INDEX(Daftar_Menu!$B$2:$B$13,MATCH(C2146,Daftar_Menu!$A$2:$A$13,0))</f>
        <v>Makanan</v>
      </c>
      <c r="I2146" s="2" t="str">
        <f aca="false">CHOOSE(WEEKDAY(B2146,2),"Senin","Selasa","Rabu","Kamis","Jumat","Sabtu","Minggu")</f>
        <v>Minggu</v>
      </c>
      <c r="J2146" s="2" t="n">
        <f aca="false">HOUR(E2146)</f>
        <v>19</v>
      </c>
      <c r="K2146" s="2" t="str">
        <f aca="false">IF(J2146&lt;11,"Pagi",IF(J2146&lt;17,"Siang","Malam"))</f>
        <v>Malam</v>
      </c>
      <c r="L2146" s="2" t="n">
        <f aca="false">IF(A2146&lt;&gt;A2145,1,0)</f>
        <v>0</v>
      </c>
    </row>
    <row r="2147" customFormat="false" ht="15" hidden="false" customHeight="false" outlineLevel="0" collapsed="false">
      <c r="A2147" s="2" t="s">
        <v>1991</v>
      </c>
      <c r="B2147" s="13" t="n">
        <v>46292</v>
      </c>
      <c r="C2147" s="2" t="s">
        <v>81</v>
      </c>
      <c r="D2147" s="2" t="n">
        <v>1</v>
      </c>
      <c r="E2147" s="15" t="n">
        <v>0.83125</v>
      </c>
      <c r="F2147" s="7" t="n">
        <v>15000</v>
      </c>
      <c r="G2147" s="7" t="n">
        <f aca="false">D2147*F2147</f>
        <v>15000</v>
      </c>
      <c r="H2147" s="2" t="str">
        <f aca="false">INDEX(Daftar_Menu!$B$2:$B$13,MATCH(C2147,Daftar_Menu!$A$2:$A$13,0))</f>
        <v>Makanan</v>
      </c>
      <c r="I2147" s="2" t="str">
        <f aca="false">CHOOSE(WEEKDAY(B2147,2),"Senin","Selasa","Rabu","Kamis","Jumat","Sabtu","Minggu")</f>
        <v>Minggu</v>
      </c>
      <c r="J2147" s="2" t="n">
        <f aca="false">HOUR(E2147)</f>
        <v>19</v>
      </c>
      <c r="K2147" s="2" t="str">
        <f aca="false">IF(J2147&lt;11,"Pagi",IF(J2147&lt;17,"Siang","Malam"))</f>
        <v>Malam</v>
      </c>
      <c r="L2147" s="2" t="n">
        <f aca="false">IF(A2147&lt;&gt;A2146,1,0)</f>
        <v>1</v>
      </c>
    </row>
    <row r="2148" customFormat="false" ht="15" hidden="false" customHeight="false" outlineLevel="0" collapsed="false">
      <c r="A2148" s="2" t="s">
        <v>1992</v>
      </c>
      <c r="B2148" s="13" t="n">
        <v>46292</v>
      </c>
      <c r="C2148" s="2" t="s">
        <v>101</v>
      </c>
      <c r="D2148" s="2" t="n">
        <v>2</v>
      </c>
      <c r="E2148" s="15" t="n">
        <v>0.8375</v>
      </c>
      <c r="F2148" s="7" t="n">
        <v>18000</v>
      </c>
      <c r="G2148" s="7" t="n">
        <f aca="false">D2148*F2148</f>
        <v>36000</v>
      </c>
      <c r="H2148" s="2" t="str">
        <f aca="false">INDEX(Daftar_Menu!$B$2:$B$13,MATCH(C2148,Daftar_Menu!$A$2:$A$13,0))</f>
        <v>Makanan</v>
      </c>
      <c r="I2148" s="2" t="str">
        <f aca="false">CHOOSE(WEEKDAY(B2148,2),"Senin","Selasa","Rabu","Kamis","Jumat","Sabtu","Minggu")</f>
        <v>Minggu</v>
      </c>
      <c r="J2148" s="2" t="n">
        <f aca="false">HOUR(E2148)</f>
        <v>20</v>
      </c>
      <c r="K2148" s="2" t="str">
        <f aca="false">IF(J2148&lt;11,"Pagi",IF(J2148&lt;17,"Siang","Malam"))</f>
        <v>Malam</v>
      </c>
      <c r="L2148" s="2" t="n">
        <f aca="false">IF(A2148&lt;&gt;A2147,1,0)</f>
        <v>1</v>
      </c>
    </row>
    <row r="2149" customFormat="false" ht="15" hidden="false" customHeight="false" outlineLevel="0" collapsed="false">
      <c r="A2149" s="2" t="s">
        <v>1992</v>
      </c>
      <c r="B2149" s="13" t="n">
        <v>46292</v>
      </c>
      <c r="C2149" s="2" t="s">
        <v>89</v>
      </c>
      <c r="D2149" s="2" t="n">
        <v>1</v>
      </c>
      <c r="E2149" s="15" t="n">
        <v>0.8375</v>
      </c>
      <c r="F2149" s="7" t="n">
        <v>14000</v>
      </c>
      <c r="G2149" s="7" t="n">
        <f aca="false">D2149*F2149</f>
        <v>14000</v>
      </c>
      <c r="H2149" s="2" t="str">
        <f aca="false">INDEX(Daftar_Menu!$B$2:$B$13,MATCH(C2149,Daftar_Menu!$A$2:$A$13,0))</f>
        <v>Makanan</v>
      </c>
      <c r="I2149" s="2" t="str">
        <f aca="false">CHOOSE(WEEKDAY(B2149,2),"Senin","Selasa","Rabu","Kamis","Jumat","Sabtu","Minggu")</f>
        <v>Minggu</v>
      </c>
      <c r="J2149" s="2" t="n">
        <f aca="false">HOUR(E2149)</f>
        <v>20</v>
      </c>
      <c r="K2149" s="2" t="str">
        <f aca="false">IF(J2149&lt;11,"Pagi",IF(J2149&lt;17,"Siang","Malam"))</f>
        <v>Malam</v>
      </c>
      <c r="L2149" s="2" t="n">
        <f aca="false">IF(A2149&lt;&gt;A2148,1,0)</f>
        <v>0</v>
      </c>
    </row>
    <row r="2150" customFormat="false" ht="15" hidden="false" customHeight="false" outlineLevel="0" collapsed="false">
      <c r="A2150" s="2" t="s">
        <v>1994</v>
      </c>
      <c r="B2150" s="13" t="n">
        <v>46292</v>
      </c>
      <c r="C2150" s="2" t="s">
        <v>84</v>
      </c>
      <c r="D2150" s="2" t="n">
        <v>1</v>
      </c>
      <c r="E2150" s="15" t="n">
        <v>0.841666666666667</v>
      </c>
      <c r="F2150" s="7" t="n">
        <v>5000</v>
      </c>
      <c r="G2150" s="7" t="n">
        <f aca="false">D2150*F2150</f>
        <v>5000</v>
      </c>
      <c r="H2150" s="2" t="str">
        <f aca="false">INDEX(Daftar_Menu!$B$2:$B$13,MATCH(C2150,Daftar_Menu!$A$2:$A$13,0))</f>
        <v>Minuman</v>
      </c>
      <c r="I2150" s="2" t="str">
        <f aca="false">CHOOSE(WEEKDAY(B2150,2),"Senin","Selasa","Rabu","Kamis","Jumat","Sabtu","Minggu")</f>
        <v>Minggu</v>
      </c>
      <c r="J2150" s="2" t="n">
        <f aca="false">HOUR(E2150)</f>
        <v>20</v>
      </c>
      <c r="K2150" s="2" t="str">
        <f aca="false">IF(J2150&lt;11,"Pagi",IF(J2150&lt;17,"Siang","Malam"))</f>
        <v>Malam</v>
      </c>
      <c r="L2150" s="2" t="n">
        <f aca="false">IF(A2150&lt;&gt;A2149,1,0)</f>
        <v>1</v>
      </c>
    </row>
    <row r="2151" customFormat="false" ht="15" hidden="false" customHeight="false" outlineLevel="0" collapsed="false">
      <c r="A2151" s="2" t="s">
        <v>1994</v>
      </c>
      <c r="B2151" s="13" t="n">
        <v>46292</v>
      </c>
      <c r="C2151" s="2" t="s">
        <v>89</v>
      </c>
      <c r="D2151" s="2" t="n">
        <v>1</v>
      </c>
      <c r="E2151" s="15" t="n">
        <v>0.841666666666667</v>
      </c>
      <c r="F2151" s="7" t="n">
        <v>14000</v>
      </c>
      <c r="G2151" s="7" t="n">
        <f aca="false">D2151*F2151</f>
        <v>14000</v>
      </c>
      <c r="H2151" s="2" t="str">
        <f aca="false">INDEX(Daftar_Menu!$B$2:$B$13,MATCH(C2151,Daftar_Menu!$A$2:$A$13,0))</f>
        <v>Makanan</v>
      </c>
      <c r="I2151" s="2" t="str">
        <f aca="false">CHOOSE(WEEKDAY(B2151,2),"Senin","Selasa","Rabu","Kamis","Jumat","Sabtu","Minggu")</f>
        <v>Minggu</v>
      </c>
      <c r="J2151" s="2" t="n">
        <f aca="false">HOUR(E2151)</f>
        <v>20</v>
      </c>
      <c r="K2151" s="2" t="str">
        <f aca="false">IF(J2151&lt;11,"Pagi",IF(J2151&lt;17,"Siang","Malam"))</f>
        <v>Malam</v>
      </c>
      <c r="L2151" s="2" t="n">
        <f aca="false">IF(A2151&lt;&gt;A2150,1,0)</f>
        <v>0</v>
      </c>
    </row>
    <row r="2152" customFormat="false" ht="15" hidden="false" customHeight="false" outlineLevel="0" collapsed="false">
      <c r="A2152" s="2" t="s">
        <v>1996</v>
      </c>
      <c r="B2152" s="13" t="n">
        <v>46292</v>
      </c>
      <c r="C2152" s="2" t="s">
        <v>82</v>
      </c>
      <c r="D2152" s="2" t="n">
        <v>1</v>
      </c>
      <c r="E2152" s="15" t="n">
        <v>0.845138888888889</v>
      </c>
      <c r="F2152" s="7" t="n">
        <v>13000</v>
      </c>
      <c r="G2152" s="7" t="n">
        <f aca="false">D2152*F2152</f>
        <v>13000</v>
      </c>
      <c r="H2152" s="2" t="str">
        <f aca="false">INDEX(Daftar_Menu!$B$2:$B$13,MATCH(C2152,Daftar_Menu!$A$2:$A$13,0))</f>
        <v>Makanan</v>
      </c>
      <c r="I2152" s="2" t="str">
        <f aca="false">CHOOSE(WEEKDAY(B2152,2),"Senin","Selasa","Rabu","Kamis","Jumat","Sabtu","Minggu")</f>
        <v>Minggu</v>
      </c>
      <c r="J2152" s="2" t="n">
        <f aca="false">HOUR(E2152)</f>
        <v>20</v>
      </c>
      <c r="K2152" s="2" t="str">
        <f aca="false">IF(J2152&lt;11,"Pagi",IF(J2152&lt;17,"Siang","Malam"))</f>
        <v>Malam</v>
      </c>
      <c r="L2152" s="2" t="n">
        <f aca="false">IF(A2152&lt;&gt;A2151,1,0)</f>
        <v>1</v>
      </c>
    </row>
    <row r="2153" customFormat="false" ht="15" hidden="false" customHeight="false" outlineLevel="0" collapsed="false">
      <c r="A2153" s="2" t="s">
        <v>1998</v>
      </c>
      <c r="B2153" s="13" t="n">
        <v>46292</v>
      </c>
      <c r="C2153" s="2" t="s">
        <v>186</v>
      </c>
      <c r="D2153" s="2" t="n">
        <v>1</v>
      </c>
      <c r="E2153" s="15" t="n">
        <v>0.865277777777778</v>
      </c>
      <c r="F2153" s="7" t="n">
        <v>7000</v>
      </c>
      <c r="G2153" s="7" t="n">
        <f aca="false">D2153*F2153</f>
        <v>7000</v>
      </c>
      <c r="H2153" s="2" t="str">
        <f aca="false">INDEX(Daftar_Menu!$B$2:$B$13,MATCH(C2153,Daftar_Menu!$A$2:$A$13,0))</f>
        <v>Minuman</v>
      </c>
      <c r="I2153" s="2" t="str">
        <f aca="false">CHOOSE(WEEKDAY(B2153,2),"Senin","Selasa","Rabu","Kamis","Jumat","Sabtu","Minggu")</f>
        <v>Minggu</v>
      </c>
      <c r="J2153" s="2" t="n">
        <f aca="false">HOUR(E2153)</f>
        <v>20</v>
      </c>
      <c r="K2153" s="2" t="str">
        <f aca="false">IF(J2153&lt;11,"Pagi",IF(J2153&lt;17,"Siang","Malam"))</f>
        <v>Malam</v>
      </c>
      <c r="L2153" s="2" t="n">
        <f aca="false">IF(A2153&lt;&gt;A2152,1,0)</f>
        <v>1</v>
      </c>
    </row>
    <row r="2154" customFormat="false" ht="15" hidden="false" customHeight="false" outlineLevel="0" collapsed="false">
      <c r="A2154" s="2" t="s">
        <v>2000</v>
      </c>
      <c r="B2154" s="13" t="n">
        <v>46293</v>
      </c>
      <c r="C2154" s="2" t="s">
        <v>81</v>
      </c>
      <c r="D2154" s="2" t="n">
        <v>1</v>
      </c>
      <c r="E2154" s="15" t="n">
        <v>0.349305555555556</v>
      </c>
      <c r="F2154" s="7" t="n">
        <v>15000</v>
      </c>
      <c r="G2154" s="7" t="n">
        <f aca="false">D2154*F2154</f>
        <v>15000</v>
      </c>
      <c r="H2154" s="2" t="str">
        <f aca="false">INDEX(Daftar_Menu!$B$2:$B$13,MATCH(C2154,Daftar_Menu!$A$2:$A$13,0))</f>
        <v>Makanan</v>
      </c>
      <c r="I2154" s="2" t="str">
        <f aca="false">CHOOSE(WEEKDAY(B2154,2),"Senin","Selasa","Rabu","Kamis","Jumat","Sabtu","Minggu")</f>
        <v>Senin</v>
      </c>
      <c r="J2154" s="2" t="n">
        <f aca="false">HOUR(E2154)</f>
        <v>8</v>
      </c>
      <c r="K2154" s="2" t="str">
        <f aca="false">IF(J2154&lt;11,"Pagi",IF(J2154&lt;17,"Siang","Malam"))</f>
        <v>Pagi</v>
      </c>
      <c r="L2154" s="2" t="n">
        <f aca="false">IF(A2154&lt;&gt;A2153,1,0)</f>
        <v>1</v>
      </c>
    </row>
    <row r="2155" customFormat="false" ht="15" hidden="false" customHeight="false" outlineLevel="0" collapsed="false">
      <c r="A2155" s="2" t="s">
        <v>2002</v>
      </c>
      <c r="B2155" s="13" t="n">
        <v>46293</v>
      </c>
      <c r="C2155" s="2" t="s">
        <v>132</v>
      </c>
      <c r="D2155" s="2" t="n">
        <v>2</v>
      </c>
      <c r="E2155" s="15" t="n">
        <v>0.358333333333333</v>
      </c>
      <c r="F2155" s="7" t="n">
        <v>15000</v>
      </c>
      <c r="G2155" s="7" t="n">
        <f aca="false">D2155*F2155</f>
        <v>30000</v>
      </c>
      <c r="H2155" s="2" t="str">
        <f aca="false">INDEX(Daftar_Menu!$B$2:$B$13,MATCH(C2155,Daftar_Menu!$A$2:$A$13,0))</f>
        <v>Makanan</v>
      </c>
      <c r="I2155" s="2" t="str">
        <f aca="false">CHOOSE(WEEKDAY(B2155,2),"Senin","Selasa","Rabu","Kamis","Jumat","Sabtu","Minggu")</f>
        <v>Senin</v>
      </c>
      <c r="J2155" s="2" t="n">
        <f aca="false">HOUR(E2155)</f>
        <v>8</v>
      </c>
      <c r="K2155" s="2" t="str">
        <f aca="false">IF(J2155&lt;11,"Pagi",IF(J2155&lt;17,"Siang","Malam"))</f>
        <v>Pagi</v>
      </c>
      <c r="L2155" s="2" t="n">
        <f aca="false">IF(A2155&lt;&gt;A2154,1,0)</f>
        <v>1</v>
      </c>
    </row>
    <row r="2156" customFormat="false" ht="15" hidden="false" customHeight="false" outlineLevel="0" collapsed="false">
      <c r="A2156" s="2" t="s">
        <v>2003</v>
      </c>
      <c r="B2156" s="13" t="n">
        <v>46293</v>
      </c>
      <c r="C2156" s="2" t="s">
        <v>186</v>
      </c>
      <c r="D2156" s="2" t="n">
        <v>1</v>
      </c>
      <c r="E2156" s="15" t="n">
        <v>0.397916666666667</v>
      </c>
      <c r="F2156" s="7" t="n">
        <v>7000</v>
      </c>
      <c r="G2156" s="7" t="n">
        <f aca="false">D2156*F2156</f>
        <v>7000</v>
      </c>
      <c r="H2156" s="2" t="str">
        <f aca="false">INDEX(Daftar_Menu!$B$2:$B$13,MATCH(C2156,Daftar_Menu!$A$2:$A$13,0))</f>
        <v>Minuman</v>
      </c>
      <c r="I2156" s="2" t="str">
        <f aca="false">CHOOSE(WEEKDAY(B2156,2),"Senin","Selasa","Rabu","Kamis","Jumat","Sabtu","Minggu")</f>
        <v>Senin</v>
      </c>
      <c r="J2156" s="2" t="n">
        <f aca="false">HOUR(E2156)</f>
        <v>9</v>
      </c>
      <c r="K2156" s="2" t="str">
        <f aca="false">IF(J2156&lt;11,"Pagi",IF(J2156&lt;17,"Siang","Malam"))</f>
        <v>Pagi</v>
      </c>
      <c r="L2156" s="2" t="n">
        <f aca="false">IF(A2156&lt;&gt;A2155,1,0)</f>
        <v>1</v>
      </c>
    </row>
    <row r="2157" customFormat="false" ht="15" hidden="false" customHeight="false" outlineLevel="0" collapsed="false">
      <c r="A2157" s="2" t="s">
        <v>2003</v>
      </c>
      <c r="B2157" s="13" t="n">
        <v>46293</v>
      </c>
      <c r="C2157" s="2" t="s">
        <v>79</v>
      </c>
      <c r="D2157" s="2" t="n">
        <v>1</v>
      </c>
      <c r="E2157" s="15" t="n">
        <v>0.397916666666667</v>
      </c>
      <c r="F2157" s="7" t="n">
        <v>16000</v>
      </c>
      <c r="G2157" s="7" t="n">
        <f aca="false">D2157*F2157</f>
        <v>16000</v>
      </c>
      <c r="H2157" s="2" t="str">
        <f aca="false">INDEX(Daftar_Menu!$B$2:$B$13,MATCH(C2157,Daftar_Menu!$A$2:$A$13,0))</f>
        <v>Makanan</v>
      </c>
      <c r="I2157" s="2" t="str">
        <f aca="false">CHOOSE(WEEKDAY(B2157,2),"Senin","Selasa","Rabu","Kamis","Jumat","Sabtu","Minggu")</f>
        <v>Senin</v>
      </c>
      <c r="J2157" s="2" t="n">
        <f aca="false">HOUR(E2157)</f>
        <v>9</v>
      </c>
      <c r="K2157" s="2" t="str">
        <f aca="false">IF(J2157&lt;11,"Pagi",IF(J2157&lt;17,"Siang","Malam"))</f>
        <v>Pagi</v>
      </c>
      <c r="L2157" s="2" t="n">
        <f aca="false">IF(A2157&lt;&gt;A2156,1,0)</f>
        <v>0</v>
      </c>
    </row>
    <row r="2158" customFormat="false" ht="15" hidden="false" customHeight="false" outlineLevel="0" collapsed="false">
      <c r="A2158" s="2" t="s">
        <v>2004</v>
      </c>
      <c r="B2158" s="13" t="n">
        <v>46293</v>
      </c>
      <c r="C2158" s="2" t="s">
        <v>89</v>
      </c>
      <c r="D2158" s="2" t="n">
        <v>1</v>
      </c>
      <c r="E2158" s="15" t="n">
        <v>0.398611111111111</v>
      </c>
      <c r="F2158" s="7" t="n">
        <v>14000</v>
      </c>
      <c r="G2158" s="7" t="n">
        <f aca="false">D2158*F2158</f>
        <v>14000</v>
      </c>
      <c r="H2158" s="2" t="str">
        <f aca="false">INDEX(Daftar_Menu!$B$2:$B$13,MATCH(C2158,Daftar_Menu!$A$2:$A$13,0))</f>
        <v>Makanan</v>
      </c>
      <c r="I2158" s="2" t="str">
        <f aca="false">CHOOSE(WEEKDAY(B2158,2),"Senin","Selasa","Rabu","Kamis","Jumat","Sabtu","Minggu")</f>
        <v>Senin</v>
      </c>
      <c r="J2158" s="2" t="n">
        <f aca="false">HOUR(E2158)</f>
        <v>9</v>
      </c>
      <c r="K2158" s="2" t="str">
        <f aca="false">IF(J2158&lt;11,"Pagi",IF(J2158&lt;17,"Siang","Malam"))</f>
        <v>Pagi</v>
      </c>
      <c r="L2158" s="2" t="n">
        <f aca="false">IF(A2158&lt;&gt;A2157,1,0)</f>
        <v>1</v>
      </c>
    </row>
    <row r="2159" customFormat="false" ht="15" hidden="false" customHeight="false" outlineLevel="0" collapsed="false">
      <c r="A2159" s="2" t="s">
        <v>2004</v>
      </c>
      <c r="B2159" s="13" t="n">
        <v>46293</v>
      </c>
      <c r="C2159" s="2" t="s">
        <v>101</v>
      </c>
      <c r="D2159" s="2" t="n">
        <v>1</v>
      </c>
      <c r="E2159" s="15" t="n">
        <v>0.398611111111111</v>
      </c>
      <c r="F2159" s="7" t="n">
        <v>18000</v>
      </c>
      <c r="G2159" s="7" t="n">
        <f aca="false">D2159*F2159</f>
        <v>18000</v>
      </c>
      <c r="H2159" s="2" t="str">
        <f aca="false">INDEX(Daftar_Menu!$B$2:$B$13,MATCH(C2159,Daftar_Menu!$A$2:$A$13,0))</f>
        <v>Makanan</v>
      </c>
      <c r="I2159" s="2" t="str">
        <f aca="false">CHOOSE(WEEKDAY(B2159,2),"Senin","Selasa","Rabu","Kamis","Jumat","Sabtu","Minggu")</f>
        <v>Senin</v>
      </c>
      <c r="J2159" s="2" t="n">
        <f aca="false">HOUR(E2159)</f>
        <v>9</v>
      </c>
      <c r="K2159" s="2" t="str">
        <f aca="false">IF(J2159&lt;11,"Pagi",IF(J2159&lt;17,"Siang","Malam"))</f>
        <v>Pagi</v>
      </c>
      <c r="L2159" s="2" t="n">
        <f aca="false">IF(A2159&lt;&gt;A2158,1,0)</f>
        <v>0</v>
      </c>
    </row>
    <row r="2160" customFormat="false" ht="15" hidden="false" customHeight="false" outlineLevel="0" collapsed="false">
      <c r="A2160" s="2" t="s">
        <v>2005</v>
      </c>
      <c r="B2160" s="13" t="n">
        <v>46293</v>
      </c>
      <c r="C2160" s="2" t="s">
        <v>101</v>
      </c>
      <c r="D2160" s="2" t="n">
        <v>1</v>
      </c>
      <c r="E2160" s="15" t="n">
        <v>0.409027777777778</v>
      </c>
      <c r="F2160" s="7" t="n">
        <v>18000</v>
      </c>
      <c r="G2160" s="7" t="n">
        <f aca="false">D2160*F2160</f>
        <v>18000</v>
      </c>
      <c r="H2160" s="2" t="str">
        <f aca="false">INDEX(Daftar_Menu!$B$2:$B$13,MATCH(C2160,Daftar_Menu!$A$2:$A$13,0))</f>
        <v>Makanan</v>
      </c>
      <c r="I2160" s="2" t="str">
        <f aca="false">CHOOSE(WEEKDAY(B2160,2),"Senin","Selasa","Rabu","Kamis","Jumat","Sabtu","Minggu")</f>
        <v>Senin</v>
      </c>
      <c r="J2160" s="2" t="n">
        <f aca="false">HOUR(E2160)</f>
        <v>9</v>
      </c>
      <c r="K2160" s="2" t="str">
        <f aca="false">IF(J2160&lt;11,"Pagi",IF(J2160&lt;17,"Siang","Malam"))</f>
        <v>Pagi</v>
      </c>
      <c r="L2160" s="2" t="n">
        <f aca="false">IF(A2160&lt;&gt;A2159,1,0)</f>
        <v>1</v>
      </c>
    </row>
    <row r="2161" customFormat="false" ht="15" hidden="false" customHeight="false" outlineLevel="0" collapsed="false">
      <c r="A2161" s="2" t="s">
        <v>2005</v>
      </c>
      <c r="B2161" s="13" t="n">
        <v>46293</v>
      </c>
      <c r="C2161" s="2" t="s">
        <v>81</v>
      </c>
      <c r="D2161" s="2" t="n">
        <v>2</v>
      </c>
      <c r="E2161" s="15" t="n">
        <v>0.409027777777778</v>
      </c>
      <c r="F2161" s="7" t="n">
        <v>15000</v>
      </c>
      <c r="G2161" s="7" t="n">
        <f aca="false">D2161*F2161</f>
        <v>30000</v>
      </c>
      <c r="H2161" s="2" t="str">
        <f aca="false">INDEX(Daftar_Menu!$B$2:$B$13,MATCH(C2161,Daftar_Menu!$A$2:$A$13,0))</f>
        <v>Makanan</v>
      </c>
      <c r="I2161" s="2" t="str">
        <f aca="false">CHOOSE(WEEKDAY(B2161,2),"Senin","Selasa","Rabu","Kamis","Jumat","Sabtu","Minggu")</f>
        <v>Senin</v>
      </c>
      <c r="J2161" s="2" t="n">
        <f aca="false">HOUR(E2161)</f>
        <v>9</v>
      </c>
      <c r="K2161" s="2" t="str">
        <f aca="false">IF(J2161&lt;11,"Pagi",IF(J2161&lt;17,"Siang","Malam"))</f>
        <v>Pagi</v>
      </c>
      <c r="L2161" s="2" t="n">
        <f aca="false">IF(A2161&lt;&gt;A2160,1,0)</f>
        <v>0</v>
      </c>
    </row>
    <row r="2162" customFormat="false" ht="15" hidden="false" customHeight="false" outlineLevel="0" collapsed="false">
      <c r="A2162" s="2" t="s">
        <v>2007</v>
      </c>
      <c r="B2162" s="13" t="n">
        <v>46293</v>
      </c>
      <c r="C2162" s="2" t="s">
        <v>89</v>
      </c>
      <c r="D2162" s="2" t="n">
        <v>1</v>
      </c>
      <c r="E2162" s="15" t="n">
        <v>0.411111111111111</v>
      </c>
      <c r="F2162" s="7" t="n">
        <v>14000</v>
      </c>
      <c r="G2162" s="7" t="n">
        <f aca="false">D2162*F2162</f>
        <v>14000</v>
      </c>
      <c r="H2162" s="2" t="str">
        <f aca="false">INDEX(Daftar_Menu!$B$2:$B$13,MATCH(C2162,Daftar_Menu!$A$2:$A$13,0))</f>
        <v>Makanan</v>
      </c>
      <c r="I2162" s="2" t="str">
        <f aca="false">CHOOSE(WEEKDAY(B2162,2),"Senin","Selasa","Rabu","Kamis","Jumat","Sabtu","Minggu")</f>
        <v>Senin</v>
      </c>
      <c r="J2162" s="2" t="n">
        <f aca="false">HOUR(E2162)</f>
        <v>9</v>
      </c>
      <c r="K2162" s="2" t="str">
        <f aca="false">IF(J2162&lt;11,"Pagi",IF(J2162&lt;17,"Siang","Malam"))</f>
        <v>Pagi</v>
      </c>
      <c r="L2162" s="2" t="n">
        <f aca="false">IF(A2162&lt;&gt;A2161,1,0)</f>
        <v>1</v>
      </c>
    </row>
    <row r="2163" customFormat="false" ht="15" hidden="false" customHeight="false" outlineLevel="0" collapsed="false">
      <c r="A2163" s="2" t="s">
        <v>2007</v>
      </c>
      <c r="B2163" s="13" t="n">
        <v>46293</v>
      </c>
      <c r="C2163" s="2" t="s">
        <v>101</v>
      </c>
      <c r="D2163" s="2" t="n">
        <v>1</v>
      </c>
      <c r="E2163" s="15" t="n">
        <v>0.411111111111111</v>
      </c>
      <c r="F2163" s="7" t="n">
        <v>18000</v>
      </c>
      <c r="G2163" s="7" t="n">
        <f aca="false">D2163*F2163</f>
        <v>18000</v>
      </c>
      <c r="H2163" s="2" t="str">
        <f aca="false">INDEX(Daftar_Menu!$B$2:$B$13,MATCH(C2163,Daftar_Menu!$A$2:$A$13,0))</f>
        <v>Makanan</v>
      </c>
      <c r="I2163" s="2" t="str">
        <f aca="false">CHOOSE(WEEKDAY(B2163,2),"Senin","Selasa","Rabu","Kamis","Jumat","Sabtu","Minggu")</f>
        <v>Senin</v>
      </c>
      <c r="J2163" s="2" t="n">
        <f aca="false">HOUR(E2163)</f>
        <v>9</v>
      </c>
      <c r="K2163" s="2" t="str">
        <f aca="false">IF(J2163&lt;11,"Pagi",IF(J2163&lt;17,"Siang","Malam"))</f>
        <v>Pagi</v>
      </c>
      <c r="L2163" s="2" t="n">
        <f aca="false">IF(A2163&lt;&gt;A2162,1,0)</f>
        <v>0</v>
      </c>
    </row>
    <row r="2164" customFormat="false" ht="15" hidden="false" customHeight="false" outlineLevel="0" collapsed="false">
      <c r="A2164" s="2" t="s">
        <v>2009</v>
      </c>
      <c r="B2164" s="13" t="n">
        <v>46293</v>
      </c>
      <c r="C2164" s="2" t="s">
        <v>89</v>
      </c>
      <c r="D2164" s="2" t="n">
        <v>1</v>
      </c>
      <c r="E2164" s="15" t="n">
        <v>0.421527777777778</v>
      </c>
      <c r="F2164" s="7" t="n">
        <v>14000</v>
      </c>
      <c r="G2164" s="7" t="n">
        <f aca="false">D2164*F2164</f>
        <v>14000</v>
      </c>
      <c r="H2164" s="2" t="str">
        <f aca="false">INDEX(Daftar_Menu!$B$2:$B$13,MATCH(C2164,Daftar_Menu!$A$2:$A$13,0))</f>
        <v>Makanan</v>
      </c>
      <c r="I2164" s="2" t="str">
        <f aca="false">CHOOSE(WEEKDAY(B2164,2),"Senin","Selasa","Rabu","Kamis","Jumat","Sabtu","Minggu")</f>
        <v>Senin</v>
      </c>
      <c r="J2164" s="2" t="n">
        <f aca="false">HOUR(E2164)</f>
        <v>10</v>
      </c>
      <c r="K2164" s="2" t="str">
        <f aca="false">IF(J2164&lt;11,"Pagi",IF(J2164&lt;17,"Siang","Malam"))</f>
        <v>Pagi</v>
      </c>
      <c r="L2164" s="2" t="n">
        <f aca="false">IF(A2164&lt;&gt;A2163,1,0)</f>
        <v>1</v>
      </c>
    </row>
    <row r="2165" customFormat="false" ht="15" hidden="false" customHeight="false" outlineLevel="0" collapsed="false">
      <c r="A2165" s="2" t="s">
        <v>2009</v>
      </c>
      <c r="B2165" s="13" t="n">
        <v>46293</v>
      </c>
      <c r="C2165" s="2" t="s">
        <v>79</v>
      </c>
      <c r="D2165" s="2" t="n">
        <v>1</v>
      </c>
      <c r="E2165" s="15" t="n">
        <v>0.421527777777778</v>
      </c>
      <c r="F2165" s="7" t="n">
        <v>16000</v>
      </c>
      <c r="G2165" s="7" t="n">
        <f aca="false">D2165*F2165</f>
        <v>16000</v>
      </c>
      <c r="H2165" s="2" t="str">
        <f aca="false">INDEX(Daftar_Menu!$B$2:$B$13,MATCH(C2165,Daftar_Menu!$A$2:$A$13,0))</f>
        <v>Makanan</v>
      </c>
      <c r="I2165" s="2" t="str">
        <f aca="false">CHOOSE(WEEKDAY(B2165,2),"Senin","Selasa","Rabu","Kamis","Jumat","Sabtu","Minggu")</f>
        <v>Senin</v>
      </c>
      <c r="J2165" s="2" t="n">
        <f aca="false">HOUR(E2165)</f>
        <v>10</v>
      </c>
      <c r="K2165" s="2" t="str">
        <f aca="false">IF(J2165&lt;11,"Pagi",IF(J2165&lt;17,"Siang","Malam"))</f>
        <v>Pagi</v>
      </c>
      <c r="L2165" s="2" t="n">
        <f aca="false">IF(A2165&lt;&gt;A2164,1,0)</f>
        <v>0</v>
      </c>
    </row>
    <row r="2166" customFormat="false" ht="15" hidden="false" customHeight="false" outlineLevel="0" collapsed="false">
      <c r="A2166" s="2" t="s">
        <v>2009</v>
      </c>
      <c r="B2166" s="13" t="n">
        <v>46293</v>
      </c>
      <c r="C2166" s="2" t="s">
        <v>186</v>
      </c>
      <c r="D2166" s="2" t="n">
        <v>2</v>
      </c>
      <c r="E2166" s="15" t="n">
        <v>0.421527777777778</v>
      </c>
      <c r="F2166" s="7" t="n">
        <v>7000</v>
      </c>
      <c r="G2166" s="7" t="n">
        <f aca="false">D2166*F2166</f>
        <v>14000</v>
      </c>
      <c r="H2166" s="2" t="str">
        <f aca="false">INDEX(Daftar_Menu!$B$2:$B$13,MATCH(C2166,Daftar_Menu!$A$2:$A$13,0))</f>
        <v>Minuman</v>
      </c>
      <c r="I2166" s="2" t="str">
        <f aca="false">CHOOSE(WEEKDAY(B2166,2),"Senin","Selasa","Rabu","Kamis","Jumat","Sabtu","Minggu")</f>
        <v>Senin</v>
      </c>
      <c r="J2166" s="2" t="n">
        <f aca="false">HOUR(E2166)</f>
        <v>10</v>
      </c>
      <c r="K2166" s="2" t="str">
        <f aca="false">IF(J2166&lt;11,"Pagi",IF(J2166&lt;17,"Siang","Malam"))</f>
        <v>Pagi</v>
      </c>
      <c r="L2166" s="2" t="n">
        <f aca="false">IF(A2166&lt;&gt;A2165,1,0)</f>
        <v>0</v>
      </c>
    </row>
    <row r="2167" customFormat="false" ht="15" hidden="false" customHeight="false" outlineLevel="0" collapsed="false">
      <c r="A2167" s="2" t="s">
        <v>2010</v>
      </c>
      <c r="B2167" s="13" t="n">
        <v>46293</v>
      </c>
      <c r="C2167" s="2" t="s">
        <v>89</v>
      </c>
      <c r="D2167" s="2" t="n">
        <v>2</v>
      </c>
      <c r="E2167" s="15" t="n">
        <v>0.423611111111111</v>
      </c>
      <c r="F2167" s="7" t="n">
        <v>14000</v>
      </c>
      <c r="G2167" s="7" t="n">
        <f aca="false">D2167*F2167</f>
        <v>28000</v>
      </c>
      <c r="H2167" s="2" t="str">
        <f aca="false">INDEX(Daftar_Menu!$B$2:$B$13,MATCH(C2167,Daftar_Menu!$A$2:$A$13,0))</f>
        <v>Makanan</v>
      </c>
      <c r="I2167" s="2" t="str">
        <f aca="false">CHOOSE(WEEKDAY(B2167,2),"Senin","Selasa","Rabu","Kamis","Jumat","Sabtu","Minggu")</f>
        <v>Senin</v>
      </c>
      <c r="J2167" s="2" t="n">
        <f aca="false">HOUR(E2167)</f>
        <v>10</v>
      </c>
      <c r="K2167" s="2" t="str">
        <f aca="false">IF(J2167&lt;11,"Pagi",IF(J2167&lt;17,"Siang","Malam"))</f>
        <v>Pagi</v>
      </c>
      <c r="L2167" s="2" t="n">
        <f aca="false">IF(A2167&lt;&gt;A2166,1,0)</f>
        <v>1</v>
      </c>
    </row>
    <row r="2168" customFormat="false" ht="15" hidden="false" customHeight="false" outlineLevel="0" collapsed="false">
      <c r="A2168" s="2" t="s">
        <v>2011</v>
      </c>
      <c r="B2168" s="13" t="n">
        <v>46293</v>
      </c>
      <c r="C2168" s="2" t="s">
        <v>186</v>
      </c>
      <c r="D2168" s="2" t="n">
        <v>1</v>
      </c>
      <c r="E2168" s="15" t="n">
        <v>0.436111111111111</v>
      </c>
      <c r="F2168" s="7" t="n">
        <v>7000</v>
      </c>
      <c r="G2168" s="7" t="n">
        <f aca="false">D2168*F2168</f>
        <v>7000</v>
      </c>
      <c r="H2168" s="2" t="str">
        <f aca="false">INDEX(Daftar_Menu!$B$2:$B$13,MATCH(C2168,Daftar_Menu!$A$2:$A$13,0))</f>
        <v>Minuman</v>
      </c>
      <c r="I2168" s="2" t="str">
        <f aca="false">CHOOSE(WEEKDAY(B2168,2),"Senin","Selasa","Rabu","Kamis","Jumat","Sabtu","Minggu")</f>
        <v>Senin</v>
      </c>
      <c r="J2168" s="2" t="n">
        <f aca="false">HOUR(E2168)</f>
        <v>10</v>
      </c>
      <c r="K2168" s="2" t="str">
        <f aca="false">IF(J2168&lt;11,"Pagi",IF(J2168&lt;17,"Siang","Malam"))</f>
        <v>Pagi</v>
      </c>
      <c r="L2168" s="2" t="n">
        <f aca="false">IF(A2168&lt;&gt;A2167,1,0)</f>
        <v>1</v>
      </c>
    </row>
    <row r="2169" customFormat="false" ht="15" hidden="false" customHeight="false" outlineLevel="0" collapsed="false">
      <c r="A2169" s="2" t="s">
        <v>2013</v>
      </c>
      <c r="B2169" s="13" t="n">
        <v>46293</v>
      </c>
      <c r="C2169" s="2" t="s">
        <v>132</v>
      </c>
      <c r="D2169" s="2" t="n">
        <v>1</v>
      </c>
      <c r="E2169" s="15" t="n">
        <v>0.4375</v>
      </c>
      <c r="F2169" s="7" t="n">
        <v>15000</v>
      </c>
      <c r="G2169" s="7" t="n">
        <f aca="false">D2169*F2169</f>
        <v>15000</v>
      </c>
      <c r="H2169" s="2" t="str">
        <f aca="false">INDEX(Daftar_Menu!$B$2:$B$13,MATCH(C2169,Daftar_Menu!$A$2:$A$13,0))</f>
        <v>Makanan</v>
      </c>
      <c r="I2169" s="2" t="str">
        <f aca="false">CHOOSE(WEEKDAY(B2169,2),"Senin","Selasa","Rabu","Kamis","Jumat","Sabtu","Minggu")</f>
        <v>Senin</v>
      </c>
      <c r="J2169" s="2" t="n">
        <f aca="false">HOUR(E2169)</f>
        <v>10</v>
      </c>
      <c r="K2169" s="2" t="str">
        <f aca="false">IF(J2169&lt;11,"Pagi",IF(J2169&lt;17,"Siang","Malam"))</f>
        <v>Pagi</v>
      </c>
      <c r="L2169" s="2" t="n">
        <f aca="false">IF(A2169&lt;&gt;A2168,1,0)</f>
        <v>1</v>
      </c>
    </row>
    <row r="2170" customFormat="false" ht="15" hidden="false" customHeight="false" outlineLevel="0" collapsed="false">
      <c r="A2170" s="2" t="s">
        <v>2015</v>
      </c>
      <c r="B2170" s="13" t="n">
        <v>46293</v>
      </c>
      <c r="C2170" s="2" t="s">
        <v>89</v>
      </c>
      <c r="D2170" s="2" t="n">
        <v>1</v>
      </c>
      <c r="E2170" s="15" t="n">
        <v>0.472222222222222</v>
      </c>
      <c r="F2170" s="7" t="n">
        <v>14000</v>
      </c>
      <c r="G2170" s="7" t="n">
        <f aca="false">D2170*F2170</f>
        <v>14000</v>
      </c>
      <c r="H2170" s="2" t="str">
        <f aca="false">INDEX(Daftar_Menu!$B$2:$B$13,MATCH(C2170,Daftar_Menu!$A$2:$A$13,0))</f>
        <v>Makanan</v>
      </c>
      <c r="I2170" s="2" t="str">
        <f aca="false">CHOOSE(WEEKDAY(B2170,2),"Senin","Selasa","Rabu","Kamis","Jumat","Sabtu","Minggu")</f>
        <v>Senin</v>
      </c>
      <c r="J2170" s="2" t="n">
        <f aca="false">HOUR(E2170)</f>
        <v>11</v>
      </c>
      <c r="K2170" s="2" t="str">
        <f aca="false">IF(J2170&lt;11,"Pagi",IF(J2170&lt;17,"Siang","Malam"))</f>
        <v>Siang</v>
      </c>
      <c r="L2170" s="2" t="n">
        <f aca="false">IF(A2170&lt;&gt;A2169,1,0)</f>
        <v>1</v>
      </c>
    </row>
    <row r="2171" customFormat="false" ht="15" hidden="false" customHeight="false" outlineLevel="0" collapsed="false">
      <c r="A2171" s="2" t="s">
        <v>2016</v>
      </c>
      <c r="B2171" s="13" t="n">
        <v>46293</v>
      </c>
      <c r="C2171" s="2" t="s">
        <v>101</v>
      </c>
      <c r="D2171" s="2" t="n">
        <v>1</v>
      </c>
      <c r="E2171" s="15" t="n">
        <v>0.475694444444444</v>
      </c>
      <c r="F2171" s="7" t="n">
        <v>18000</v>
      </c>
      <c r="G2171" s="7" t="n">
        <f aca="false">D2171*F2171</f>
        <v>18000</v>
      </c>
      <c r="H2171" s="2" t="str">
        <f aca="false">INDEX(Daftar_Menu!$B$2:$B$13,MATCH(C2171,Daftar_Menu!$A$2:$A$13,0))</f>
        <v>Makanan</v>
      </c>
      <c r="I2171" s="2" t="str">
        <f aca="false">CHOOSE(WEEKDAY(B2171,2),"Senin","Selasa","Rabu","Kamis","Jumat","Sabtu","Minggu")</f>
        <v>Senin</v>
      </c>
      <c r="J2171" s="2" t="n">
        <f aca="false">HOUR(E2171)</f>
        <v>11</v>
      </c>
      <c r="K2171" s="2" t="str">
        <f aca="false">IF(J2171&lt;11,"Pagi",IF(J2171&lt;17,"Siang","Malam"))</f>
        <v>Siang</v>
      </c>
      <c r="L2171" s="2" t="n">
        <f aca="false">IF(A2171&lt;&gt;A2170,1,0)</f>
        <v>1</v>
      </c>
    </row>
    <row r="2172" customFormat="false" ht="15" hidden="false" customHeight="false" outlineLevel="0" collapsed="false">
      <c r="A2172" s="2" t="s">
        <v>2016</v>
      </c>
      <c r="B2172" s="13" t="n">
        <v>46293</v>
      </c>
      <c r="C2172" s="2" t="s">
        <v>112</v>
      </c>
      <c r="D2172" s="2" t="n">
        <v>2</v>
      </c>
      <c r="E2172" s="15" t="n">
        <v>0.475694444444444</v>
      </c>
      <c r="F2172" s="7" t="n">
        <v>10000</v>
      </c>
      <c r="G2172" s="7" t="n">
        <f aca="false">D2172*F2172</f>
        <v>20000</v>
      </c>
      <c r="H2172" s="2" t="str">
        <f aca="false">INDEX(Daftar_Menu!$B$2:$B$13,MATCH(C2172,Daftar_Menu!$A$2:$A$13,0))</f>
        <v>Minuman</v>
      </c>
      <c r="I2172" s="2" t="str">
        <f aca="false">CHOOSE(WEEKDAY(B2172,2),"Senin","Selasa","Rabu","Kamis","Jumat","Sabtu","Minggu")</f>
        <v>Senin</v>
      </c>
      <c r="J2172" s="2" t="n">
        <f aca="false">HOUR(E2172)</f>
        <v>11</v>
      </c>
      <c r="K2172" s="2" t="str">
        <f aca="false">IF(J2172&lt;11,"Pagi",IF(J2172&lt;17,"Siang","Malam"))</f>
        <v>Siang</v>
      </c>
      <c r="L2172" s="2" t="n">
        <f aca="false">IF(A2172&lt;&gt;A2171,1,0)</f>
        <v>0</v>
      </c>
    </row>
    <row r="2173" customFormat="false" ht="15" hidden="false" customHeight="false" outlineLevel="0" collapsed="false">
      <c r="A2173" s="2" t="s">
        <v>2017</v>
      </c>
      <c r="B2173" s="13" t="n">
        <v>46293</v>
      </c>
      <c r="C2173" s="2" t="s">
        <v>108</v>
      </c>
      <c r="D2173" s="2" t="n">
        <v>2</v>
      </c>
      <c r="E2173" s="15" t="n">
        <v>0.477777777777778</v>
      </c>
      <c r="F2173" s="7" t="n">
        <v>20000</v>
      </c>
      <c r="G2173" s="7" t="n">
        <f aca="false">D2173*F2173</f>
        <v>40000</v>
      </c>
      <c r="H2173" s="2" t="str">
        <f aca="false">INDEX(Daftar_Menu!$B$2:$B$13,MATCH(C2173,Daftar_Menu!$A$2:$A$13,0))</f>
        <v>Makanan</v>
      </c>
      <c r="I2173" s="2" t="str">
        <f aca="false">CHOOSE(WEEKDAY(B2173,2),"Senin","Selasa","Rabu","Kamis","Jumat","Sabtu","Minggu")</f>
        <v>Senin</v>
      </c>
      <c r="J2173" s="2" t="n">
        <f aca="false">HOUR(E2173)</f>
        <v>11</v>
      </c>
      <c r="K2173" s="2" t="str">
        <f aca="false">IF(J2173&lt;11,"Pagi",IF(J2173&lt;17,"Siang","Malam"))</f>
        <v>Siang</v>
      </c>
      <c r="L2173" s="2" t="n">
        <f aca="false">IF(A2173&lt;&gt;A2172,1,0)</f>
        <v>1</v>
      </c>
    </row>
    <row r="2174" customFormat="false" ht="15" hidden="false" customHeight="false" outlineLevel="0" collapsed="false">
      <c r="A2174" s="2" t="s">
        <v>2017</v>
      </c>
      <c r="B2174" s="13" t="n">
        <v>46293</v>
      </c>
      <c r="C2174" s="2" t="s">
        <v>81</v>
      </c>
      <c r="D2174" s="2" t="n">
        <v>1</v>
      </c>
      <c r="E2174" s="15" t="n">
        <v>0.477777777777778</v>
      </c>
      <c r="F2174" s="7" t="n">
        <v>15000</v>
      </c>
      <c r="G2174" s="7" t="n">
        <f aca="false">D2174*F2174</f>
        <v>15000</v>
      </c>
      <c r="H2174" s="2" t="str">
        <f aca="false">INDEX(Daftar_Menu!$B$2:$B$13,MATCH(C2174,Daftar_Menu!$A$2:$A$13,0))</f>
        <v>Makanan</v>
      </c>
      <c r="I2174" s="2" t="str">
        <f aca="false">CHOOSE(WEEKDAY(B2174,2),"Senin","Selasa","Rabu","Kamis","Jumat","Sabtu","Minggu")</f>
        <v>Senin</v>
      </c>
      <c r="J2174" s="2" t="n">
        <f aca="false">HOUR(E2174)</f>
        <v>11</v>
      </c>
      <c r="K2174" s="2" t="str">
        <f aca="false">IF(J2174&lt;11,"Pagi",IF(J2174&lt;17,"Siang","Malam"))</f>
        <v>Siang</v>
      </c>
      <c r="L2174" s="2" t="n">
        <f aca="false">IF(A2174&lt;&gt;A2173,1,0)</f>
        <v>0</v>
      </c>
    </row>
    <row r="2175" customFormat="false" ht="15" hidden="false" customHeight="false" outlineLevel="0" collapsed="false">
      <c r="A2175" s="2" t="s">
        <v>2017</v>
      </c>
      <c r="B2175" s="13" t="n">
        <v>46293</v>
      </c>
      <c r="C2175" s="2" t="s">
        <v>186</v>
      </c>
      <c r="D2175" s="2" t="n">
        <v>1</v>
      </c>
      <c r="E2175" s="15" t="n">
        <v>0.477777777777778</v>
      </c>
      <c r="F2175" s="7" t="n">
        <v>7000</v>
      </c>
      <c r="G2175" s="7" t="n">
        <f aca="false">D2175*F2175</f>
        <v>7000</v>
      </c>
      <c r="H2175" s="2" t="str">
        <f aca="false">INDEX(Daftar_Menu!$B$2:$B$13,MATCH(C2175,Daftar_Menu!$A$2:$A$13,0))</f>
        <v>Minuman</v>
      </c>
      <c r="I2175" s="2" t="str">
        <f aca="false">CHOOSE(WEEKDAY(B2175,2),"Senin","Selasa","Rabu","Kamis","Jumat","Sabtu","Minggu")</f>
        <v>Senin</v>
      </c>
      <c r="J2175" s="2" t="n">
        <f aca="false">HOUR(E2175)</f>
        <v>11</v>
      </c>
      <c r="K2175" s="2" t="str">
        <f aca="false">IF(J2175&lt;11,"Pagi",IF(J2175&lt;17,"Siang","Malam"))</f>
        <v>Siang</v>
      </c>
      <c r="L2175" s="2" t="n">
        <f aca="false">IF(A2175&lt;&gt;A2174,1,0)</f>
        <v>0</v>
      </c>
    </row>
    <row r="2176" customFormat="false" ht="15" hidden="false" customHeight="false" outlineLevel="0" collapsed="false">
      <c r="A2176" s="2" t="s">
        <v>2018</v>
      </c>
      <c r="B2176" s="13" t="n">
        <v>46293</v>
      </c>
      <c r="C2176" s="2" t="s">
        <v>82</v>
      </c>
      <c r="D2176" s="2" t="n">
        <v>1</v>
      </c>
      <c r="E2176" s="15" t="n">
        <v>0.495833333333333</v>
      </c>
      <c r="F2176" s="7" t="n">
        <v>13000</v>
      </c>
      <c r="G2176" s="7" t="n">
        <f aca="false">D2176*F2176</f>
        <v>13000</v>
      </c>
      <c r="H2176" s="2" t="str">
        <f aca="false">INDEX(Daftar_Menu!$B$2:$B$13,MATCH(C2176,Daftar_Menu!$A$2:$A$13,0))</f>
        <v>Makanan</v>
      </c>
      <c r="I2176" s="2" t="str">
        <f aca="false">CHOOSE(WEEKDAY(B2176,2),"Senin","Selasa","Rabu","Kamis","Jumat","Sabtu","Minggu")</f>
        <v>Senin</v>
      </c>
      <c r="J2176" s="2" t="n">
        <f aca="false">HOUR(E2176)</f>
        <v>11</v>
      </c>
      <c r="K2176" s="2" t="str">
        <f aca="false">IF(J2176&lt;11,"Pagi",IF(J2176&lt;17,"Siang","Malam"))</f>
        <v>Siang</v>
      </c>
      <c r="L2176" s="2" t="n">
        <f aca="false">IF(A2176&lt;&gt;A2175,1,0)</f>
        <v>1</v>
      </c>
    </row>
    <row r="2177" customFormat="false" ht="15" hidden="false" customHeight="false" outlineLevel="0" collapsed="false">
      <c r="A2177" s="2" t="s">
        <v>2018</v>
      </c>
      <c r="B2177" s="13" t="n">
        <v>46293</v>
      </c>
      <c r="C2177" s="2" t="s">
        <v>108</v>
      </c>
      <c r="D2177" s="2" t="n">
        <v>1</v>
      </c>
      <c r="E2177" s="15" t="n">
        <v>0.495833333333333</v>
      </c>
      <c r="F2177" s="7" t="n">
        <v>20000</v>
      </c>
      <c r="G2177" s="7" t="n">
        <f aca="false">D2177*F2177</f>
        <v>20000</v>
      </c>
      <c r="H2177" s="2" t="str">
        <f aca="false">INDEX(Daftar_Menu!$B$2:$B$13,MATCH(C2177,Daftar_Menu!$A$2:$A$13,0))</f>
        <v>Makanan</v>
      </c>
      <c r="I2177" s="2" t="str">
        <f aca="false">CHOOSE(WEEKDAY(B2177,2),"Senin","Selasa","Rabu","Kamis","Jumat","Sabtu","Minggu")</f>
        <v>Senin</v>
      </c>
      <c r="J2177" s="2" t="n">
        <f aca="false">HOUR(E2177)</f>
        <v>11</v>
      </c>
      <c r="K2177" s="2" t="str">
        <f aca="false">IF(J2177&lt;11,"Pagi",IF(J2177&lt;17,"Siang","Malam"))</f>
        <v>Siang</v>
      </c>
      <c r="L2177" s="2" t="n">
        <f aca="false">IF(A2177&lt;&gt;A2176,1,0)</f>
        <v>0</v>
      </c>
    </row>
    <row r="2178" customFormat="false" ht="15" hidden="false" customHeight="false" outlineLevel="0" collapsed="false">
      <c r="A2178" s="2" t="s">
        <v>2019</v>
      </c>
      <c r="B2178" s="13" t="n">
        <v>46293</v>
      </c>
      <c r="C2178" s="2" t="s">
        <v>84</v>
      </c>
      <c r="D2178" s="2" t="n">
        <v>1</v>
      </c>
      <c r="E2178" s="15" t="n">
        <v>0.502777777777778</v>
      </c>
      <c r="F2178" s="7" t="n">
        <v>5000</v>
      </c>
      <c r="G2178" s="7" t="n">
        <f aca="false">D2178*F2178</f>
        <v>5000</v>
      </c>
      <c r="H2178" s="2" t="str">
        <f aca="false">INDEX(Daftar_Menu!$B$2:$B$13,MATCH(C2178,Daftar_Menu!$A$2:$A$13,0))</f>
        <v>Minuman</v>
      </c>
      <c r="I2178" s="2" t="str">
        <f aca="false">CHOOSE(WEEKDAY(B2178,2),"Senin","Selasa","Rabu","Kamis","Jumat","Sabtu","Minggu")</f>
        <v>Senin</v>
      </c>
      <c r="J2178" s="2" t="n">
        <f aca="false">HOUR(E2178)</f>
        <v>12</v>
      </c>
      <c r="K2178" s="2" t="str">
        <f aca="false">IF(J2178&lt;11,"Pagi",IF(J2178&lt;17,"Siang","Malam"))</f>
        <v>Siang</v>
      </c>
      <c r="L2178" s="2" t="n">
        <f aca="false">IF(A2178&lt;&gt;A2177,1,0)</f>
        <v>1</v>
      </c>
    </row>
    <row r="2179" customFormat="false" ht="15" hidden="false" customHeight="false" outlineLevel="0" collapsed="false">
      <c r="A2179" s="2" t="s">
        <v>2019</v>
      </c>
      <c r="B2179" s="13" t="n">
        <v>46293</v>
      </c>
      <c r="C2179" s="2" t="s">
        <v>108</v>
      </c>
      <c r="D2179" s="2" t="n">
        <v>1</v>
      </c>
      <c r="E2179" s="15" t="n">
        <v>0.502777777777778</v>
      </c>
      <c r="F2179" s="7" t="n">
        <v>20000</v>
      </c>
      <c r="G2179" s="7" t="n">
        <f aca="false">D2179*F2179</f>
        <v>20000</v>
      </c>
      <c r="H2179" s="2" t="str">
        <f aca="false">INDEX(Daftar_Menu!$B$2:$B$13,MATCH(C2179,Daftar_Menu!$A$2:$A$13,0))</f>
        <v>Makanan</v>
      </c>
      <c r="I2179" s="2" t="str">
        <f aca="false">CHOOSE(WEEKDAY(B2179,2),"Senin","Selasa","Rabu","Kamis","Jumat","Sabtu","Minggu")</f>
        <v>Senin</v>
      </c>
      <c r="J2179" s="2" t="n">
        <f aca="false">HOUR(E2179)</f>
        <v>12</v>
      </c>
      <c r="K2179" s="2" t="str">
        <f aca="false">IF(J2179&lt;11,"Pagi",IF(J2179&lt;17,"Siang","Malam"))</f>
        <v>Siang</v>
      </c>
      <c r="L2179" s="2" t="n">
        <f aca="false">IF(A2179&lt;&gt;A2178,1,0)</f>
        <v>0</v>
      </c>
    </row>
    <row r="2180" customFormat="false" ht="15" hidden="false" customHeight="false" outlineLevel="0" collapsed="false">
      <c r="A2180" s="2" t="s">
        <v>2020</v>
      </c>
      <c r="B2180" s="13" t="n">
        <v>46293</v>
      </c>
      <c r="C2180" s="2" t="s">
        <v>132</v>
      </c>
      <c r="D2180" s="2" t="n">
        <v>1</v>
      </c>
      <c r="E2180" s="15" t="n">
        <v>0.504861111111111</v>
      </c>
      <c r="F2180" s="7" t="n">
        <v>15000</v>
      </c>
      <c r="G2180" s="7" t="n">
        <f aca="false">D2180*F2180</f>
        <v>15000</v>
      </c>
      <c r="H2180" s="2" t="str">
        <f aca="false">INDEX(Daftar_Menu!$B$2:$B$13,MATCH(C2180,Daftar_Menu!$A$2:$A$13,0))</f>
        <v>Makanan</v>
      </c>
      <c r="I2180" s="2" t="str">
        <f aca="false">CHOOSE(WEEKDAY(B2180,2),"Senin","Selasa","Rabu","Kamis","Jumat","Sabtu","Minggu")</f>
        <v>Senin</v>
      </c>
      <c r="J2180" s="2" t="n">
        <f aca="false">HOUR(E2180)</f>
        <v>12</v>
      </c>
      <c r="K2180" s="2" t="str">
        <f aca="false">IF(J2180&lt;11,"Pagi",IF(J2180&lt;17,"Siang","Malam"))</f>
        <v>Siang</v>
      </c>
      <c r="L2180" s="2" t="n">
        <f aca="false">IF(A2180&lt;&gt;A2179,1,0)</f>
        <v>1</v>
      </c>
    </row>
    <row r="2181" customFormat="false" ht="15" hidden="false" customHeight="false" outlineLevel="0" collapsed="false">
      <c r="A2181" s="2" t="s">
        <v>2021</v>
      </c>
      <c r="B2181" s="13" t="n">
        <v>46293</v>
      </c>
      <c r="C2181" s="2" t="s">
        <v>108</v>
      </c>
      <c r="D2181" s="2" t="n">
        <v>1</v>
      </c>
      <c r="E2181" s="15" t="n">
        <v>0.513194444444444</v>
      </c>
      <c r="F2181" s="7" t="n">
        <v>20000</v>
      </c>
      <c r="G2181" s="7" t="n">
        <f aca="false">D2181*F2181</f>
        <v>20000</v>
      </c>
      <c r="H2181" s="2" t="str">
        <f aca="false">INDEX(Daftar_Menu!$B$2:$B$13,MATCH(C2181,Daftar_Menu!$A$2:$A$13,0))</f>
        <v>Makanan</v>
      </c>
      <c r="I2181" s="2" t="str">
        <f aca="false">CHOOSE(WEEKDAY(B2181,2),"Senin","Selasa","Rabu","Kamis","Jumat","Sabtu","Minggu")</f>
        <v>Senin</v>
      </c>
      <c r="J2181" s="2" t="n">
        <f aca="false">HOUR(E2181)</f>
        <v>12</v>
      </c>
      <c r="K2181" s="2" t="str">
        <f aca="false">IF(J2181&lt;11,"Pagi",IF(J2181&lt;17,"Siang","Malam"))</f>
        <v>Siang</v>
      </c>
      <c r="L2181" s="2" t="n">
        <f aca="false">IF(A2181&lt;&gt;A2180,1,0)</f>
        <v>1</v>
      </c>
    </row>
    <row r="2182" customFormat="false" ht="15" hidden="false" customHeight="false" outlineLevel="0" collapsed="false">
      <c r="A2182" s="2" t="s">
        <v>2022</v>
      </c>
      <c r="B2182" s="13" t="n">
        <v>46293</v>
      </c>
      <c r="C2182" s="2" t="s">
        <v>81</v>
      </c>
      <c r="D2182" s="2" t="n">
        <v>1</v>
      </c>
      <c r="E2182" s="15" t="n">
        <v>0.513194444444444</v>
      </c>
      <c r="F2182" s="7" t="n">
        <v>15000</v>
      </c>
      <c r="G2182" s="7" t="n">
        <f aca="false">D2182*F2182</f>
        <v>15000</v>
      </c>
      <c r="H2182" s="2" t="str">
        <f aca="false">INDEX(Daftar_Menu!$B$2:$B$13,MATCH(C2182,Daftar_Menu!$A$2:$A$13,0))</f>
        <v>Makanan</v>
      </c>
      <c r="I2182" s="2" t="str">
        <f aca="false">CHOOSE(WEEKDAY(B2182,2),"Senin","Selasa","Rabu","Kamis","Jumat","Sabtu","Minggu")</f>
        <v>Senin</v>
      </c>
      <c r="J2182" s="2" t="n">
        <f aca="false">HOUR(E2182)</f>
        <v>12</v>
      </c>
      <c r="K2182" s="2" t="str">
        <f aca="false">IF(J2182&lt;11,"Pagi",IF(J2182&lt;17,"Siang","Malam"))</f>
        <v>Siang</v>
      </c>
      <c r="L2182" s="2" t="n">
        <f aca="false">IF(A2182&lt;&gt;A2181,1,0)</f>
        <v>1</v>
      </c>
    </row>
    <row r="2183" customFormat="false" ht="15" hidden="false" customHeight="false" outlineLevel="0" collapsed="false">
      <c r="A2183" s="2" t="s">
        <v>2022</v>
      </c>
      <c r="B2183" s="13" t="n">
        <v>46293</v>
      </c>
      <c r="C2183" s="2" t="s">
        <v>79</v>
      </c>
      <c r="D2183" s="2" t="n">
        <v>2</v>
      </c>
      <c r="E2183" s="15" t="n">
        <v>0.513194444444444</v>
      </c>
      <c r="F2183" s="7" t="n">
        <v>16000</v>
      </c>
      <c r="G2183" s="7" t="n">
        <f aca="false">D2183*F2183</f>
        <v>32000</v>
      </c>
      <c r="H2183" s="2" t="str">
        <f aca="false">INDEX(Daftar_Menu!$B$2:$B$13,MATCH(C2183,Daftar_Menu!$A$2:$A$13,0))</f>
        <v>Makanan</v>
      </c>
      <c r="I2183" s="2" t="str">
        <f aca="false">CHOOSE(WEEKDAY(B2183,2),"Senin","Selasa","Rabu","Kamis","Jumat","Sabtu","Minggu")</f>
        <v>Senin</v>
      </c>
      <c r="J2183" s="2" t="n">
        <f aca="false">HOUR(E2183)</f>
        <v>12</v>
      </c>
      <c r="K2183" s="2" t="str">
        <f aca="false">IF(J2183&lt;11,"Pagi",IF(J2183&lt;17,"Siang","Malam"))</f>
        <v>Siang</v>
      </c>
      <c r="L2183" s="2" t="n">
        <f aca="false">IF(A2183&lt;&gt;A2182,1,0)</f>
        <v>0</v>
      </c>
    </row>
    <row r="2184" customFormat="false" ht="15" hidden="false" customHeight="false" outlineLevel="0" collapsed="false">
      <c r="A2184" s="2" t="s">
        <v>2023</v>
      </c>
      <c r="B2184" s="13" t="n">
        <v>46293</v>
      </c>
      <c r="C2184" s="2" t="s">
        <v>84</v>
      </c>
      <c r="D2184" s="2" t="n">
        <v>1</v>
      </c>
      <c r="E2184" s="15" t="n">
        <v>0.514583333333333</v>
      </c>
      <c r="F2184" s="7" t="n">
        <v>5000</v>
      </c>
      <c r="G2184" s="7" t="n">
        <f aca="false">D2184*F2184</f>
        <v>5000</v>
      </c>
      <c r="H2184" s="2" t="str">
        <f aca="false">INDEX(Daftar_Menu!$B$2:$B$13,MATCH(C2184,Daftar_Menu!$A$2:$A$13,0))</f>
        <v>Minuman</v>
      </c>
      <c r="I2184" s="2" t="str">
        <f aca="false">CHOOSE(WEEKDAY(B2184,2),"Senin","Selasa","Rabu","Kamis","Jumat","Sabtu","Minggu")</f>
        <v>Senin</v>
      </c>
      <c r="J2184" s="2" t="n">
        <f aca="false">HOUR(E2184)</f>
        <v>12</v>
      </c>
      <c r="K2184" s="2" t="str">
        <f aca="false">IF(J2184&lt;11,"Pagi",IF(J2184&lt;17,"Siang","Malam"))</f>
        <v>Siang</v>
      </c>
      <c r="L2184" s="2" t="n">
        <f aca="false">IF(A2184&lt;&gt;A2183,1,0)</f>
        <v>1</v>
      </c>
    </row>
    <row r="2185" customFormat="false" ht="15" hidden="false" customHeight="false" outlineLevel="0" collapsed="false">
      <c r="A2185" s="2" t="s">
        <v>2024</v>
      </c>
      <c r="B2185" s="13" t="n">
        <v>46293</v>
      </c>
      <c r="C2185" s="2" t="s">
        <v>92</v>
      </c>
      <c r="D2185" s="2" t="n">
        <v>1</v>
      </c>
      <c r="E2185" s="15" t="n">
        <v>0.51875</v>
      </c>
      <c r="F2185" s="7" t="n">
        <v>4000</v>
      </c>
      <c r="G2185" s="7" t="n">
        <f aca="false">D2185*F2185</f>
        <v>4000</v>
      </c>
      <c r="H2185" s="2" t="str">
        <f aca="false">INDEX(Daftar_Menu!$B$2:$B$13,MATCH(C2185,Daftar_Menu!$A$2:$A$13,0))</f>
        <v>Minuman</v>
      </c>
      <c r="I2185" s="2" t="str">
        <f aca="false">CHOOSE(WEEKDAY(B2185,2),"Senin","Selasa","Rabu","Kamis","Jumat","Sabtu","Minggu")</f>
        <v>Senin</v>
      </c>
      <c r="J2185" s="2" t="n">
        <f aca="false">HOUR(E2185)</f>
        <v>12</v>
      </c>
      <c r="K2185" s="2" t="str">
        <f aca="false">IF(J2185&lt;11,"Pagi",IF(J2185&lt;17,"Siang","Malam"))</f>
        <v>Siang</v>
      </c>
      <c r="L2185" s="2" t="n">
        <f aca="false">IF(A2185&lt;&gt;A2184,1,0)</f>
        <v>1</v>
      </c>
    </row>
    <row r="2186" customFormat="false" ht="15" hidden="false" customHeight="false" outlineLevel="0" collapsed="false">
      <c r="A2186" s="2" t="s">
        <v>2025</v>
      </c>
      <c r="B2186" s="13" t="n">
        <v>46293</v>
      </c>
      <c r="C2186" s="2" t="s">
        <v>81</v>
      </c>
      <c r="D2186" s="2" t="n">
        <v>1</v>
      </c>
      <c r="E2186" s="15" t="n">
        <v>0.521527777777778</v>
      </c>
      <c r="F2186" s="7" t="n">
        <v>15000</v>
      </c>
      <c r="G2186" s="7" t="n">
        <f aca="false">D2186*F2186</f>
        <v>15000</v>
      </c>
      <c r="H2186" s="2" t="str">
        <f aca="false">INDEX(Daftar_Menu!$B$2:$B$13,MATCH(C2186,Daftar_Menu!$A$2:$A$13,0))</f>
        <v>Makanan</v>
      </c>
      <c r="I2186" s="2" t="str">
        <f aca="false">CHOOSE(WEEKDAY(B2186,2),"Senin","Selasa","Rabu","Kamis","Jumat","Sabtu","Minggu")</f>
        <v>Senin</v>
      </c>
      <c r="J2186" s="2" t="n">
        <f aca="false">HOUR(E2186)</f>
        <v>12</v>
      </c>
      <c r="K2186" s="2" t="str">
        <f aca="false">IF(J2186&lt;11,"Pagi",IF(J2186&lt;17,"Siang","Malam"))</f>
        <v>Siang</v>
      </c>
      <c r="L2186" s="2" t="n">
        <f aca="false">IF(A2186&lt;&gt;A2185,1,0)</f>
        <v>1</v>
      </c>
    </row>
    <row r="2187" customFormat="false" ht="15" hidden="false" customHeight="false" outlineLevel="0" collapsed="false">
      <c r="A2187" s="2" t="s">
        <v>2025</v>
      </c>
      <c r="B2187" s="13" t="n">
        <v>46293</v>
      </c>
      <c r="C2187" s="2" t="s">
        <v>79</v>
      </c>
      <c r="D2187" s="2" t="n">
        <v>1</v>
      </c>
      <c r="E2187" s="15" t="n">
        <v>0.521527777777778</v>
      </c>
      <c r="F2187" s="7" t="n">
        <v>16000</v>
      </c>
      <c r="G2187" s="7" t="n">
        <f aca="false">D2187*F2187</f>
        <v>16000</v>
      </c>
      <c r="H2187" s="2" t="str">
        <f aca="false">INDEX(Daftar_Menu!$B$2:$B$13,MATCH(C2187,Daftar_Menu!$A$2:$A$13,0))</f>
        <v>Makanan</v>
      </c>
      <c r="I2187" s="2" t="str">
        <f aca="false">CHOOSE(WEEKDAY(B2187,2),"Senin","Selasa","Rabu","Kamis","Jumat","Sabtu","Minggu")</f>
        <v>Senin</v>
      </c>
      <c r="J2187" s="2" t="n">
        <f aca="false">HOUR(E2187)</f>
        <v>12</v>
      </c>
      <c r="K2187" s="2" t="str">
        <f aca="false">IF(J2187&lt;11,"Pagi",IF(J2187&lt;17,"Siang","Malam"))</f>
        <v>Siang</v>
      </c>
      <c r="L2187" s="2" t="n">
        <f aca="false">IF(A2187&lt;&gt;A2186,1,0)</f>
        <v>0</v>
      </c>
    </row>
    <row r="2188" customFormat="false" ht="15" hidden="false" customHeight="false" outlineLevel="0" collapsed="false">
      <c r="A2188" s="2" t="s">
        <v>2026</v>
      </c>
      <c r="B2188" s="13" t="n">
        <v>46293</v>
      </c>
      <c r="C2188" s="2" t="s">
        <v>101</v>
      </c>
      <c r="D2188" s="2" t="n">
        <v>1</v>
      </c>
      <c r="E2188" s="15" t="n">
        <v>0.522916666666667</v>
      </c>
      <c r="F2188" s="7" t="n">
        <v>18000</v>
      </c>
      <c r="G2188" s="7" t="n">
        <f aca="false">D2188*F2188</f>
        <v>18000</v>
      </c>
      <c r="H2188" s="2" t="str">
        <f aca="false">INDEX(Daftar_Menu!$B$2:$B$13,MATCH(C2188,Daftar_Menu!$A$2:$A$13,0))</f>
        <v>Makanan</v>
      </c>
      <c r="I2188" s="2" t="str">
        <f aca="false">CHOOSE(WEEKDAY(B2188,2),"Senin","Selasa","Rabu","Kamis","Jumat","Sabtu","Minggu")</f>
        <v>Senin</v>
      </c>
      <c r="J2188" s="2" t="n">
        <f aca="false">HOUR(E2188)</f>
        <v>12</v>
      </c>
      <c r="K2188" s="2" t="str">
        <f aca="false">IF(J2188&lt;11,"Pagi",IF(J2188&lt;17,"Siang","Malam"))</f>
        <v>Siang</v>
      </c>
      <c r="L2188" s="2" t="n">
        <f aca="false">IF(A2188&lt;&gt;A2187,1,0)</f>
        <v>1</v>
      </c>
    </row>
    <row r="2189" customFormat="false" ht="15" hidden="false" customHeight="false" outlineLevel="0" collapsed="false">
      <c r="A2189" s="2" t="s">
        <v>2026</v>
      </c>
      <c r="B2189" s="13" t="n">
        <v>46293</v>
      </c>
      <c r="C2189" s="2" t="s">
        <v>81</v>
      </c>
      <c r="D2189" s="2" t="n">
        <v>1</v>
      </c>
      <c r="E2189" s="15" t="n">
        <v>0.522916666666667</v>
      </c>
      <c r="F2189" s="7" t="n">
        <v>15000</v>
      </c>
      <c r="G2189" s="7" t="n">
        <f aca="false">D2189*F2189</f>
        <v>15000</v>
      </c>
      <c r="H2189" s="2" t="str">
        <f aca="false">INDEX(Daftar_Menu!$B$2:$B$13,MATCH(C2189,Daftar_Menu!$A$2:$A$13,0))</f>
        <v>Makanan</v>
      </c>
      <c r="I2189" s="2" t="str">
        <f aca="false">CHOOSE(WEEKDAY(B2189,2),"Senin","Selasa","Rabu","Kamis","Jumat","Sabtu","Minggu")</f>
        <v>Senin</v>
      </c>
      <c r="J2189" s="2" t="n">
        <f aca="false">HOUR(E2189)</f>
        <v>12</v>
      </c>
      <c r="K2189" s="2" t="str">
        <f aca="false">IF(J2189&lt;11,"Pagi",IF(J2189&lt;17,"Siang","Malam"))</f>
        <v>Siang</v>
      </c>
      <c r="L2189" s="2" t="n">
        <f aca="false">IF(A2189&lt;&gt;A2188,1,0)</f>
        <v>0</v>
      </c>
    </row>
    <row r="2190" customFormat="false" ht="15" hidden="false" customHeight="false" outlineLevel="0" collapsed="false">
      <c r="A2190" s="2" t="s">
        <v>2027</v>
      </c>
      <c r="B2190" s="13" t="n">
        <v>46293</v>
      </c>
      <c r="C2190" s="2" t="s">
        <v>81</v>
      </c>
      <c r="D2190" s="2" t="n">
        <v>1</v>
      </c>
      <c r="E2190" s="15" t="n">
        <v>0.538194444444444</v>
      </c>
      <c r="F2190" s="7" t="n">
        <v>15000</v>
      </c>
      <c r="G2190" s="7" t="n">
        <f aca="false">D2190*F2190</f>
        <v>15000</v>
      </c>
      <c r="H2190" s="2" t="str">
        <f aca="false">INDEX(Daftar_Menu!$B$2:$B$13,MATCH(C2190,Daftar_Menu!$A$2:$A$13,0))</f>
        <v>Makanan</v>
      </c>
      <c r="I2190" s="2" t="str">
        <f aca="false">CHOOSE(WEEKDAY(B2190,2),"Senin","Selasa","Rabu","Kamis","Jumat","Sabtu","Minggu")</f>
        <v>Senin</v>
      </c>
      <c r="J2190" s="2" t="n">
        <f aca="false">HOUR(E2190)</f>
        <v>12</v>
      </c>
      <c r="K2190" s="2" t="str">
        <f aca="false">IF(J2190&lt;11,"Pagi",IF(J2190&lt;17,"Siang","Malam"))</f>
        <v>Siang</v>
      </c>
      <c r="L2190" s="2" t="n">
        <f aca="false">IF(A2190&lt;&gt;A2189,1,0)</f>
        <v>1</v>
      </c>
    </row>
    <row r="2191" customFormat="false" ht="15" hidden="false" customHeight="false" outlineLevel="0" collapsed="false">
      <c r="A2191" s="2" t="s">
        <v>2027</v>
      </c>
      <c r="B2191" s="13" t="n">
        <v>46293</v>
      </c>
      <c r="C2191" s="2" t="s">
        <v>82</v>
      </c>
      <c r="D2191" s="2" t="n">
        <v>2</v>
      </c>
      <c r="E2191" s="15" t="n">
        <v>0.538194444444444</v>
      </c>
      <c r="F2191" s="7" t="n">
        <v>13000</v>
      </c>
      <c r="G2191" s="7" t="n">
        <f aca="false">D2191*F2191</f>
        <v>26000</v>
      </c>
      <c r="H2191" s="2" t="str">
        <f aca="false">INDEX(Daftar_Menu!$B$2:$B$13,MATCH(C2191,Daftar_Menu!$A$2:$A$13,0))</f>
        <v>Makanan</v>
      </c>
      <c r="I2191" s="2" t="str">
        <f aca="false">CHOOSE(WEEKDAY(B2191,2),"Senin","Selasa","Rabu","Kamis","Jumat","Sabtu","Minggu")</f>
        <v>Senin</v>
      </c>
      <c r="J2191" s="2" t="n">
        <f aca="false">HOUR(E2191)</f>
        <v>12</v>
      </c>
      <c r="K2191" s="2" t="str">
        <f aca="false">IF(J2191&lt;11,"Pagi",IF(J2191&lt;17,"Siang","Malam"))</f>
        <v>Siang</v>
      </c>
      <c r="L2191" s="2" t="n">
        <f aca="false">IF(A2191&lt;&gt;A2190,1,0)</f>
        <v>0</v>
      </c>
    </row>
    <row r="2192" customFormat="false" ht="15" hidden="false" customHeight="false" outlineLevel="0" collapsed="false">
      <c r="A2192" s="2" t="s">
        <v>2028</v>
      </c>
      <c r="B2192" s="13" t="n">
        <v>46293</v>
      </c>
      <c r="C2192" s="2" t="s">
        <v>84</v>
      </c>
      <c r="D2192" s="2" t="n">
        <v>1</v>
      </c>
      <c r="E2192" s="15" t="n">
        <v>0.539583333333333</v>
      </c>
      <c r="F2192" s="7" t="n">
        <v>5000</v>
      </c>
      <c r="G2192" s="7" t="n">
        <f aca="false">D2192*F2192</f>
        <v>5000</v>
      </c>
      <c r="H2192" s="2" t="str">
        <f aca="false">INDEX(Daftar_Menu!$B$2:$B$13,MATCH(C2192,Daftar_Menu!$A$2:$A$13,0))</f>
        <v>Minuman</v>
      </c>
      <c r="I2192" s="2" t="str">
        <f aca="false">CHOOSE(WEEKDAY(B2192,2),"Senin","Selasa","Rabu","Kamis","Jumat","Sabtu","Minggu")</f>
        <v>Senin</v>
      </c>
      <c r="J2192" s="2" t="n">
        <f aca="false">HOUR(E2192)</f>
        <v>12</v>
      </c>
      <c r="K2192" s="2" t="str">
        <f aca="false">IF(J2192&lt;11,"Pagi",IF(J2192&lt;17,"Siang","Malam"))</f>
        <v>Siang</v>
      </c>
      <c r="L2192" s="2" t="n">
        <f aca="false">IF(A2192&lt;&gt;A2191,1,0)</f>
        <v>1</v>
      </c>
    </row>
    <row r="2193" customFormat="false" ht="15" hidden="false" customHeight="false" outlineLevel="0" collapsed="false">
      <c r="A2193" s="2" t="s">
        <v>2028</v>
      </c>
      <c r="B2193" s="13" t="n">
        <v>46293</v>
      </c>
      <c r="C2193" s="2" t="s">
        <v>79</v>
      </c>
      <c r="D2193" s="2" t="n">
        <v>2</v>
      </c>
      <c r="E2193" s="15" t="n">
        <v>0.539583333333333</v>
      </c>
      <c r="F2193" s="7" t="n">
        <v>16000</v>
      </c>
      <c r="G2193" s="7" t="n">
        <f aca="false">D2193*F2193</f>
        <v>32000</v>
      </c>
      <c r="H2193" s="2" t="str">
        <f aca="false">INDEX(Daftar_Menu!$B$2:$B$13,MATCH(C2193,Daftar_Menu!$A$2:$A$13,0))</f>
        <v>Makanan</v>
      </c>
      <c r="I2193" s="2" t="str">
        <f aca="false">CHOOSE(WEEKDAY(B2193,2),"Senin","Selasa","Rabu","Kamis","Jumat","Sabtu","Minggu")</f>
        <v>Senin</v>
      </c>
      <c r="J2193" s="2" t="n">
        <f aca="false">HOUR(E2193)</f>
        <v>12</v>
      </c>
      <c r="K2193" s="2" t="str">
        <f aca="false">IF(J2193&lt;11,"Pagi",IF(J2193&lt;17,"Siang","Malam"))</f>
        <v>Siang</v>
      </c>
      <c r="L2193" s="2" t="n">
        <f aca="false">IF(A2193&lt;&gt;A2192,1,0)</f>
        <v>0</v>
      </c>
    </row>
    <row r="2194" customFormat="false" ht="15" hidden="false" customHeight="false" outlineLevel="0" collapsed="false">
      <c r="A2194" s="2" t="s">
        <v>2029</v>
      </c>
      <c r="B2194" s="13" t="n">
        <v>46293</v>
      </c>
      <c r="C2194" s="2" t="s">
        <v>82</v>
      </c>
      <c r="D2194" s="2" t="n">
        <v>1</v>
      </c>
      <c r="E2194" s="15" t="n">
        <v>0.549305555555556</v>
      </c>
      <c r="F2194" s="7" t="n">
        <v>13000</v>
      </c>
      <c r="G2194" s="7" t="n">
        <f aca="false">D2194*F2194</f>
        <v>13000</v>
      </c>
      <c r="H2194" s="2" t="str">
        <f aca="false">INDEX(Daftar_Menu!$B$2:$B$13,MATCH(C2194,Daftar_Menu!$A$2:$A$13,0))</f>
        <v>Makanan</v>
      </c>
      <c r="I2194" s="2" t="str">
        <f aca="false">CHOOSE(WEEKDAY(B2194,2),"Senin","Selasa","Rabu","Kamis","Jumat","Sabtu","Minggu")</f>
        <v>Senin</v>
      </c>
      <c r="J2194" s="2" t="n">
        <f aca="false">HOUR(E2194)</f>
        <v>13</v>
      </c>
      <c r="K2194" s="2" t="str">
        <f aca="false">IF(J2194&lt;11,"Pagi",IF(J2194&lt;17,"Siang","Malam"))</f>
        <v>Siang</v>
      </c>
      <c r="L2194" s="2" t="n">
        <f aca="false">IF(A2194&lt;&gt;A2193,1,0)</f>
        <v>1</v>
      </c>
    </row>
    <row r="2195" customFormat="false" ht="15" hidden="false" customHeight="false" outlineLevel="0" collapsed="false">
      <c r="A2195" s="2" t="s">
        <v>2031</v>
      </c>
      <c r="B2195" s="13" t="n">
        <v>46293</v>
      </c>
      <c r="C2195" s="2" t="s">
        <v>84</v>
      </c>
      <c r="D2195" s="2" t="n">
        <v>1</v>
      </c>
      <c r="E2195" s="15" t="n">
        <v>0.567361111111111</v>
      </c>
      <c r="F2195" s="7" t="n">
        <v>5000</v>
      </c>
      <c r="G2195" s="7" t="n">
        <f aca="false">D2195*F2195</f>
        <v>5000</v>
      </c>
      <c r="H2195" s="2" t="str">
        <f aca="false">INDEX(Daftar_Menu!$B$2:$B$13,MATCH(C2195,Daftar_Menu!$A$2:$A$13,0))</f>
        <v>Minuman</v>
      </c>
      <c r="I2195" s="2" t="str">
        <f aca="false">CHOOSE(WEEKDAY(B2195,2),"Senin","Selasa","Rabu","Kamis","Jumat","Sabtu","Minggu")</f>
        <v>Senin</v>
      </c>
      <c r="J2195" s="2" t="n">
        <f aca="false">HOUR(E2195)</f>
        <v>13</v>
      </c>
      <c r="K2195" s="2" t="str">
        <f aca="false">IF(J2195&lt;11,"Pagi",IF(J2195&lt;17,"Siang","Malam"))</f>
        <v>Siang</v>
      </c>
      <c r="L2195" s="2" t="n">
        <f aca="false">IF(A2195&lt;&gt;A2194,1,0)</f>
        <v>1</v>
      </c>
    </row>
    <row r="2196" customFormat="false" ht="15" hidden="false" customHeight="false" outlineLevel="0" collapsed="false">
      <c r="A2196" s="2" t="s">
        <v>2032</v>
      </c>
      <c r="B2196" s="13" t="n">
        <v>46293</v>
      </c>
      <c r="C2196" s="2" t="s">
        <v>126</v>
      </c>
      <c r="D2196" s="2" t="n">
        <v>1</v>
      </c>
      <c r="E2196" s="15" t="n">
        <v>0.575</v>
      </c>
      <c r="F2196" s="7" t="n">
        <v>3000</v>
      </c>
      <c r="G2196" s="7" t="n">
        <f aca="false">D2196*F2196</f>
        <v>3000</v>
      </c>
      <c r="H2196" s="2" t="str">
        <f aca="false">INDEX(Daftar_Menu!$B$2:$B$13,MATCH(C2196,Daftar_Menu!$A$2:$A$13,0))</f>
        <v>Minuman</v>
      </c>
      <c r="I2196" s="2" t="str">
        <f aca="false">CHOOSE(WEEKDAY(B2196,2),"Senin","Selasa","Rabu","Kamis","Jumat","Sabtu","Minggu")</f>
        <v>Senin</v>
      </c>
      <c r="J2196" s="2" t="n">
        <f aca="false">HOUR(E2196)</f>
        <v>13</v>
      </c>
      <c r="K2196" s="2" t="str">
        <f aca="false">IF(J2196&lt;11,"Pagi",IF(J2196&lt;17,"Siang","Malam"))</f>
        <v>Siang</v>
      </c>
      <c r="L2196" s="2" t="n">
        <f aca="false">IF(A2196&lt;&gt;A2195,1,0)</f>
        <v>1</v>
      </c>
    </row>
    <row r="2197" customFormat="false" ht="15" hidden="false" customHeight="false" outlineLevel="0" collapsed="false">
      <c r="A2197" s="2" t="s">
        <v>2033</v>
      </c>
      <c r="B2197" s="13" t="n">
        <v>46293</v>
      </c>
      <c r="C2197" s="2" t="s">
        <v>108</v>
      </c>
      <c r="D2197" s="2" t="n">
        <v>2</v>
      </c>
      <c r="E2197" s="15" t="n">
        <v>0.58125</v>
      </c>
      <c r="F2197" s="7" t="n">
        <v>20000</v>
      </c>
      <c r="G2197" s="7" t="n">
        <f aca="false">D2197*F2197</f>
        <v>40000</v>
      </c>
      <c r="H2197" s="2" t="str">
        <f aca="false">INDEX(Daftar_Menu!$B$2:$B$13,MATCH(C2197,Daftar_Menu!$A$2:$A$13,0))</f>
        <v>Makanan</v>
      </c>
      <c r="I2197" s="2" t="str">
        <f aca="false">CHOOSE(WEEKDAY(B2197,2),"Senin","Selasa","Rabu","Kamis","Jumat","Sabtu","Minggu")</f>
        <v>Senin</v>
      </c>
      <c r="J2197" s="2" t="n">
        <f aca="false">HOUR(E2197)</f>
        <v>13</v>
      </c>
      <c r="K2197" s="2" t="str">
        <f aca="false">IF(J2197&lt;11,"Pagi",IF(J2197&lt;17,"Siang","Malam"))</f>
        <v>Siang</v>
      </c>
      <c r="L2197" s="2" t="n">
        <f aca="false">IF(A2197&lt;&gt;A2196,1,0)</f>
        <v>1</v>
      </c>
    </row>
    <row r="2198" customFormat="false" ht="15" hidden="false" customHeight="false" outlineLevel="0" collapsed="false">
      <c r="A2198" s="2" t="s">
        <v>2035</v>
      </c>
      <c r="B2198" s="13" t="n">
        <v>46293</v>
      </c>
      <c r="C2198" s="2" t="s">
        <v>81</v>
      </c>
      <c r="D2198" s="2" t="n">
        <v>1</v>
      </c>
      <c r="E2198" s="15" t="n">
        <v>0.605555555555556</v>
      </c>
      <c r="F2198" s="7" t="n">
        <v>15000</v>
      </c>
      <c r="G2198" s="7" t="n">
        <f aca="false">D2198*F2198</f>
        <v>15000</v>
      </c>
      <c r="H2198" s="2" t="str">
        <f aca="false">INDEX(Daftar_Menu!$B$2:$B$13,MATCH(C2198,Daftar_Menu!$A$2:$A$13,0))</f>
        <v>Makanan</v>
      </c>
      <c r="I2198" s="2" t="str">
        <f aca="false">CHOOSE(WEEKDAY(B2198,2),"Senin","Selasa","Rabu","Kamis","Jumat","Sabtu","Minggu")</f>
        <v>Senin</v>
      </c>
      <c r="J2198" s="2" t="n">
        <f aca="false">HOUR(E2198)</f>
        <v>14</v>
      </c>
      <c r="K2198" s="2" t="str">
        <f aca="false">IF(J2198&lt;11,"Pagi",IF(J2198&lt;17,"Siang","Malam"))</f>
        <v>Siang</v>
      </c>
      <c r="L2198" s="2" t="n">
        <f aca="false">IF(A2198&lt;&gt;A2197,1,0)</f>
        <v>1</v>
      </c>
    </row>
    <row r="2199" customFormat="false" ht="15" hidden="false" customHeight="false" outlineLevel="0" collapsed="false">
      <c r="A2199" s="2" t="s">
        <v>2036</v>
      </c>
      <c r="B2199" s="13" t="n">
        <v>46293</v>
      </c>
      <c r="C2199" s="2" t="s">
        <v>101</v>
      </c>
      <c r="D2199" s="2" t="n">
        <v>1</v>
      </c>
      <c r="E2199" s="15" t="n">
        <v>0.61875</v>
      </c>
      <c r="F2199" s="7" t="n">
        <v>18000</v>
      </c>
      <c r="G2199" s="7" t="n">
        <f aca="false">D2199*F2199</f>
        <v>18000</v>
      </c>
      <c r="H2199" s="2" t="str">
        <f aca="false">INDEX(Daftar_Menu!$B$2:$B$13,MATCH(C2199,Daftar_Menu!$A$2:$A$13,0))</f>
        <v>Makanan</v>
      </c>
      <c r="I2199" s="2" t="str">
        <f aca="false">CHOOSE(WEEKDAY(B2199,2),"Senin","Selasa","Rabu","Kamis","Jumat","Sabtu","Minggu")</f>
        <v>Senin</v>
      </c>
      <c r="J2199" s="2" t="n">
        <f aca="false">HOUR(E2199)</f>
        <v>14</v>
      </c>
      <c r="K2199" s="2" t="str">
        <f aca="false">IF(J2199&lt;11,"Pagi",IF(J2199&lt;17,"Siang","Malam"))</f>
        <v>Siang</v>
      </c>
      <c r="L2199" s="2" t="n">
        <f aca="false">IF(A2199&lt;&gt;A2198,1,0)</f>
        <v>1</v>
      </c>
    </row>
    <row r="2200" customFormat="false" ht="15" hidden="false" customHeight="false" outlineLevel="0" collapsed="false">
      <c r="A2200" s="2" t="s">
        <v>2037</v>
      </c>
      <c r="B2200" s="13" t="n">
        <v>46293</v>
      </c>
      <c r="C2200" s="2" t="s">
        <v>89</v>
      </c>
      <c r="D2200" s="2" t="n">
        <v>1</v>
      </c>
      <c r="E2200" s="15" t="n">
        <v>0.688194444444444</v>
      </c>
      <c r="F2200" s="7" t="n">
        <v>14000</v>
      </c>
      <c r="G2200" s="7" t="n">
        <f aca="false">D2200*F2200</f>
        <v>14000</v>
      </c>
      <c r="H2200" s="2" t="str">
        <f aca="false">INDEX(Daftar_Menu!$B$2:$B$13,MATCH(C2200,Daftar_Menu!$A$2:$A$13,0))</f>
        <v>Makanan</v>
      </c>
      <c r="I2200" s="2" t="str">
        <f aca="false">CHOOSE(WEEKDAY(B2200,2),"Senin","Selasa","Rabu","Kamis","Jumat","Sabtu","Minggu")</f>
        <v>Senin</v>
      </c>
      <c r="J2200" s="2" t="n">
        <f aca="false">HOUR(E2200)</f>
        <v>16</v>
      </c>
      <c r="K2200" s="2" t="str">
        <f aca="false">IF(J2200&lt;11,"Pagi",IF(J2200&lt;17,"Siang","Malam"))</f>
        <v>Siang</v>
      </c>
      <c r="L2200" s="2" t="n">
        <f aca="false">IF(A2200&lt;&gt;A2199,1,0)</f>
        <v>1</v>
      </c>
    </row>
    <row r="2201" customFormat="false" ht="15" hidden="false" customHeight="false" outlineLevel="0" collapsed="false">
      <c r="A2201" s="2" t="s">
        <v>2037</v>
      </c>
      <c r="B2201" s="13" t="n">
        <v>46293</v>
      </c>
      <c r="C2201" s="2" t="s">
        <v>101</v>
      </c>
      <c r="D2201" s="2" t="n">
        <v>1</v>
      </c>
      <c r="E2201" s="15" t="n">
        <v>0.688194444444444</v>
      </c>
      <c r="F2201" s="7" t="n">
        <v>18000</v>
      </c>
      <c r="G2201" s="7" t="n">
        <f aca="false">D2201*F2201</f>
        <v>18000</v>
      </c>
      <c r="H2201" s="2" t="str">
        <f aca="false">INDEX(Daftar_Menu!$B$2:$B$13,MATCH(C2201,Daftar_Menu!$A$2:$A$13,0))</f>
        <v>Makanan</v>
      </c>
      <c r="I2201" s="2" t="str">
        <f aca="false">CHOOSE(WEEKDAY(B2201,2),"Senin","Selasa","Rabu","Kamis","Jumat","Sabtu","Minggu")</f>
        <v>Senin</v>
      </c>
      <c r="J2201" s="2" t="n">
        <f aca="false">HOUR(E2201)</f>
        <v>16</v>
      </c>
      <c r="K2201" s="2" t="str">
        <f aca="false">IF(J2201&lt;11,"Pagi",IF(J2201&lt;17,"Siang","Malam"))</f>
        <v>Siang</v>
      </c>
      <c r="L2201" s="2" t="n">
        <f aca="false">IF(A2201&lt;&gt;A2200,1,0)</f>
        <v>0</v>
      </c>
    </row>
    <row r="2202" customFormat="false" ht="15" hidden="false" customHeight="false" outlineLevel="0" collapsed="false">
      <c r="A2202" s="2" t="s">
        <v>2037</v>
      </c>
      <c r="B2202" s="13" t="n">
        <v>46293</v>
      </c>
      <c r="C2202" s="2" t="s">
        <v>186</v>
      </c>
      <c r="D2202" s="2" t="n">
        <v>1</v>
      </c>
      <c r="E2202" s="15" t="n">
        <v>0.688194444444444</v>
      </c>
      <c r="F2202" s="7" t="n">
        <v>7000</v>
      </c>
      <c r="G2202" s="7" t="n">
        <f aca="false">D2202*F2202</f>
        <v>7000</v>
      </c>
      <c r="H2202" s="2" t="str">
        <f aca="false">INDEX(Daftar_Menu!$B$2:$B$13,MATCH(C2202,Daftar_Menu!$A$2:$A$13,0))</f>
        <v>Minuman</v>
      </c>
      <c r="I2202" s="2" t="str">
        <f aca="false">CHOOSE(WEEKDAY(B2202,2),"Senin","Selasa","Rabu","Kamis","Jumat","Sabtu","Minggu")</f>
        <v>Senin</v>
      </c>
      <c r="J2202" s="2" t="n">
        <f aca="false">HOUR(E2202)</f>
        <v>16</v>
      </c>
      <c r="K2202" s="2" t="str">
        <f aca="false">IF(J2202&lt;11,"Pagi",IF(J2202&lt;17,"Siang","Malam"))</f>
        <v>Siang</v>
      </c>
      <c r="L2202" s="2" t="n">
        <f aca="false">IF(A2202&lt;&gt;A2201,1,0)</f>
        <v>0</v>
      </c>
    </row>
    <row r="2203" customFormat="false" ht="15" hidden="false" customHeight="false" outlineLevel="0" collapsed="false">
      <c r="A2203" s="2" t="s">
        <v>2038</v>
      </c>
      <c r="B2203" s="13" t="n">
        <v>46293</v>
      </c>
      <c r="C2203" s="2" t="s">
        <v>132</v>
      </c>
      <c r="D2203" s="2" t="n">
        <v>1</v>
      </c>
      <c r="E2203" s="15" t="n">
        <v>0.690277777777778</v>
      </c>
      <c r="F2203" s="7" t="n">
        <v>15000</v>
      </c>
      <c r="G2203" s="7" t="n">
        <f aca="false">D2203*F2203</f>
        <v>15000</v>
      </c>
      <c r="H2203" s="2" t="str">
        <f aca="false">INDEX(Daftar_Menu!$B$2:$B$13,MATCH(C2203,Daftar_Menu!$A$2:$A$13,0))</f>
        <v>Makanan</v>
      </c>
      <c r="I2203" s="2" t="str">
        <f aca="false">CHOOSE(WEEKDAY(B2203,2),"Senin","Selasa","Rabu","Kamis","Jumat","Sabtu","Minggu")</f>
        <v>Senin</v>
      </c>
      <c r="J2203" s="2" t="n">
        <f aca="false">HOUR(E2203)</f>
        <v>16</v>
      </c>
      <c r="K2203" s="2" t="str">
        <f aca="false">IF(J2203&lt;11,"Pagi",IF(J2203&lt;17,"Siang","Malam"))</f>
        <v>Siang</v>
      </c>
      <c r="L2203" s="2" t="n">
        <f aca="false">IF(A2203&lt;&gt;A2202,1,0)</f>
        <v>1</v>
      </c>
    </row>
    <row r="2204" customFormat="false" ht="15" hidden="false" customHeight="false" outlineLevel="0" collapsed="false">
      <c r="A2204" s="2" t="s">
        <v>2038</v>
      </c>
      <c r="B2204" s="13" t="n">
        <v>46293</v>
      </c>
      <c r="C2204" s="2" t="s">
        <v>81</v>
      </c>
      <c r="D2204" s="2" t="n">
        <v>1</v>
      </c>
      <c r="E2204" s="15" t="n">
        <v>0.690277777777778</v>
      </c>
      <c r="F2204" s="7" t="n">
        <v>15000</v>
      </c>
      <c r="G2204" s="7" t="n">
        <f aca="false">D2204*F2204</f>
        <v>15000</v>
      </c>
      <c r="H2204" s="2" t="str">
        <f aca="false">INDEX(Daftar_Menu!$B$2:$B$13,MATCH(C2204,Daftar_Menu!$A$2:$A$13,0))</f>
        <v>Makanan</v>
      </c>
      <c r="I2204" s="2" t="str">
        <f aca="false">CHOOSE(WEEKDAY(B2204,2),"Senin","Selasa","Rabu","Kamis","Jumat","Sabtu","Minggu")</f>
        <v>Senin</v>
      </c>
      <c r="J2204" s="2" t="n">
        <f aca="false">HOUR(E2204)</f>
        <v>16</v>
      </c>
      <c r="K2204" s="2" t="str">
        <f aca="false">IF(J2204&lt;11,"Pagi",IF(J2204&lt;17,"Siang","Malam"))</f>
        <v>Siang</v>
      </c>
      <c r="L2204" s="2" t="n">
        <f aca="false">IF(A2204&lt;&gt;A2203,1,0)</f>
        <v>0</v>
      </c>
    </row>
    <row r="2205" customFormat="false" ht="15" hidden="false" customHeight="false" outlineLevel="0" collapsed="false">
      <c r="A2205" s="2" t="s">
        <v>2039</v>
      </c>
      <c r="B2205" s="13" t="n">
        <v>46293</v>
      </c>
      <c r="C2205" s="2" t="s">
        <v>81</v>
      </c>
      <c r="D2205" s="2" t="n">
        <v>1</v>
      </c>
      <c r="E2205" s="15" t="n">
        <v>0.706944444444445</v>
      </c>
      <c r="F2205" s="7" t="n">
        <v>15000</v>
      </c>
      <c r="G2205" s="7" t="n">
        <f aca="false">D2205*F2205</f>
        <v>15000</v>
      </c>
      <c r="H2205" s="2" t="str">
        <f aca="false">INDEX(Daftar_Menu!$B$2:$B$13,MATCH(C2205,Daftar_Menu!$A$2:$A$13,0))</f>
        <v>Makanan</v>
      </c>
      <c r="I2205" s="2" t="str">
        <f aca="false">CHOOSE(WEEKDAY(B2205,2),"Senin","Selasa","Rabu","Kamis","Jumat","Sabtu","Minggu")</f>
        <v>Senin</v>
      </c>
      <c r="J2205" s="2" t="n">
        <f aca="false">HOUR(E2205)</f>
        <v>16</v>
      </c>
      <c r="K2205" s="2" t="str">
        <f aca="false">IF(J2205&lt;11,"Pagi",IF(J2205&lt;17,"Siang","Malam"))</f>
        <v>Siang</v>
      </c>
      <c r="L2205" s="2" t="n">
        <f aca="false">IF(A2205&lt;&gt;A2204,1,0)</f>
        <v>1</v>
      </c>
    </row>
    <row r="2206" customFormat="false" ht="15" hidden="false" customHeight="false" outlineLevel="0" collapsed="false">
      <c r="A2206" s="2" t="s">
        <v>2039</v>
      </c>
      <c r="B2206" s="13" t="n">
        <v>46293</v>
      </c>
      <c r="C2206" s="2" t="s">
        <v>92</v>
      </c>
      <c r="D2206" s="2" t="n">
        <v>1</v>
      </c>
      <c r="E2206" s="15" t="n">
        <v>0.706944444444445</v>
      </c>
      <c r="F2206" s="7" t="n">
        <v>4000</v>
      </c>
      <c r="G2206" s="7" t="n">
        <f aca="false">D2206*F2206</f>
        <v>4000</v>
      </c>
      <c r="H2206" s="2" t="str">
        <f aca="false">INDEX(Daftar_Menu!$B$2:$B$13,MATCH(C2206,Daftar_Menu!$A$2:$A$13,0))</f>
        <v>Minuman</v>
      </c>
      <c r="I2206" s="2" t="str">
        <f aca="false">CHOOSE(WEEKDAY(B2206,2),"Senin","Selasa","Rabu","Kamis","Jumat","Sabtu","Minggu")</f>
        <v>Senin</v>
      </c>
      <c r="J2206" s="2" t="n">
        <f aca="false">HOUR(E2206)</f>
        <v>16</v>
      </c>
      <c r="K2206" s="2" t="str">
        <f aca="false">IF(J2206&lt;11,"Pagi",IF(J2206&lt;17,"Siang","Malam"))</f>
        <v>Siang</v>
      </c>
      <c r="L2206" s="2" t="n">
        <f aca="false">IF(A2206&lt;&gt;A2205,1,0)</f>
        <v>0</v>
      </c>
    </row>
    <row r="2207" customFormat="false" ht="15" hidden="false" customHeight="false" outlineLevel="0" collapsed="false">
      <c r="A2207" s="2" t="s">
        <v>2039</v>
      </c>
      <c r="B2207" s="13" t="n">
        <v>46293</v>
      </c>
      <c r="C2207" s="2" t="s">
        <v>112</v>
      </c>
      <c r="D2207" s="2" t="n">
        <v>1</v>
      </c>
      <c r="E2207" s="15" t="n">
        <v>0.706944444444445</v>
      </c>
      <c r="F2207" s="7" t="n">
        <v>10000</v>
      </c>
      <c r="G2207" s="7" t="n">
        <f aca="false">D2207*F2207</f>
        <v>10000</v>
      </c>
      <c r="H2207" s="2" t="str">
        <f aca="false">INDEX(Daftar_Menu!$B$2:$B$13,MATCH(C2207,Daftar_Menu!$A$2:$A$13,0))</f>
        <v>Minuman</v>
      </c>
      <c r="I2207" s="2" t="str">
        <f aca="false">CHOOSE(WEEKDAY(B2207,2),"Senin","Selasa","Rabu","Kamis","Jumat","Sabtu","Minggu")</f>
        <v>Senin</v>
      </c>
      <c r="J2207" s="2" t="n">
        <f aca="false">HOUR(E2207)</f>
        <v>16</v>
      </c>
      <c r="K2207" s="2" t="str">
        <f aca="false">IF(J2207&lt;11,"Pagi",IF(J2207&lt;17,"Siang","Malam"))</f>
        <v>Siang</v>
      </c>
      <c r="L2207" s="2" t="n">
        <f aca="false">IF(A2207&lt;&gt;A2206,1,0)</f>
        <v>0</v>
      </c>
    </row>
    <row r="2208" customFormat="false" ht="15" hidden="false" customHeight="false" outlineLevel="0" collapsed="false">
      <c r="A2208" s="2" t="s">
        <v>2040</v>
      </c>
      <c r="B2208" s="13" t="n">
        <v>46293</v>
      </c>
      <c r="C2208" s="2" t="s">
        <v>101</v>
      </c>
      <c r="D2208" s="2" t="n">
        <v>1</v>
      </c>
      <c r="E2208" s="15" t="n">
        <v>0.709722222222222</v>
      </c>
      <c r="F2208" s="7" t="n">
        <v>18000</v>
      </c>
      <c r="G2208" s="7" t="n">
        <f aca="false">D2208*F2208</f>
        <v>18000</v>
      </c>
      <c r="H2208" s="2" t="str">
        <f aca="false">INDEX(Daftar_Menu!$B$2:$B$13,MATCH(C2208,Daftar_Menu!$A$2:$A$13,0))</f>
        <v>Makanan</v>
      </c>
      <c r="I2208" s="2" t="str">
        <f aca="false">CHOOSE(WEEKDAY(B2208,2),"Senin","Selasa","Rabu","Kamis","Jumat","Sabtu","Minggu")</f>
        <v>Senin</v>
      </c>
      <c r="J2208" s="2" t="n">
        <f aca="false">HOUR(E2208)</f>
        <v>17</v>
      </c>
      <c r="K2208" s="2" t="str">
        <f aca="false">IF(J2208&lt;11,"Pagi",IF(J2208&lt;17,"Siang","Malam"))</f>
        <v>Malam</v>
      </c>
      <c r="L2208" s="2" t="n">
        <f aca="false">IF(A2208&lt;&gt;A2207,1,0)</f>
        <v>1</v>
      </c>
    </row>
    <row r="2209" customFormat="false" ht="15" hidden="false" customHeight="false" outlineLevel="0" collapsed="false">
      <c r="A2209" s="2" t="s">
        <v>2040</v>
      </c>
      <c r="B2209" s="13" t="n">
        <v>46293</v>
      </c>
      <c r="C2209" s="2" t="s">
        <v>81</v>
      </c>
      <c r="D2209" s="2" t="n">
        <v>1</v>
      </c>
      <c r="E2209" s="15" t="n">
        <v>0.709722222222222</v>
      </c>
      <c r="F2209" s="7" t="n">
        <v>15000</v>
      </c>
      <c r="G2209" s="7" t="n">
        <f aca="false">D2209*F2209</f>
        <v>15000</v>
      </c>
      <c r="H2209" s="2" t="str">
        <f aca="false">INDEX(Daftar_Menu!$B$2:$B$13,MATCH(C2209,Daftar_Menu!$A$2:$A$13,0))</f>
        <v>Makanan</v>
      </c>
      <c r="I2209" s="2" t="str">
        <f aca="false">CHOOSE(WEEKDAY(B2209,2),"Senin","Selasa","Rabu","Kamis","Jumat","Sabtu","Minggu")</f>
        <v>Senin</v>
      </c>
      <c r="J2209" s="2" t="n">
        <f aca="false">HOUR(E2209)</f>
        <v>17</v>
      </c>
      <c r="K2209" s="2" t="str">
        <f aca="false">IF(J2209&lt;11,"Pagi",IF(J2209&lt;17,"Siang","Malam"))</f>
        <v>Malam</v>
      </c>
      <c r="L2209" s="2" t="n">
        <f aca="false">IF(A2209&lt;&gt;A2208,1,0)</f>
        <v>0</v>
      </c>
    </row>
    <row r="2210" customFormat="false" ht="15" hidden="false" customHeight="false" outlineLevel="0" collapsed="false">
      <c r="A2210" s="2" t="s">
        <v>2041</v>
      </c>
      <c r="B2210" s="13" t="n">
        <v>46293</v>
      </c>
      <c r="C2210" s="2" t="s">
        <v>84</v>
      </c>
      <c r="D2210" s="2" t="n">
        <v>2</v>
      </c>
      <c r="E2210" s="15" t="n">
        <v>0.727777777777778</v>
      </c>
      <c r="F2210" s="7" t="n">
        <v>5000</v>
      </c>
      <c r="G2210" s="7" t="n">
        <f aca="false">D2210*F2210</f>
        <v>10000</v>
      </c>
      <c r="H2210" s="2" t="str">
        <f aca="false">INDEX(Daftar_Menu!$B$2:$B$13,MATCH(C2210,Daftar_Menu!$A$2:$A$13,0))</f>
        <v>Minuman</v>
      </c>
      <c r="I2210" s="2" t="str">
        <f aca="false">CHOOSE(WEEKDAY(B2210,2),"Senin","Selasa","Rabu","Kamis","Jumat","Sabtu","Minggu")</f>
        <v>Senin</v>
      </c>
      <c r="J2210" s="2" t="n">
        <f aca="false">HOUR(E2210)</f>
        <v>17</v>
      </c>
      <c r="K2210" s="2" t="str">
        <f aca="false">IF(J2210&lt;11,"Pagi",IF(J2210&lt;17,"Siang","Malam"))</f>
        <v>Malam</v>
      </c>
      <c r="L2210" s="2" t="n">
        <f aca="false">IF(A2210&lt;&gt;A2209,1,0)</f>
        <v>1</v>
      </c>
    </row>
    <row r="2211" customFormat="false" ht="15" hidden="false" customHeight="false" outlineLevel="0" collapsed="false">
      <c r="A2211" s="2" t="s">
        <v>2042</v>
      </c>
      <c r="B2211" s="13" t="n">
        <v>46293</v>
      </c>
      <c r="C2211" s="2" t="s">
        <v>89</v>
      </c>
      <c r="D2211" s="2" t="n">
        <v>1</v>
      </c>
      <c r="E2211" s="15" t="n">
        <v>0.729861111111111</v>
      </c>
      <c r="F2211" s="7" t="n">
        <v>14000</v>
      </c>
      <c r="G2211" s="7" t="n">
        <f aca="false">D2211*F2211</f>
        <v>14000</v>
      </c>
      <c r="H2211" s="2" t="str">
        <f aca="false">INDEX(Daftar_Menu!$B$2:$B$13,MATCH(C2211,Daftar_Menu!$A$2:$A$13,0))</f>
        <v>Makanan</v>
      </c>
      <c r="I2211" s="2" t="str">
        <f aca="false">CHOOSE(WEEKDAY(B2211,2),"Senin","Selasa","Rabu","Kamis","Jumat","Sabtu","Minggu")</f>
        <v>Senin</v>
      </c>
      <c r="J2211" s="2" t="n">
        <f aca="false">HOUR(E2211)</f>
        <v>17</v>
      </c>
      <c r="K2211" s="2" t="str">
        <f aca="false">IF(J2211&lt;11,"Pagi",IF(J2211&lt;17,"Siang","Malam"))</f>
        <v>Malam</v>
      </c>
      <c r="L2211" s="2" t="n">
        <f aca="false">IF(A2211&lt;&gt;A2210,1,0)</f>
        <v>1</v>
      </c>
    </row>
    <row r="2212" customFormat="false" ht="15" hidden="false" customHeight="false" outlineLevel="0" collapsed="false">
      <c r="A2212" s="2" t="s">
        <v>2043</v>
      </c>
      <c r="B2212" s="13" t="n">
        <v>46293</v>
      </c>
      <c r="C2212" s="2" t="s">
        <v>89</v>
      </c>
      <c r="D2212" s="2" t="n">
        <v>1</v>
      </c>
      <c r="E2212" s="15" t="n">
        <v>0.729861111111111</v>
      </c>
      <c r="F2212" s="7" t="n">
        <v>14000</v>
      </c>
      <c r="G2212" s="7" t="n">
        <f aca="false">D2212*F2212</f>
        <v>14000</v>
      </c>
      <c r="H2212" s="2" t="str">
        <f aca="false">INDEX(Daftar_Menu!$B$2:$B$13,MATCH(C2212,Daftar_Menu!$A$2:$A$13,0))</f>
        <v>Makanan</v>
      </c>
      <c r="I2212" s="2" t="str">
        <f aca="false">CHOOSE(WEEKDAY(B2212,2),"Senin","Selasa","Rabu","Kamis","Jumat","Sabtu","Minggu")</f>
        <v>Senin</v>
      </c>
      <c r="J2212" s="2" t="n">
        <f aca="false">HOUR(E2212)</f>
        <v>17</v>
      </c>
      <c r="K2212" s="2" t="str">
        <f aca="false">IF(J2212&lt;11,"Pagi",IF(J2212&lt;17,"Siang","Malam"))</f>
        <v>Malam</v>
      </c>
      <c r="L2212" s="2" t="n">
        <f aca="false">IF(A2212&lt;&gt;A2211,1,0)</f>
        <v>1</v>
      </c>
    </row>
    <row r="2213" customFormat="false" ht="15" hidden="false" customHeight="false" outlineLevel="0" collapsed="false">
      <c r="A2213" s="2" t="s">
        <v>2044</v>
      </c>
      <c r="B2213" s="13" t="n">
        <v>46293</v>
      </c>
      <c r="C2213" s="2" t="s">
        <v>84</v>
      </c>
      <c r="D2213" s="2" t="n">
        <v>1</v>
      </c>
      <c r="E2213" s="15" t="n">
        <v>0.740972222222222</v>
      </c>
      <c r="F2213" s="7" t="n">
        <v>5000</v>
      </c>
      <c r="G2213" s="7" t="n">
        <f aca="false">D2213*F2213</f>
        <v>5000</v>
      </c>
      <c r="H2213" s="2" t="str">
        <f aca="false">INDEX(Daftar_Menu!$B$2:$B$13,MATCH(C2213,Daftar_Menu!$A$2:$A$13,0))</f>
        <v>Minuman</v>
      </c>
      <c r="I2213" s="2" t="str">
        <f aca="false">CHOOSE(WEEKDAY(B2213,2),"Senin","Selasa","Rabu","Kamis","Jumat","Sabtu","Minggu")</f>
        <v>Senin</v>
      </c>
      <c r="J2213" s="2" t="n">
        <f aca="false">HOUR(E2213)</f>
        <v>17</v>
      </c>
      <c r="K2213" s="2" t="str">
        <f aca="false">IF(J2213&lt;11,"Pagi",IF(J2213&lt;17,"Siang","Malam"))</f>
        <v>Malam</v>
      </c>
      <c r="L2213" s="2" t="n">
        <f aca="false">IF(A2213&lt;&gt;A2212,1,0)</f>
        <v>1</v>
      </c>
    </row>
    <row r="2214" customFormat="false" ht="15" hidden="false" customHeight="false" outlineLevel="0" collapsed="false">
      <c r="A2214" s="2" t="s">
        <v>2046</v>
      </c>
      <c r="B2214" s="13" t="n">
        <v>46293</v>
      </c>
      <c r="C2214" s="2" t="s">
        <v>101</v>
      </c>
      <c r="D2214" s="2" t="n">
        <v>2</v>
      </c>
      <c r="E2214" s="15" t="n">
        <v>0.772222222222222</v>
      </c>
      <c r="F2214" s="7" t="n">
        <v>18000</v>
      </c>
      <c r="G2214" s="7" t="n">
        <f aca="false">D2214*F2214</f>
        <v>36000</v>
      </c>
      <c r="H2214" s="2" t="str">
        <f aca="false">INDEX(Daftar_Menu!$B$2:$B$13,MATCH(C2214,Daftar_Menu!$A$2:$A$13,0))</f>
        <v>Makanan</v>
      </c>
      <c r="I2214" s="2" t="str">
        <f aca="false">CHOOSE(WEEKDAY(B2214,2),"Senin","Selasa","Rabu","Kamis","Jumat","Sabtu","Minggu")</f>
        <v>Senin</v>
      </c>
      <c r="J2214" s="2" t="n">
        <f aca="false">HOUR(E2214)</f>
        <v>18</v>
      </c>
      <c r="K2214" s="2" t="str">
        <f aca="false">IF(J2214&lt;11,"Pagi",IF(J2214&lt;17,"Siang","Malam"))</f>
        <v>Malam</v>
      </c>
      <c r="L2214" s="2" t="n">
        <f aca="false">IF(A2214&lt;&gt;A2213,1,0)</f>
        <v>1</v>
      </c>
    </row>
    <row r="2215" customFormat="false" ht="15" hidden="false" customHeight="false" outlineLevel="0" collapsed="false">
      <c r="A2215" s="2" t="s">
        <v>2046</v>
      </c>
      <c r="B2215" s="13" t="n">
        <v>46293</v>
      </c>
      <c r="C2215" s="2" t="s">
        <v>89</v>
      </c>
      <c r="D2215" s="2" t="n">
        <v>1</v>
      </c>
      <c r="E2215" s="15" t="n">
        <v>0.772222222222222</v>
      </c>
      <c r="F2215" s="7" t="n">
        <v>14000</v>
      </c>
      <c r="G2215" s="7" t="n">
        <f aca="false">D2215*F2215</f>
        <v>14000</v>
      </c>
      <c r="H2215" s="2" t="str">
        <f aca="false">INDEX(Daftar_Menu!$B$2:$B$13,MATCH(C2215,Daftar_Menu!$A$2:$A$13,0))</f>
        <v>Makanan</v>
      </c>
      <c r="I2215" s="2" t="str">
        <f aca="false">CHOOSE(WEEKDAY(B2215,2),"Senin","Selasa","Rabu","Kamis","Jumat","Sabtu","Minggu")</f>
        <v>Senin</v>
      </c>
      <c r="J2215" s="2" t="n">
        <f aca="false">HOUR(E2215)</f>
        <v>18</v>
      </c>
      <c r="K2215" s="2" t="str">
        <f aca="false">IF(J2215&lt;11,"Pagi",IF(J2215&lt;17,"Siang","Malam"))</f>
        <v>Malam</v>
      </c>
      <c r="L2215" s="2" t="n">
        <f aca="false">IF(A2215&lt;&gt;A2214,1,0)</f>
        <v>0</v>
      </c>
    </row>
    <row r="2216" customFormat="false" ht="15" hidden="false" customHeight="false" outlineLevel="0" collapsed="false">
      <c r="A2216" s="2" t="s">
        <v>2047</v>
      </c>
      <c r="B2216" s="13" t="n">
        <v>46293</v>
      </c>
      <c r="C2216" s="2" t="s">
        <v>82</v>
      </c>
      <c r="D2216" s="2" t="n">
        <v>1</v>
      </c>
      <c r="E2216" s="15" t="n">
        <v>0.772916666666667</v>
      </c>
      <c r="F2216" s="7" t="n">
        <v>13000</v>
      </c>
      <c r="G2216" s="7" t="n">
        <f aca="false">D2216*F2216</f>
        <v>13000</v>
      </c>
      <c r="H2216" s="2" t="str">
        <f aca="false">INDEX(Daftar_Menu!$B$2:$B$13,MATCH(C2216,Daftar_Menu!$A$2:$A$13,0))</f>
        <v>Makanan</v>
      </c>
      <c r="I2216" s="2" t="str">
        <f aca="false">CHOOSE(WEEKDAY(B2216,2),"Senin","Selasa","Rabu","Kamis","Jumat","Sabtu","Minggu")</f>
        <v>Senin</v>
      </c>
      <c r="J2216" s="2" t="n">
        <f aca="false">HOUR(E2216)</f>
        <v>18</v>
      </c>
      <c r="K2216" s="2" t="str">
        <f aca="false">IF(J2216&lt;11,"Pagi",IF(J2216&lt;17,"Siang","Malam"))</f>
        <v>Malam</v>
      </c>
      <c r="L2216" s="2" t="n">
        <f aca="false">IF(A2216&lt;&gt;A2215,1,0)</f>
        <v>1</v>
      </c>
    </row>
    <row r="2217" customFormat="false" ht="15" hidden="false" customHeight="false" outlineLevel="0" collapsed="false">
      <c r="A2217" s="2" t="s">
        <v>2047</v>
      </c>
      <c r="B2217" s="13" t="n">
        <v>46293</v>
      </c>
      <c r="C2217" s="2" t="s">
        <v>101</v>
      </c>
      <c r="D2217" s="2" t="n">
        <v>1</v>
      </c>
      <c r="E2217" s="15" t="n">
        <v>0.772916666666667</v>
      </c>
      <c r="F2217" s="7" t="n">
        <v>18000</v>
      </c>
      <c r="G2217" s="7" t="n">
        <f aca="false">D2217*F2217</f>
        <v>18000</v>
      </c>
      <c r="H2217" s="2" t="str">
        <f aca="false">INDEX(Daftar_Menu!$B$2:$B$13,MATCH(C2217,Daftar_Menu!$A$2:$A$13,0))</f>
        <v>Makanan</v>
      </c>
      <c r="I2217" s="2" t="str">
        <f aca="false">CHOOSE(WEEKDAY(B2217,2),"Senin","Selasa","Rabu","Kamis","Jumat","Sabtu","Minggu")</f>
        <v>Senin</v>
      </c>
      <c r="J2217" s="2" t="n">
        <f aca="false">HOUR(E2217)</f>
        <v>18</v>
      </c>
      <c r="K2217" s="2" t="str">
        <f aca="false">IF(J2217&lt;11,"Pagi",IF(J2217&lt;17,"Siang","Malam"))</f>
        <v>Malam</v>
      </c>
      <c r="L2217" s="2" t="n">
        <f aca="false">IF(A2217&lt;&gt;A2216,1,0)</f>
        <v>0</v>
      </c>
    </row>
    <row r="2218" customFormat="false" ht="15" hidden="false" customHeight="false" outlineLevel="0" collapsed="false">
      <c r="A2218" s="2" t="s">
        <v>2048</v>
      </c>
      <c r="B2218" s="13" t="n">
        <v>46293</v>
      </c>
      <c r="C2218" s="2" t="s">
        <v>186</v>
      </c>
      <c r="D2218" s="2" t="n">
        <v>1</v>
      </c>
      <c r="E2218" s="15" t="n">
        <v>0.779166666666667</v>
      </c>
      <c r="F2218" s="7" t="n">
        <v>7000</v>
      </c>
      <c r="G2218" s="7" t="n">
        <f aca="false">D2218*F2218</f>
        <v>7000</v>
      </c>
      <c r="H2218" s="2" t="str">
        <f aca="false">INDEX(Daftar_Menu!$B$2:$B$13,MATCH(C2218,Daftar_Menu!$A$2:$A$13,0))</f>
        <v>Minuman</v>
      </c>
      <c r="I2218" s="2" t="str">
        <f aca="false">CHOOSE(WEEKDAY(B2218,2),"Senin","Selasa","Rabu","Kamis","Jumat","Sabtu","Minggu")</f>
        <v>Senin</v>
      </c>
      <c r="J2218" s="2" t="n">
        <f aca="false">HOUR(E2218)</f>
        <v>18</v>
      </c>
      <c r="K2218" s="2" t="str">
        <f aca="false">IF(J2218&lt;11,"Pagi",IF(J2218&lt;17,"Siang","Malam"))</f>
        <v>Malam</v>
      </c>
      <c r="L2218" s="2" t="n">
        <f aca="false">IF(A2218&lt;&gt;A2217,1,0)</f>
        <v>1</v>
      </c>
    </row>
    <row r="2219" customFormat="false" ht="15" hidden="false" customHeight="false" outlineLevel="0" collapsed="false">
      <c r="A2219" s="2" t="s">
        <v>2050</v>
      </c>
      <c r="B2219" s="13" t="n">
        <v>46293</v>
      </c>
      <c r="C2219" s="2" t="s">
        <v>126</v>
      </c>
      <c r="D2219" s="2" t="n">
        <v>1</v>
      </c>
      <c r="E2219" s="15" t="n">
        <v>0.780555555555556</v>
      </c>
      <c r="F2219" s="7" t="n">
        <v>3000</v>
      </c>
      <c r="G2219" s="7" t="n">
        <f aca="false">D2219*F2219</f>
        <v>3000</v>
      </c>
      <c r="H2219" s="2" t="str">
        <f aca="false">INDEX(Daftar_Menu!$B$2:$B$13,MATCH(C2219,Daftar_Menu!$A$2:$A$13,0))</f>
        <v>Minuman</v>
      </c>
      <c r="I2219" s="2" t="str">
        <f aca="false">CHOOSE(WEEKDAY(B2219,2),"Senin","Selasa","Rabu","Kamis","Jumat","Sabtu","Minggu")</f>
        <v>Senin</v>
      </c>
      <c r="J2219" s="2" t="n">
        <f aca="false">HOUR(E2219)</f>
        <v>18</v>
      </c>
      <c r="K2219" s="2" t="str">
        <f aca="false">IF(J2219&lt;11,"Pagi",IF(J2219&lt;17,"Siang","Malam"))</f>
        <v>Malam</v>
      </c>
      <c r="L2219" s="2" t="n">
        <f aca="false">IF(A2219&lt;&gt;A2218,1,0)</f>
        <v>1</v>
      </c>
    </row>
    <row r="2220" customFormat="false" ht="15" hidden="false" customHeight="false" outlineLevel="0" collapsed="false">
      <c r="A2220" s="2" t="s">
        <v>2050</v>
      </c>
      <c r="B2220" s="13" t="n">
        <v>46293</v>
      </c>
      <c r="C2220" s="2" t="s">
        <v>84</v>
      </c>
      <c r="D2220" s="2" t="n">
        <v>2</v>
      </c>
      <c r="E2220" s="15" t="n">
        <v>0.780555555555556</v>
      </c>
      <c r="F2220" s="7" t="n">
        <v>5000</v>
      </c>
      <c r="G2220" s="7" t="n">
        <f aca="false">D2220*F2220</f>
        <v>10000</v>
      </c>
      <c r="H2220" s="2" t="str">
        <f aca="false">INDEX(Daftar_Menu!$B$2:$B$13,MATCH(C2220,Daftar_Menu!$A$2:$A$13,0))</f>
        <v>Minuman</v>
      </c>
      <c r="I2220" s="2" t="str">
        <f aca="false">CHOOSE(WEEKDAY(B2220,2),"Senin","Selasa","Rabu","Kamis","Jumat","Sabtu","Minggu")</f>
        <v>Senin</v>
      </c>
      <c r="J2220" s="2" t="n">
        <f aca="false">HOUR(E2220)</f>
        <v>18</v>
      </c>
      <c r="K2220" s="2" t="str">
        <f aca="false">IF(J2220&lt;11,"Pagi",IF(J2220&lt;17,"Siang","Malam"))</f>
        <v>Malam</v>
      </c>
      <c r="L2220" s="2" t="n">
        <f aca="false">IF(A2220&lt;&gt;A2219,1,0)</f>
        <v>0</v>
      </c>
    </row>
    <row r="2221" customFormat="false" ht="15" hidden="false" customHeight="false" outlineLevel="0" collapsed="false">
      <c r="A2221" s="2" t="s">
        <v>2050</v>
      </c>
      <c r="B2221" s="13" t="n">
        <v>46293</v>
      </c>
      <c r="C2221" s="2" t="s">
        <v>101</v>
      </c>
      <c r="D2221" s="2" t="n">
        <v>2</v>
      </c>
      <c r="E2221" s="15" t="n">
        <v>0.780555555555556</v>
      </c>
      <c r="F2221" s="7" t="n">
        <v>18000</v>
      </c>
      <c r="G2221" s="7" t="n">
        <f aca="false">D2221*F2221</f>
        <v>36000</v>
      </c>
      <c r="H2221" s="2" t="str">
        <f aca="false">INDEX(Daftar_Menu!$B$2:$B$13,MATCH(C2221,Daftar_Menu!$A$2:$A$13,0))</f>
        <v>Makanan</v>
      </c>
      <c r="I2221" s="2" t="str">
        <f aca="false">CHOOSE(WEEKDAY(B2221,2),"Senin","Selasa","Rabu","Kamis","Jumat","Sabtu","Minggu")</f>
        <v>Senin</v>
      </c>
      <c r="J2221" s="2" t="n">
        <f aca="false">HOUR(E2221)</f>
        <v>18</v>
      </c>
      <c r="K2221" s="2" t="str">
        <f aca="false">IF(J2221&lt;11,"Pagi",IF(J2221&lt;17,"Siang","Malam"))</f>
        <v>Malam</v>
      </c>
      <c r="L2221" s="2" t="n">
        <f aca="false">IF(A2221&lt;&gt;A2220,1,0)</f>
        <v>0</v>
      </c>
    </row>
    <row r="2222" customFormat="false" ht="15" hidden="false" customHeight="false" outlineLevel="0" collapsed="false">
      <c r="A2222" s="2" t="s">
        <v>2051</v>
      </c>
      <c r="B2222" s="13" t="n">
        <v>46293</v>
      </c>
      <c r="C2222" s="2" t="s">
        <v>108</v>
      </c>
      <c r="D2222" s="2" t="n">
        <v>1</v>
      </c>
      <c r="E2222" s="15" t="n">
        <v>0.790277777777778</v>
      </c>
      <c r="F2222" s="7" t="n">
        <v>20000</v>
      </c>
      <c r="G2222" s="7" t="n">
        <f aca="false">D2222*F2222</f>
        <v>20000</v>
      </c>
      <c r="H2222" s="2" t="str">
        <f aca="false">INDEX(Daftar_Menu!$B$2:$B$13,MATCH(C2222,Daftar_Menu!$A$2:$A$13,0))</f>
        <v>Makanan</v>
      </c>
      <c r="I2222" s="2" t="str">
        <f aca="false">CHOOSE(WEEKDAY(B2222,2),"Senin","Selasa","Rabu","Kamis","Jumat","Sabtu","Minggu")</f>
        <v>Senin</v>
      </c>
      <c r="J2222" s="2" t="n">
        <f aca="false">HOUR(E2222)</f>
        <v>18</v>
      </c>
      <c r="K2222" s="2" t="str">
        <f aca="false">IF(J2222&lt;11,"Pagi",IF(J2222&lt;17,"Siang","Malam"))</f>
        <v>Malam</v>
      </c>
      <c r="L2222" s="2" t="n">
        <f aca="false">IF(A2222&lt;&gt;A2221,1,0)</f>
        <v>1</v>
      </c>
    </row>
    <row r="2223" customFormat="false" ht="15" hidden="false" customHeight="false" outlineLevel="0" collapsed="false">
      <c r="A2223" s="2" t="s">
        <v>2052</v>
      </c>
      <c r="B2223" s="13" t="n">
        <v>46293</v>
      </c>
      <c r="C2223" s="2" t="s">
        <v>84</v>
      </c>
      <c r="D2223" s="2" t="n">
        <v>2</v>
      </c>
      <c r="E2223" s="15" t="n">
        <v>0.797222222222222</v>
      </c>
      <c r="F2223" s="7" t="n">
        <v>5000</v>
      </c>
      <c r="G2223" s="7" t="n">
        <f aca="false">D2223*F2223</f>
        <v>10000</v>
      </c>
      <c r="H2223" s="2" t="str">
        <f aca="false">INDEX(Daftar_Menu!$B$2:$B$13,MATCH(C2223,Daftar_Menu!$A$2:$A$13,0))</f>
        <v>Minuman</v>
      </c>
      <c r="I2223" s="2" t="str">
        <f aca="false">CHOOSE(WEEKDAY(B2223,2),"Senin","Selasa","Rabu","Kamis","Jumat","Sabtu","Minggu")</f>
        <v>Senin</v>
      </c>
      <c r="J2223" s="2" t="n">
        <f aca="false">HOUR(E2223)</f>
        <v>19</v>
      </c>
      <c r="K2223" s="2" t="str">
        <f aca="false">IF(J2223&lt;11,"Pagi",IF(J2223&lt;17,"Siang","Malam"))</f>
        <v>Malam</v>
      </c>
      <c r="L2223" s="2" t="n">
        <f aca="false">IF(A2223&lt;&gt;A2222,1,0)</f>
        <v>1</v>
      </c>
    </row>
    <row r="2224" customFormat="false" ht="15" hidden="false" customHeight="false" outlineLevel="0" collapsed="false">
      <c r="A2224" s="2" t="s">
        <v>2053</v>
      </c>
      <c r="B2224" s="13" t="n">
        <v>46293</v>
      </c>
      <c r="C2224" s="2" t="s">
        <v>132</v>
      </c>
      <c r="D2224" s="2" t="n">
        <v>1</v>
      </c>
      <c r="E2224" s="15" t="n">
        <v>0.803472222222222</v>
      </c>
      <c r="F2224" s="7" t="n">
        <v>15000</v>
      </c>
      <c r="G2224" s="7" t="n">
        <f aca="false">D2224*F2224</f>
        <v>15000</v>
      </c>
      <c r="H2224" s="2" t="str">
        <f aca="false">INDEX(Daftar_Menu!$B$2:$B$13,MATCH(C2224,Daftar_Menu!$A$2:$A$13,0))</f>
        <v>Makanan</v>
      </c>
      <c r="I2224" s="2" t="str">
        <f aca="false">CHOOSE(WEEKDAY(B2224,2),"Senin","Selasa","Rabu","Kamis","Jumat","Sabtu","Minggu")</f>
        <v>Senin</v>
      </c>
      <c r="J2224" s="2" t="n">
        <f aca="false">HOUR(E2224)</f>
        <v>19</v>
      </c>
      <c r="K2224" s="2" t="str">
        <f aca="false">IF(J2224&lt;11,"Pagi",IF(J2224&lt;17,"Siang","Malam"))</f>
        <v>Malam</v>
      </c>
      <c r="L2224" s="2" t="n">
        <f aca="false">IF(A2224&lt;&gt;A2223,1,0)</f>
        <v>1</v>
      </c>
    </row>
    <row r="2225" customFormat="false" ht="15" hidden="false" customHeight="false" outlineLevel="0" collapsed="false">
      <c r="A2225" s="2" t="s">
        <v>2053</v>
      </c>
      <c r="B2225" s="13" t="n">
        <v>46293</v>
      </c>
      <c r="C2225" s="2" t="s">
        <v>92</v>
      </c>
      <c r="D2225" s="2" t="n">
        <v>2</v>
      </c>
      <c r="E2225" s="15" t="n">
        <v>0.803472222222222</v>
      </c>
      <c r="F2225" s="7" t="n">
        <v>4000</v>
      </c>
      <c r="G2225" s="7" t="n">
        <f aca="false">D2225*F2225</f>
        <v>8000</v>
      </c>
      <c r="H2225" s="2" t="str">
        <f aca="false">INDEX(Daftar_Menu!$B$2:$B$13,MATCH(C2225,Daftar_Menu!$A$2:$A$13,0))</f>
        <v>Minuman</v>
      </c>
      <c r="I2225" s="2" t="str">
        <f aca="false">CHOOSE(WEEKDAY(B2225,2),"Senin","Selasa","Rabu","Kamis","Jumat","Sabtu","Minggu")</f>
        <v>Senin</v>
      </c>
      <c r="J2225" s="2" t="n">
        <f aca="false">HOUR(E2225)</f>
        <v>19</v>
      </c>
      <c r="K2225" s="2" t="str">
        <f aca="false">IF(J2225&lt;11,"Pagi",IF(J2225&lt;17,"Siang","Malam"))</f>
        <v>Malam</v>
      </c>
      <c r="L2225" s="2" t="n">
        <f aca="false">IF(A2225&lt;&gt;A2224,1,0)</f>
        <v>0</v>
      </c>
    </row>
    <row r="2226" customFormat="false" ht="15" hidden="false" customHeight="false" outlineLevel="0" collapsed="false">
      <c r="A2226" s="2" t="s">
        <v>2054</v>
      </c>
      <c r="B2226" s="13" t="n">
        <v>46293</v>
      </c>
      <c r="C2226" s="2" t="s">
        <v>89</v>
      </c>
      <c r="D2226" s="2" t="n">
        <v>2</v>
      </c>
      <c r="E2226" s="15" t="n">
        <v>0.809722222222222</v>
      </c>
      <c r="F2226" s="7" t="n">
        <v>14000</v>
      </c>
      <c r="G2226" s="7" t="n">
        <f aca="false">D2226*F2226</f>
        <v>28000</v>
      </c>
      <c r="H2226" s="2" t="str">
        <f aca="false">INDEX(Daftar_Menu!$B$2:$B$13,MATCH(C2226,Daftar_Menu!$A$2:$A$13,0))</f>
        <v>Makanan</v>
      </c>
      <c r="I2226" s="2" t="str">
        <f aca="false">CHOOSE(WEEKDAY(B2226,2),"Senin","Selasa","Rabu","Kamis","Jumat","Sabtu","Minggu")</f>
        <v>Senin</v>
      </c>
      <c r="J2226" s="2" t="n">
        <f aca="false">HOUR(E2226)</f>
        <v>19</v>
      </c>
      <c r="K2226" s="2" t="str">
        <f aca="false">IF(J2226&lt;11,"Pagi",IF(J2226&lt;17,"Siang","Malam"))</f>
        <v>Malam</v>
      </c>
      <c r="L2226" s="2" t="n">
        <f aca="false">IF(A2226&lt;&gt;A2225,1,0)</f>
        <v>1</v>
      </c>
    </row>
    <row r="2227" customFormat="false" ht="15" hidden="false" customHeight="false" outlineLevel="0" collapsed="false">
      <c r="A2227" s="2" t="s">
        <v>2055</v>
      </c>
      <c r="B2227" s="13" t="n">
        <v>46293</v>
      </c>
      <c r="C2227" s="2" t="s">
        <v>132</v>
      </c>
      <c r="D2227" s="2" t="n">
        <v>1</v>
      </c>
      <c r="E2227" s="15" t="n">
        <v>0.811805555555556</v>
      </c>
      <c r="F2227" s="7" t="n">
        <v>15000</v>
      </c>
      <c r="G2227" s="7" t="n">
        <f aca="false">D2227*F2227</f>
        <v>15000</v>
      </c>
      <c r="H2227" s="2" t="str">
        <f aca="false">INDEX(Daftar_Menu!$B$2:$B$13,MATCH(C2227,Daftar_Menu!$A$2:$A$13,0))</f>
        <v>Makanan</v>
      </c>
      <c r="I2227" s="2" t="str">
        <f aca="false">CHOOSE(WEEKDAY(B2227,2),"Senin","Selasa","Rabu","Kamis","Jumat","Sabtu","Minggu")</f>
        <v>Senin</v>
      </c>
      <c r="J2227" s="2" t="n">
        <f aca="false">HOUR(E2227)</f>
        <v>19</v>
      </c>
      <c r="K2227" s="2" t="str">
        <f aca="false">IF(J2227&lt;11,"Pagi",IF(J2227&lt;17,"Siang","Malam"))</f>
        <v>Malam</v>
      </c>
      <c r="L2227" s="2" t="n">
        <f aca="false">IF(A2227&lt;&gt;A2226,1,0)</f>
        <v>1</v>
      </c>
    </row>
    <row r="2228" customFormat="false" ht="15" hidden="false" customHeight="false" outlineLevel="0" collapsed="false">
      <c r="A2228" s="2" t="s">
        <v>2056</v>
      </c>
      <c r="B2228" s="13" t="n">
        <v>46293</v>
      </c>
      <c r="C2228" s="2" t="s">
        <v>89</v>
      </c>
      <c r="D2228" s="2" t="n">
        <v>2</v>
      </c>
      <c r="E2228" s="15" t="n">
        <v>0.81875</v>
      </c>
      <c r="F2228" s="7" t="n">
        <v>14000</v>
      </c>
      <c r="G2228" s="7" t="n">
        <f aca="false">D2228*F2228</f>
        <v>28000</v>
      </c>
      <c r="H2228" s="2" t="str">
        <f aca="false">INDEX(Daftar_Menu!$B$2:$B$13,MATCH(C2228,Daftar_Menu!$A$2:$A$13,0))</f>
        <v>Makanan</v>
      </c>
      <c r="I2228" s="2" t="str">
        <f aca="false">CHOOSE(WEEKDAY(B2228,2),"Senin","Selasa","Rabu","Kamis","Jumat","Sabtu","Minggu")</f>
        <v>Senin</v>
      </c>
      <c r="J2228" s="2" t="n">
        <f aca="false">HOUR(E2228)</f>
        <v>19</v>
      </c>
      <c r="K2228" s="2" t="str">
        <f aca="false">IF(J2228&lt;11,"Pagi",IF(J2228&lt;17,"Siang","Malam"))</f>
        <v>Malam</v>
      </c>
      <c r="L2228" s="2" t="n">
        <f aca="false">IF(A2228&lt;&gt;A2227,1,0)</f>
        <v>1</v>
      </c>
    </row>
    <row r="2229" customFormat="false" ht="15" hidden="false" customHeight="false" outlineLevel="0" collapsed="false">
      <c r="A2229" s="2" t="s">
        <v>2056</v>
      </c>
      <c r="B2229" s="13" t="n">
        <v>46293</v>
      </c>
      <c r="C2229" s="2" t="s">
        <v>108</v>
      </c>
      <c r="D2229" s="2" t="n">
        <v>1</v>
      </c>
      <c r="E2229" s="15" t="n">
        <v>0.81875</v>
      </c>
      <c r="F2229" s="7" t="n">
        <v>20000</v>
      </c>
      <c r="G2229" s="7" t="n">
        <f aca="false">D2229*F2229</f>
        <v>20000</v>
      </c>
      <c r="H2229" s="2" t="str">
        <f aca="false">INDEX(Daftar_Menu!$B$2:$B$13,MATCH(C2229,Daftar_Menu!$A$2:$A$13,0))</f>
        <v>Makanan</v>
      </c>
      <c r="I2229" s="2" t="str">
        <f aca="false">CHOOSE(WEEKDAY(B2229,2),"Senin","Selasa","Rabu","Kamis","Jumat","Sabtu","Minggu")</f>
        <v>Senin</v>
      </c>
      <c r="J2229" s="2" t="n">
        <f aca="false">HOUR(E2229)</f>
        <v>19</v>
      </c>
      <c r="K2229" s="2" t="str">
        <f aca="false">IF(J2229&lt;11,"Pagi",IF(J2229&lt;17,"Siang","Malam"))</f>
        <v>Malam</v>
      </c>
      <c r="L2229" s="2" t="n">
        <f aca="false">IF(A2229&lt;&gt;A2228,1,0)</f>
        <v>0</v>
      </c>
    </row>
    <row r="2230" customFormat="false" ht="15" hidden="false" customHeight="false" outlineLevel="0" collapsed="false">
      <c r="A2230" s="2" t="s">
        <v>2056</v>
      </c>
      <c r="B2230" s="13" t="n">
        <v>46293</v>
      </c>
      <c r="C2230" s="2" t="s">
        <v>101</v>
      </c>
      <c r="D2230" s="2" t="n">
        <v>1</v>
      </c>
      <c r="E2230" s="15" t="n">
        <v>0.81875</v>
      </c>
      <c r="F2230" s="7" t="n">
        <v>18000</v>
      </c>
      <c r="G2230" s="7" t="n">
        <f aca="false">D2230*F2230</f>
        <v>18000</v>
      </c>
      <c r="H2230" s="2" t="str">
        <f aca="false">INDEX(Daftar_Menu!$B$2:$B$13,MATCH(C2230,Daftar_Menu!$A$2:$A$13,0))</f>
        <v>Makanan</v>
      </c>
      <c r="I2230" s="2" t="str">
        <f aca="false">CHOOSE(WEEKDAY(B2230,2),"Senin","Selasa","Rabu","Kamis","Jumat","Sabtu","Minggu")</f>
        <v>Senin</v>
      </c>
      <c r="J2230" s="2" t="n">
        <f aca="false">HOUR(E2230)</f>
        <v>19</v>
      </c>
      <c r="K2230" s="2" t="str">
        <f aca="false">IF(J2230&lt;11,"Pagi",IF(J2230&lt;17,"Siang","Malam"))</f>
        <v>Malam</v>
      </c>
      <c r="L2230" s="2" t="n">
        <f aca="false">IF(A2230&lt;&gt;A2229,1,0)</f>
        <v>0</v>
      </c>
    </row>
    <row r="2231" customFormat="false" ht="15" hidden="false" customHeight="false" outlineLevel="0" collapsed="false">
      <c r="A2231" s="2" t="s">
        <v>2057</v>
      </c>
      <c r="B2231" s="13" t="n">
        <v>46293</v>
      </c>
      <c r="C2231" s="2" t="s">
        <v>186</v>
      </c>
      <c r="D2231" s="2" t="n">
        <v>2</v>
      </c>
      <c r="E2231" s="15" t="n">
        <v>0.820138888888889</v>
      </c>
      <c r="F2231" s="7" t="n">
        <v>7000</v>
      </c>
      <c r="G2231" s="7" t="n">
        <f aca="false">D2231*F2231</f>
        <v>14000</v>
      </c>
      <c r="H2231" s="2" t="str">
        <f aca="false">INDEX(Daftar_Menu!$B$2:$B$13,MATCH(C2231,Daftar_Menu!$A$2:$A$13,0))</f>
        <v>Minuman</v>
      </c>
      <c r="I2231" s="2" t="str">
        <f aca="false">CHOOSE(WEEKDAY(B2231,2),"Senin","Selasa","Rabu","Kamis","Jumat","Sabtu","Minggu")</f>
        <v>Senin</v>
      </c>
      <c r="J2231" s="2" t="n">
        <f aca="false">HOUR(E2231)</f>
        <v>19</v>
      </c>
      <c r="K2231" s="2" t="str">
        <f aca="false">IF(J2231&lt;11,"Pagi",IF(J2231&lt;17,"Siang","Malam"))</f>
        <v>Malam</v>
      </c>
      <c r="L2231" s="2" t="n">
        <f aca="false">IF(A2231&lt;&gt;A2230,1,0)</f>
        <v>1</v>
      </c>
    </row>
    <row r="2232" customFormat="false" ht="15" hidden="false" customHeight="false" outlineLevel="0" collapsed="false">
      <c r="A2232" s="2" t="s">
        <v>2057</v>
      </c>
      <c r="B2232" s="13" t="n">
        <v>46293</v>
      </c>
      <c r="C2232" s="2" t="s">
        <v>112</v>
      </c>
      <c r="D2232" s="2" t="n">
        <v>2</v>
      </c>
      <c r="E2232" s="15" t="n">
        <v>0.820138888888889</v>
      </c>
      <c r="F2232" s="7" t="n">
        <v>10000</v>
      </c>
      <c r="G2232" s="7" t="n">
        <f aca="false">D2232*F2232</f>
        <v>20000</v>
      </c>
      <c r="H2232" s="2" t="str">
        <f aca="false">INDEX(Daftar_Menu!$B$2:$B$13,MATCH(C2232,Daftar_Menu!$A$2:$A$13,0))</f>
        <v>Minuman</v>
      </c>
      <c r="I2232" s="2" t="str">
        <f aca="false">CHOOSE(WEEKDAY(B2232,2),"Senin","Selasa","Rabu","Kamis","Jumat","Sabtu","Minggu")</f>
        <v>Senin</v>
      </c>
      <c r="J2232" s="2" t="n">
        <f aca="false">HOUR(E2232)</f>
        <v>19</v>
      </c>
      <c r="K2232" s="2" t="str">
        <f aca="false">IF(J2232&lt;11,"Pagi",IF(J2232&lt;17,"Siang","Malam"))</f>
        <v>Malam</v>
      </c>
      <c r="L2232" s="2" t="n">
        <f aca="false">IF(A2232&lt;&gt;A2231,1,0)</f>
        <v>0</v>
      </c>
    </row>
    <row r="2233" customFormat="false" ht="15" hidden="false" customHeight="false" outlineLevel="0" collapsed="false">
      <c r="A2233" s="2" t="s">
        <v>2058</v>
      </c>
      <c r="B2233" s="13" t="n">
        <v>46293</v>
      </c>
      <c r="C2233" s="2" t="s">
        <v>186</v>
      </c>
      <c r="D2233" s="2" t="n">
        <v>3</v>
      </c>
      <c r="E2233" s="15" t="n">
        <v>0.845138888888889</v>
      </c>
      <c r="F2233" s="7" t="n">
        <v>7000</v>
      </c>
      <c r="G2233" s="7" t="n">
        <f aca="false">D2233*F2233</f>
        <v>21000</v>
      </c>
      <c r="H2233" s="2" t="str">
        <f aca="false">INDEX(Daftar_Menu!$B$2:$B$13,MATCH(C2233,Daftar_Menu!$A$2:$A$13,0))</f>
        <v>Minuman</v>
      </c>
      <c r="I2233" s="2" t="str">
        <f aca="false">CHOOSE(WEEKDAY(B2233,2),"Senin","Selasa","Rabu","Kamis","Jumat","Sabtu","Minggu")</f>
        <v>Senin</v>
      </c>
      <c r="J2233" s="2" t="n">
        <f aca="false">HOUR(E2233)</f>
        <v>20</v>
      </c>
      <c r="K2233" s="2" t="str">
        <f aca="false">IF(J2233&lt;11,"Pagi",IF(J2233&lt;17,"Siang","Malam"))</f>
        <v>Malam</v>
      </c>
      <c r="L2233" s="2" t="n">
        <f aca="false">IF(A2233&lt;&gt;A2232,1,0)</f>
        <v>1</v>
      </c>
    </row>
    <row r="2234" customFormat="false" ht="15" hidden="false" customHeight="false" outlineLevel="0" collapsed="false">
      <c r="A2234" s="2" t="s">
        <v>2058</v>
      </c>
      <c r="B2234" s="13" t="n">
        <v>46293</v>
      </c>
      <c r="C2234" s="2" t="s">
        <v>89</v>
      </c>
      <c r="D2234" s="2" t="n">
        <v>1</v>
      </c>
      <c r="E2234" s="15" t="n">
        <v>0.845138888888889</v>
      </c>
      <c r="F2234" s="7" t="n">
        <v>14000</v>
      </c>
      <c r="G2234" s="7" t="n">
        <f aca="false">D2234*F2234</f>
        <v>14000</v>
      </c>
      <c r="H2234" s="2" t="str">
        <f aca="false">INDEX(Daftar_Menu!$B$2:$B$13,MATCH(C2234,Daftar_Menu!$A$2:$A$13,0))</f>
        <v>Makanan</v>
      </c>
      <c r="I2234" s="2" t="str">
        <f aca="false">CHOOSE(WEEKDAY(B2234,2),"Senin","Selasa","Rabu","Kamis","Jumat","Sabtu","Minggu")</f>
        <v>Senin</v>
      </c>
      <c r="J2234" s="2" t="n">
        <f aca="false">HOUR(E2234)</f>
        <v>20</v>
      </c>
      <c r="K2234" s="2" t="str">
        <f aca="false">IF(J2234&lt;11,"Pagi",IF(J2234&lt;17,"Siang","Malam"))</f>
        <v>Malam</v>
      </c>
      <c r="L2234" s="2" t="n">
        <f aca="false">IF(A2234&lt;&gt;A2233,1,0)</f>
        <v>0</v>
      </c>
    </row>
    <row r="2235" customFormat="false" ht="15" hidden="false" customHeight="false" outlineLevel="0" collapsed="false">
      <c r="A2235" s="2" t="s">
        <v>2059</v>
      </c>
      <c r="B2235" s="13" t="n">
        <v>46293</v>
      </c>
      <c r="C2235" s="2" t="s">
        <v>126</v>
      </c>
      <c r="D2235" s="2" t="n">
        <v>1</v>
      </c>
      <c r="E2235" s="15" t="n">
        <v>0.86875</v>
      </c>
      <c r="F2235" s="7" t="n">
        <v>3000</v>
      </c>
      <c r="G2235" s="7" t="n">
        <f aca="false">D2235*F2235</f>
        <v>3000</v>
      </c>
      <c r="H2235" s="2" t="str">
        <f aca="false">INDEX(Daftar_Menu!$B$2:$B$13,MATCH(C2235,Daftar_Menu!$A$2:$A$13,0))</f>
        <v>Minuman</v>
      </c>
      <c r="I2235" s="2" t="str">
        <f aca="false">CHOOSE(WEEKDAY(B2235,2),"Senin","Selasa","Rabu","Kamis","Jumat","Sabtu","Minggu")</f>
        <v>Senin</v>
      </c>
      <c r="J2235" s="2" t="n">
        <f aca="false">HOUR(E2235)</f>
        <v>20</v>
      </c>
      <c r="K2235" s="2" t="str">
        <f aca="false">IF(J2235&lt;11,"Pagi",IF(J2235&lt;17,"Siang","Malam"))</f>
        <v>Malam</v>
      </c>
      <c r="L2235" s="2" t="n">
        <f aca="false">IF(A2235&lt;&gt;A2234,1,0)</f>
        <v>1</v>
      </c>
    </row>
    <row r="2236" customFormat="false" ht="15" hidden="false" customHeight="false" outlineLevel="0" collapsed="false">
      <c r="A2236" s="2" t="s">
        <v>2059</v>
      </c>
      <c r="B2236" s="13" t="n">
        <v>46293</v>
      </c>
      <c r="C2236" s="2" t="s">
        <v>81</v>
      </c>
      <c r="D2236" s="2" t="n">
        <v>1</v>
      </c>
      <c r="E2236" s="15" t="n">
        <v>0.86875</v>
      </c>
      <c r="F2236" s="7" t="n">
        <v>15000</v>
      </c>
      <c r="G2236" s="7" t="n">
        <f aca="false">D2236*F2236</f>
        <v>15000</v>
      </c>
      <c r="H2236" s="2" t="str">
        <f aca="false">INDEX(Daftar_Menu!$B$2:$B$13,MATCH(C2236,Daftar_Menu!$A$2:$A$13,0))</f>
        <v>Makanan</v>
      </c>
      <c r="I2236" s="2" t="str">
        <f aca="false">CHOOSE(WEEKDAY(B2236,2),"Senin","Selasa","Rabu","Kamis","Jumat","Sabtu","Minggu")</f>
        <v>Senin</v>
      </c>
      <c r="J2236" s="2" t="n">
        <f aca="false">HOUR(E2236)</f>
        <v>20</v>
      </c>
      <c r="K2236" s="2" t="str">
        <f aca="false">IF(J2236&lt;11,"Pagi",IF(J2236&lt;17,"Siang","Malam"))</f>
        <v>Malam</v>
      </c>
      <c r="L2236" s="2" t="n">
        <f aca="false">IF(A2236&lt;&gt;A2235,1,0)</f>
        <v>0</v>
      </c>
    </row>
    <row r="2237" customFormat="false" ht="15" hidden="false" customHeight="false" outlineLevel="0" collapsed="false">
      <c r="A2237" s="2" t="s">
        <v>2061</v>
      </c>
      <c r="B2237" s="13" t="n">
        <v>46293</v>
      </c>
      <c r="C2237" s="2" t="s">
        <v>89</v>
      </c>
      <c r="D2237" s="2" t="n">
        <v>1</v>
      </c>
      <c r="E2237" s="15" t="n">
        <v>0.871527777777778</v>
      </c>
      <c r="F2237" s="7" t="n">
        <v>14000</v>
      </c>
      <c r="G2237" s="7" t="n">
        <f aca="false">D2237*F2237</f>
        <v>14000</v>
      </c>
      <c r="H2237" s="2" t="str">
        <f aca="false">INDEX(Daftar_Menu!$B$2:$B$13,MATCH(C2237,Daftar_Menu!$A$2:$A$13,0))</f>
        <v>Makanan</v>
      </c>
      <c r="I2237" s="2" t="str">
        <f aca="false">CHOOSE(WEEKDAY(B2237,2),"Senin","Selasa","Rabu","Kamis","Jumat","Sabtu","Minggu")</f>
        <v>Senin</v>
      </c>
      <c r="J2237" s="2" t="n">
        <f aca="false">HOUR(E2237)</f>
        <v>20</v>
      </c>
      <c r="K2237" s="2" t="str">
        <f aca="false">IF(J2237&lt;11,"Pagi",IF(J2237&lt;17,"Siang","Malam"))</f>
        <v>Malam</v>
      </c>
      <c r="L2237" s="2" t="n">
        <f aca="false">IF(A2237&lt;&gt;A2236,1,0)</f>
        <v>1</v>
      </c>
    </row>
    <row r="2238" customFormat="false" ht="15" hidden="false" customHeight="false" outlineLevel="0" collapsed="false">
      <c r="A2238" s="2" t="s">
        <v>2061</v>
      </c>
      <c r="B2238" s="13" t="n">
        <v>46293</v>
      </c>
      <c r="C2238" s="2" t="s">
        <v>79</v>
      </c>
      <c r="D2238" s="2" t="n">
        <v>1</v>
      </c>
      <c r="E2238" s="15" t="n">
        <v>0.871527777777778</v>
      </c>
      <c r="F2238" s="7" t="n">
        <v>16000</v>
      </c>
      <c r="G2238" s="7" t="n">
        <f aca="false">D2238*F2238</f>
        <v>16000</v>
      </c>
      <c r="H2238" s="2" t="str">
        <f aca="false">INDEX(Daftar_Menu!$B$2:$B$13,MATCH(C2238,Daftar_Menu!$A$2:$A$13,0))</f>
        <v>Makanan</v>
      </c>
      <c r="I2238" s="2" t="str">
        <f aca="false">CHOOSE(WEEKDAY(B2238,2),"Senin","Selasa","Rabu","Kamis","Jumat","Sabtu","Minggu")</f>
        <v>Senin</v>
      </c>
      <c r="J2238" s="2" t="n">
        <f aca="false">HOUR(E2238)</f>
        <v>20</v>
      </c>
      <c r="K2238" s="2" t="str">
        <f aca="false">IF(J2238&lt;11,"Pagi",IF(J2238&lt;17,"Siang","Malam"))</f>
        <v>Malam</v>
      </c>
      <c r="L2238" s="2" t="n">
        <f aca="false">IF(A2238&lt;&gt;A2237,1,0)</f>
        <v>0</v>
      </c>
    </row>
    <row r="2239" customFormat="false" ht="15" hidden="false" customHeight="false" outlineLevel="0" collapsed="false">
      <c r="A2239" s="2" t="s">
        <v>2062</v>
      </c>
      <c r="B2239" s="13" t="n">
        <v>46294</v>
      </c>
      <c r="C2239" s="2" t="s">
        <v>84</v>
      </c>
      <c r="D2239" s="2" t="n">
        <v>1</v>
      </c>
      <c r="E2239" s="15" t="n">
        <v>0.365277777777778</v>
      </c>
      <c r="F2239" s="7" t="n">
        <v>5000</v>
      </c>
      <c r="G2239" s="7" t="n">
        <f aca="false">D2239*F2239</f>
        <v>5000</v>
      </c>
      <c r="H2239" s="2" t="str">
        <f aca="false">INDEX(Daftar_Menu!$B$2:$B$13,MATCH(C2239,Daftar_Menu!$A$2:$A$13,0))</f>
        <v>Minuman</v>
      </c>
      <c r="I2239" s="2" t="str">
        <f aca="false">CHOOSE(WEEKDAY(B2239,2),"Senin","Selasa","Rabu","Kamis","Jumat","Sabtu","Minggu")</f>
        <v>Selasa</v>
      </c>
      <c r="J2239" s="2" t="n">
        <f aca="false">HOUR(E2239)</f>
        <v>8</v>
      </c>
      <c r="K2239" s="2" t="str">
        <f aca="false">IF(J2239&lt;11,"Pagi",IF(J2239&lt;17,"Siang","Malam"))</f>
        <v>Pagi</v>
      </c>
      <c r="L2239" s="2" t="n">
        <f aca="false">IF(A2239&lt;&gt;A2238,1,0)</f>
        <v>1</v>
      </c>
    </row>
    <row r="2240" customFormat="false" ht="15" hidden="false" customHeight="false" outlineLevel="0" collapsed="false">
      <c r="A2240" s="2" t="s">
        <v>2062</v>
      </c>
      <c r="B2240" s="13" t="n">
        <v>46294</v>
      </c>
      <c r="C2240" s="2" t="s">
        <v>81</v>
      </c>
      <c r="D2240" s="2" t="n">
        <v>1</v>
      </c>
      <c r="E2240" s="15" t="n">
        <v>0.365277777777778</v>
      </c>
      <c r="F2240" s="7" t="n">
        <v>15000</v>
      </c>
      <c r="G2240" s="7" t="n">
        <f aca="false">D2240*F2240</f>
        <v>15000</v>
      </c>
      <c r="H2240" s="2" t="str">
        <f aca="false">INDEX(Daftar_Menu!$B$2:$B$13,MATCH(C2240,Daftar_Menu!$A$2:$A$13,0))</f>
        <v>Makanan</v>
      </c>
      <c r="I2240" s="2" t="str">
        <f aca="false">CHOOSE(WEEKDAY(B2240,2),"Senin","Selasa","Rabu","Kamis","Jumat","Sabtu","Minggu")</f>
        <v>Selasa</v>
      </c>
      <c r="J2240" s="2" t="n">
        <f aca="false">HOUR(E2240)</f>
        <v>8</v>
      </c>
      <c r="K2240" s="2" t="str">
        <f aca="false">IF(J2240&lt;11,"Pagi",IF(J2240&lt;17,"Siang","Malam"))</f>
        <v>Pagi</v>
      </c>
      <c r="L2240" s="2" t="n">
        <f aca="false">IF(A2240&lt;&gt;A2239,1,0)</f>
        <v>0</v>
      </c>
    </row>
    <row r="2241" customFormat="false" ht="15" hidden="false" customHeight="false" outlineLevel="0" collapsed="false">
      <c r="A2241" s="2" t="s">
        <v>2064</v>
      </c>
      <c r="B2241" s="13" t="n">
        <v>46294</v>
      </c>
      <c r="C2241" s="2" t="s">
        <v>81</v>
      </c>
      <c r="D2241" s="2" t="n">
        <v>3</v>
      </c>
      <c r="E2241" s="15" t="n">
        <v>0.422222222222222</v>
      </c>
      <c r="F2241" s="7" t="n">
        <v>15000</v>
      </c>
      <c r="G2241" s="7" t="n">
        <f aca="false">D2241*F2241</f>
        <v>45000</v>
      </c>
      <c r="H2241" s="2" t="str">
        <f aca="false">INDEX(Daftar_Menu!$B$2:$B$13,MATCH(C2241,Daftar_Menu!$A$2:$A$13,0))</f>
        <v>Makanan</v>
      </c>
      <c r="I2241" s="2" t="str">
        <f aca="false">CHOOSE(WEEKDAY(B2241,2),"Senin","Selasa","Rabu","Kamis","Jumat","Sabtu","Minggu")</f>
        <v>Selasa</v>
      </c>
      <c r="J2241" s="2" t="n">
        <f aca="false">HOUR(E2241)</f>
        <v>10</v>
      </c>
      <c r="K2241" s="2" t="str">
        <f aca="false">IF(J2241&lt;11,"Pagi",IF(J2241&lt;17,"Siang","Malam"))</f>
        <v>Pagi</v>
      </c>
      <c r="L2241" s="2" t="n">
        <f aca="false">IF(A2241&lt;&gt;A2240,1,0)</f>
        <v>1</v>
      </c>
    </row>
    <row r="2242" customFormat="false" ht="15" hidden="false" customHeight="false" outlineLevel="0" collapsed="false">
      <c r="A2242" s="2" t="s">
        <v>2064</v>
      </c>
      <c r="B2242" s="13" t="n">
        <v>46294</v>
      </c>
      <c r="C2242" s="2" t="s">
        <v>101</v>
      </c>
      <c r="D2242" s="2" t="n">
        <v>1</v>
      </c>
      <c r="E2242" s="15" t="n">
        <v>0.422222222222222</v>
      </c>
      <c r="F2242" s="7" t="n">
        <v>18000</v>
      </c>
      <c r="G2242" s="7" t="n">
        <f aca="false">D2242*F2242</f>
        <v>18000</v>
      </c>
      <c r="H2242" s="2" t="str">
        <f aca="false">INDEX(Daftar_Menu!$B$2:$B$13,MATCH(C2242,Daftar_Menu!$A$2:$A$13,0))</f>
        <v>Makanan</v>
      </c>
      <c r="I2242" s="2" t="str">
        <f aca="false">CHOOSE(WEEKDAY(B2242,2),"Senin","Selasa","Rabu","Kamis","Jumat","Sabtu","Minggu")</f>
        <v>Selasa</v>
      </c>
      <c r="J2242" s="2" t="n">
        <f aca="false">HOUR(E2242)</f>
        <v>10</v>
      </c>
      <c r="K2242" s="2" t="str">
        <f aca="false">IF(J2242&lt;11,"Pagi",IF(J2242&lt;17,"Siang","Malam"))</f>
        <v>Pagi</v>
      </c>
      <c r="L2242" s="2" t="n">
        <f aca="false">IF(A2242&lt;&gt;A2241,1,0)</f>
        <v>0</v>
      </c>
    </row>
    <row r="2243" customFormat="false" ht="15" hidden="false" customHeight="false" outlineLevel="0" collapsed="false">
      <c r="A2243" s="2" t="s">
        <v>2066</v>
      </c>
      <c r="B2243" s="13" t="n">
        <v>46294</v>
      </c>
      <c r="C2243" s="2" t="s">
        <v>101</v>
      </c>
      <c r="D2243" s="2" t="n">
        <v>1</v>
      </c>
      <c r="E2243" s="15" t="n">
        <v>0.447916666666667</v>
      </c>
      <c r="F2243" s="7" t="n">
        <v>18000</v>
      </c>
      <c r="G2243" s="7" t="n">
        <f aca="false">D2243*F2243</f>
        <v>18000</v>
      </c>
      <c r="H2243" s="2" t="str">
        <f aca="false">INDEX(Daftar_Menu!$B$2:$B$13,MATCH(C2243,Daftar_Menu!$A$2:$A$13,0))</f>
        <v>Makanan</v>
      </c>
      <c r="I2243" s="2" t="str">
        <f aca="false">CHOOSE(WEEKDAY(B2243,2),"Senin","Selasa","Rabu","Kamis","Jumat","Sabtu","Minggu")</f>
        <v>Selasa</v>
      </c>
      <c r="J2243" s="2" t="n">
        <f aca="false">HOUR(E2243)</f>
        <v>10</v>
      </c>
      <c r="K2243" s="2" t="str">
        <f aca="false">IF(J2243&lt;11,"Pagi",IF(J2243&lt;17,"Siang","Malam"))</f>
        <v>Pagi</v>
      </c>
      <c r="L2243" s="2" t="n">
        <f aca="false">IF(A2243&lt;&gt;A2242,1,0)</f>
        <v>1</v>
      </c>
    </row>
    <row r="2244" customFormat="false" ht="15" hidden="false" customHeight="false" outlineLevel="0" collapsed="false">
      <c r="A2244" s="2" t="s">
        <v>2066</v>
      </c>
      <c r="B2244" s="13" t="n">
        <v>46294</v>
      </c>
      <c r="C2244" s="2" t="s">
        <v>186</v>
      </c>
      <c r="D2244" s="2" t="n">
        <v>1</v>
      </c>
      <c r="E2244" s="15" t="n">
        <v>0.447916666666667</v>
      </c>
      <c r="F2244" s="7" t="n">
        <v>7000</v>
      </c>
      <c r="G2244" s="7" t="n">
        <f aca="false">D2244*F2244</f>
        <v>7000</v>
      </c>
      <c r="H2244" s="2" t="str">
        <f aca="false">INDEX(Daftar_Menu!$B$2:$B$13,MATCH(C2244,Daftar_Menu!$A$2:$A$13,0))</f>
        <v>Minuman</v>
      </c>
      <c r="I2244" s="2" t="str">
        <f aca="false">CHOOSE(WEEKDAY(B2244,2),"Senin","Selasa","Rabu","Kamis","Jumat","Sabtu","Minggu")</f>
        <v>Selasa</v>
      </c>
      <c r="J2244" s="2" t="n">
        <f aca="false">HOUR(E2244)</f>
        <v>10</v>
      </c>
      <c r="K2244" s="2" t="str">
        <f aca="false">IF(J2244&lt;11,"Pagi",IF(J2244&lt;17,"Siang","Malam"))</f>
        <v>Pagi</v>
      </c>
      <c r="L2244" s="2" t="n">
        <f aca="false">IF(A2244&lt;&gt;A2243,1,0)</f>
        <v>0</v>
      </c>
    </row>
    <row r="2245" customFormat="false" ht="15" hidden="false" customHeight="false" outlineLevel="0" collapsed="false">
      <c r="A2245" s="2" t="s">
        <v>2067</v>
      </c>
      <c r="B2245" s="13" t="n">
        <v>46294</v>
      </c>
      <c r="C2245" s="2" t="s">
        <v>132</v>
      </c>
      <c r="D2245" s="2" t="n">
        <v>1</v>
      </c>
      <c r="E2245" s="15" t="n">
        <v>0.461805555555556</v>
      </c>
      <c r="F2245" s="7" t="n">
        <v>15000</v>
      </c>
      <c r="G2245" s="7" t="n">
        <f aca="false">D2245*F2245</f>
        <v>15000</v>
      </c>
      <c r="H2245" s="2" t="str">
        <f aca="false">INDEX(Daftar_Menu!$B$2:$B$13,MATCH(C2245,Daftar_Menu!$A$2:$A$13,0))</f>
        <v>Makanan</v>
      </c>
      <c r="I2245" s="2" t="str">
        <f aca="false">CHOOSE(WEEKDAY(B2245,2),"Senin","Selasa","Rabu","Kamis","Jumat","Sabtu","Minggu")</f>
        <v>Selasa</v>
      </c>
      <c r="J2245" s="2" t="n">
        <f aca="false">HOUR(E2245)</f>
        <v>11</v>
      </c>
      <c r="K2245" s="2" t="str">
        <f aca="false">IF(J2245&lt;11,"Pagi",IF(J2245&lt;17,"Siang","Malam"))</f>
        <v>Siang</v>
      </c>
      <c r="L2245" s="2" t="n">
        <f aca="false">IF(A2245&lt;&gt;A2244,1,0)</f>
        <v>1</v>
      </c>
    </row>
    <row r="2246" customFormat="false" ht="15" hidden="false" customHeight="false" outlineLevel="0" collapsed="false">
      <c r="A2246" s="2" t="s">
        <v>2068</v>
      </c>
      <c r="B2246" s="13" t="n">
        <v>46294</v>
      </c>
      <c r="C2246" s="2" t="s">
        <v>101</v>
      </c>
      <c r="D2246" s="2" t="n">
        <v>1</v>
      </c>
      <c r="E2246" s="15" t="n">
        <v>0.465972222222222</v>
      </c>
      <c r="F2246" s="7" t="n">
        <v>18000</v>
      </c>
      <c r="G2246" s="7" t="n">
        <f aca="false">D2246*F2246</f>
        <v>18000</v>
      </c>
      <c r="H2246" s="2" t="str">
        <f aca="false">INDEX(Daftar_Menu!$B$2:$B$13,MATCH(C2246,Daftar_Menu!$A$2:$A$13,0))</f>
        <v>Makanan</v>
      </c>
      <c r="I2246" s="2" t="str">
        <f aca="false">CHOOSE(WEEKDAY(B2246,2),"Senin","Selasa","Rabu","Kamis","Jumat","Sabtu","Minggu")</f>
        <v>Selasa</v>
      </c>
      <c r="J2246" s="2" t="n">
        <f aca="false">HOUR(E2246)</f>
        <v>11</v>
      </c>
      <c r="K2246" s="2" t="str">
        <f aca="false">IF(J2246&lt;11,"Pagi",IF(J2246&lt;17,"Siang","Malam"))</f>
        <v>Siang</v>
      </c>
      <c r="L2246" s="2" t="n">
        <f aca="false">IF(A2246&lt;&gt;A2245,1,0)</f>
        <v>1</v>
      </c>
    </row>
    <row r="2247" customFormat="false" ht="15" hidden="false" customHeight="false" outlineLevel="0" collapsed="false">
      <c r="A2247" s="2" t="s">
        <v>2068</v>
      </c>
      <c r="B2247" s="13" t="n">
        <v>46294</v>
      </c>
      <c r="C2247" s="2" t="s">
        <v>186</v>
      </c>
      <c r="D2247" s="2" t="n">
        <v>2</v>
      </c>
      <c r="E2247" s="15" t="n">
        <v>0.465972222222222</v>
      </c>
      <c r="F2247" s="7" t="n">
        <v>7000</v>
      </c>
      <c r="G2247" s="7" t="n">
        <f aca="false">D2247*F2247</f>
        <v>14000</v>
      </c>
      <c r="H2247" s="2" t="str">
        <f aca="false">INDEX(Daftar_Menu!$B$2:$B$13,MATCH(C2247,Daftar_Menu!$A$2:$A$13,0))</f>
        <v>Minuman</v>
      </c>
      <c r="I2247" s="2" t="str">
        <f aca="false">CHOOSE(WEEKDAY(B2247,2),"Senin","Selasa","Rabu","Kamis","Jumat","Sabtu","Minggu")</f>
        <v>Selasa</v>
      </c>
      <c r="J2247" s="2" t="n">
        <f aca="false">HOUR(E2247)</f>
        <v>11</v>
      </c>
      <c r="K2247" s="2" t="str">
        <f aca="false">IF(J2247&lt;11,"Pagi",IF(J2247&lt;17,"Siang","Malam"))</f>
        <v>Siang</v>
      </c>
      <c r="L2247" s="2" t="n">
        <f aca="false">IF(A2247&lt;&gt;A2246,1,0)</f>
        <v>0</v>
      </c>
    </row>
    <row r="2248" customFormat="false" ht="15" hidden="false" customHeight="false" outlineLevel="0" collapsed="false">
      <c r="A2248" s="2" t="s">
        <v>2069</v>
      </c>
      <c r="B2248" s="13" t="n">
        <v>46294</v>
      </c>
      <c r="C2248" s="2" t="s">
        <v>101</v>
      </c>
      <c r="D2248" s="2" t="n">
        <v>2</v>
      </c>
      <c r="E2248" s="15" t="n">
        <v>0.474305555555556</v>
      </c>
      <c r="F2248" s="7" t="n">
        <v>18000</v>
      </c>
      <c r="G2248" s="7" t="n">
        <f aca="false">D2248*F2248</f>
        <v>36000</v>
      </c>
      <c r="H2248" s="2" t="str">
        <f aca="false">INDEX(Daftar_Menu!$B$2:$B$13,MATCH(C2248,Daftar_Menu!$A$2:$A$13,0))</f>
        <v>Makanan</v>
      </c>
      <c r="I2248" s="2" t="str">
        <f aca="false">CHOOSE(WEEKDAY(B2248,2),"Senin","Selasa","Rabu","Kamis","Jumat","Sabtu","Minggu")</f>
        <v>Selasa</v>
      </c>
      <c r="J2248" s="2" t="n">
        <f aca="false">HOUR(E2248)</f>
        <v>11</v>
      </c>
      <c r="K2248" s="2" t="str">
        <f aca="false">IF(J2248&lt;11,"Pagi",IF(J2248&lt;17,"Siang","Malam"))</f>
        <v>Siang</v>
      </c>
      <c r="L2248" s="2" t="n">
        <f aca="false">IF(A2248&lt;&gt;A2247,1,0)</f>
        <v>1</v>
      </c>
    </row>
    <row r="2249" customFormat="false" ht="15" hidden="false" customHeight="false" outlineLevel="0" collapsed="false">
      <c r="A2249" s="2" t="s">
        <v>2070</v>
      </c>
      <c r="B2249" s="13" t="n">
        <v>46294</v>
      </c>
      <c r="C2249" s="2" t="s">
        <v>132</v>
      </c>
      <c r="D2249" s="2" t="n">
        <v>1</v>
      </c>
      <c r="E2249" s="15" t="n">
        <v>0.491666666666667</v>
      </c>
      <c r="F2249" s="7" t="n">
        <v>15000</v>
      </c>
      <c r="G2249" s="7" t="n">
        <f aca="false">D2249*F2249</f>
        <v>15000</v>
      </c>
      <c r="H2249" s="2" t="str">
        <f aca="false">INDEX(Daftar_Menu!$B$2:$B$13,MATCH(C2249,Daftar_Menu!$A$2:$A$13,0))</f>
        <v>Makanan</v>
      </c>
      <c r="I2249" s="2" t="str">
        <f aca="false">CHOOSE(WEEKDAY(B2249,2),"Senin","Selasa","Rabu","Kamis","Jumat","Sabtu","Minggu")</f>
        <v>Selasa</v>
      </c>
      <c r="J2249" s="2" t="n">
        <f aca="false">HOUR(E2249)</f>
        <v>11</v>
      </c>
      <c r="K2249" s="2" t="str">
        <f aca="false">IF(J2249&lt;11,"Pagi",IF(J2249&lt;17,"Siang","Malam"))</f>
        <v>Siang</v>
      </c>
      <c r="L2249" s="2" t="n">
        <f aca="false">IF(A2249&lt;&gt;A2248,1,0)</f>
        <v>1</v>
      </c>
    </row>
    <row r="2250" customFormat="false" ht="15" hidden="false" customHeight="false" outlineLevel="0" collapsed="false">
      <c r="A2250" s="2" t="s">
        <v>2070</v>
      </c>
      <c r="B2250" s="13" t="n">
        <v>46294</v>
      </c>
      <c r="C2250" s="2" t="s">
        <v>112</v>
      </c>
      <c r="D2250" s="2" t="n">
        <v>1</v>
      </c>
      <c r="E2250" s="15" t="n">
        <v>0.491666666666667</v>
      </c>
      <c r="F2250" s="7" t="n">
        <v>10000</v>
      </c>
      <c r="G2250" s="7" t="n">
        <f aca="false">D2250*F2250</f>
        <v>10000</v>
      </c>
      <c r="H2250" s="2" t="str">
        <f aca="false">INDEX(Daftar_Menu!$B$2:$B$13,MATCH(C2250,Daftar_Menu!$A$2:$A$13,0))</f>
        <v>Minuman</v>
      </c>
      <c r="I2250" s="2" t="str">
        <f aca="false">CHOOSE(WEEKDAY(B2250,2),"Senin","Selasa","Rabu","Kamis","Jumat","Sabtu","Minggu")</f>
        <v>Selasa</v>
      </c>
      <c r="J2250" s="2" t="n">
        <f aca="false">HOUR(E2250)</f>
        <v>11</v>
      </c>
      <c r="K2250" s="2" t="str">
        <f aca="false">IF(J2250&lt;11,"Pagi",IF(J2250&lt;17,"Siang","Malam"))</f>
        <v>Siang</v>
      </c>
      <c r="L2250" s="2" t="n">
        <f aca="false">IF(A2250&lt;&gt;A2249,1,0)</f>
        <v>0</v>
      </c>
    </row>
    <row r="2251" customFormat="false" ht="15" hidden="false" customHeight="false" outlineLevel="0" collapsed="false">
      <c r="A2251" s="2" t="s">
        <v>2071</v>
      </c>
      <c r="B2251" s="13" t="n">
        <v>46294</v>
      </c>
      <c r="C2251" s="2" t="s">
        <v>81</v>
      </c>
      <c r="D2251" s="2" t="n">
        <v>2</v>
      </c>
      <c r="E2251" s="15" t="n">
        <v>0.49375</v>
      </c>
      <c r="F2251" s="7" t="n">
        <v>15000</v>
      </c>
      <c r="G2251" s="7" t="n">
        <f aca="false">D2251*F2251</f>
        <v>30000</v>
      </c>
      <c r="H2251" s="2" t="str">
        <f aca="false">INDEX(Daftar_Menu!$B$2:$B$13,MATCH(C2251,Daftar_Menu!$A$2:$A$13,0))</f>
        <v>Makanan</v>
      </c>
      <c r="I2251" s="2" t="str">
        <f aca="false">CHOOSE(WEEKDAY(B2251,2),"Senin","Selasa","Rabu","Kamis","Jumat","Sabtu","Minggu")</f>
        <v>Selasa</v>
      </c>
      <c r="J2251" s="2" t="n">
        <f aca="false">HOUR(E2251)</f>
        <v>11</v>
      </c>
      <c r="K2251" s="2" t="str">
        <f aca="false">IF(J2251&lt;11,"Pagi",IF(J2251&lt;17,"Siang","Malam"))</f>
        <v>Siang</v>
      </c>
      <c r="L2251" s="2" t="n">
        <f aca="false">IF(A2251&lt;&gt;A2250,1,0)</f>
        <v>1</v>
      </c>
    </row>
    <row r="2252" customFormat="false" ht="15" hidden="false" customHeight="false" outlineLevel="0" collapsed="false">
      <c r="A2252" s="2" t="s">
        <v>2071</v>
      </c>
      <c r="B2252" s="13" t="n">
        <v>46294</v>
      </c>
      <c r="C2252" s="2" t="s">
        <v>186</v>
      </c>
      <c r="D2252" s="2" t="n">
        <v>1</v>
      </c>
      <c r="E2252" s="15" t="n">
        <v>0.49375</v>
      </c>
      <c r="F2252" s="7" t="n">
        <v>7000</v>
      </c>
      <c r="G2252" s="7" t="n">
        <f aca="false">D2252*F2252</f>
        <v>7000</v>
      </c>
      <c r="H2252" s="2" t="str">
        <f aca="false">INDEX(Daftar_Menu!$B$2:$B$13,MATCH(C2252,Daftar_Menu!$A$2:$A$13,0))</f>
        <v>Minuman</v>
      </c>
      <c r="I2252" s="2" t="str">
        <f aca="false">CHOOSE(WEEKDAY(B2252,2),"Senin","Selasa","Rabu","Kamis","Jumat","Sabtu","Minggu")</f>
        <v>Selasa</v>
      </c>
      <c r="J2252" s="2" t="n">
        <f aca="false">HOUR(E2252)</f>
        <v>11</v>
      </c>
      <c r="K2252" s="2" t="str">
        <f aca="false">IF(J2252&lt;11,"Pagi",IF(J2252&lt;17,"Siang","Malam"))</f>
        <v>Siang</v>
      </c>
      <c r="L2252" s="2" t="n">
        <f aca="false">IF(A2252&lt;&gt;A2251,1,0)</f>
        <v>0</v>
      </c>
    </row>
    <row r="2253" customFormat="false" ht="15" hidden="false" customHeight="false" outlineLevel="0" collapsed="false">
      <c r="A2253" s="2" t="s">
        <v>2072</v>
      </c>
      <c r="B2253" s="13" t="n">
        <v>46294</v>
      </c>
      <c r="C2253" s="2" t="s">
        <v>82</v>
      </c>
      <c r="D2253" s="2" t="n">
        <v>1</v>
      </c>
      <c r="E2253" s="15" t="n">
        <v>0.499305555555556</v>
      </c>
      <c r="F2253" s="7" t="n">
        <v>13000</v>
      </c>
      <c r="G2253" s="7" t="n">
        <f aca="false">D2253*F2253</f>
        <v>13000</v>
      </c>
      <c r="H2253" s="2" t="str">
        <f aca="false">INDEX(Daftar_Menu!$B$2:$B$13,MATCH(C2253,Daftar_Menu!$A$2:$A$13,0))</f>
        <v>Makanan</v>
      </c>
      <c r="I2253" s="2" t="str">
        <f aca="false">CHOOSE(WEEKDAY(B2253,2),"Senin","Selasa","Rabu","Kamis","Jumat","Sabtu","Minggu")</f>
        <v>Selasa</v>
      </c>
      <c r="J2253" s="2" t="n">
        <f aca="false">HOUR(E2253)</f>
        <v>11</v>
      </c>
      <c r="K2253" s="2" t="str">
        <f aca="false">IF(J2253&lt;11,"Pagi",IF(J2253&lt;17,"Siang","Malam"))</f>
        <v>Siang</v>
      </c>
      <c r="L2253" s="2" t="n">
        <f aca="false">IF(A2253&lt;&gt;A2252,1,0)</f>
        <v>1</v>
      </c>
    </row>
    <row r="2254" customFormat="false" ht="15" hidden="false" customHeight="false" outlineLevel="0" collapsed="false">
      <c r="A2254" s="2" t="s">
        <v>2072</v>
      </c>
      <c r="B2254" s="13" t="n">
        <v>46294</v>
      </c>
      <c r="C2254" s="2" t="s">
        <v>126</v>
      </c>
      <c r="D2254" s="2" t="n">
        <v>1</v>
      </c>
      <c r="E2254" s="15" t="n">
        <v>0.499305555555556</v>
      </c>
      <c r="F2254" s="7" t="n">
        <v>3000</v>
      </c>
      <c r="G2254" s="7" t="n">
        <f aca="false">D2254*F2254</f>
        <v>3000</v>
      </c>
      <c r="H2254" s="2" t="str">
        <f aca="false">INDEX(Daftar_Menu!$B$2:$B$13,MATCH(C2254,Daftar_Menu!$A$2:$A$13,0))</f>
        <v>Minuman</v>
      </c>
      <c r="I2254" s="2" t="str">
        <f aca="false">CHOOSE(WEEKDAY(B2254,2),"Senin","Selasa","Rabu","Kamis","Jumat","Sabtu","Minggu")</f>
        <v>Selasa</v>
      </c>
      <c r="J2254" s="2" t="n">
        <f aca="false">HOUR(E2254)</f>
        <v>11</v>
      </c>
      <c r="K2254" s="2" t="str">
        <f aca="false">IF(J2254&lt;11,"Pagi",IF(J2254&lt;17,"Siang","Malam"))</f>
        <v>Siang</v>
      </c>
      <c r="L2254" s="2" t="n">
        <f aca="false">IF(A2254&lt;&gt;A2253,1,0)</f>
        <v>0</v>
      </c>
    </row>
    <row r="2255" customFormat="false" ht="15" hidden="false" customHeight="false" outlineLevel="0" collapsed="false">
      <c r="A2255" s="2" t="s">
        <v>2074</v>
      </c>
      <c r="B2255" s="13" t="n">
        <v>46294</v>
      </c>
      <c r="C2255" s="2" t="s">
        <v>186</v>
      </c>
      <c r="D2255" s="2" t="n">
        <v>1</v>
      </c>
      <c r="E2255" s="15" t="n">
        <v>0.500694444444444</v>
      </c>
      <c r="F2255" s="7" t="n">
        <v>7000</v>
      </c>
      <c r="G2255" s="7" t="n">
        <f aca="false">D2255*F2255</f>
        <v>7000</v>
      </c>
      <c r="H2255" s="2" t="str">
        <f aca="false">INDEX(Daftar_Menu!$B$2:$B$13,MATCH(C2255,Daftar_Menu!$A$2:$A$13,0))</f>
        <v>Minuman</v>
      </c>
      <c r="I2255" s="2" t="str">
        <f aca="false">CHOOSE(WEEKDAY(B2255,2),"Senin","Selasa","Rabu","Kamis","Jumat","Sabtu","Minggu")</f>
        <v>Selasa</v>
      </c>
      <c r="J2255" s="2" t="n">
        <f aca="false">HOUR(E2255)</f>
        <v>12</v>
      </c>
      <c r="K2255" s="2" t="str">
        <f aca="false">IF(J2255&lt;11,"Pagi",IF(J2255&lt;17,"Siang","Malam"))</f>
        <v>Siang</v>
      </c>
      <c r="L2255" s="2" t="n">
        <f aca="false">IF(A2255&lt;&gt;A2254,1,0)</f>
        <v>1</v>
      </c>
    </row>
    <row r="2256" customFormat="false" ht="15" hidden="false" customHeight="false" outlineLevel="0" collapsed="false">
      <c r="A2256" s="2" t="s">
        <v>2075</v>
      </c>
      <c r="B2256" s="13" t="n">
        <v>46294</v>
      </c>
      <c r="C2256" s="2" t="s">
        <v>84</v>
      </c>
      <c r="D2256" s="2" t="n">
        <v>3</v>
      </c>
      <c r="E2256" s="15" t="n">
        <v>0.501388888888889</v>
      </c>
      <c r="F2256" s="7" t="n">
        <v>5000</v>
      </c>
      <c r="G2256" s="7" t="n">
        <f aca="false">D2256*F2256</f>
        <v>15000</v>
      </c>
      <c r="H2256" s="2" t="str">
        <f aca="false">INDEX(Daftar_Menu!$B$2:$B$13,MATCH(C2256,Daftar_Menu!$A$2:$A$13,0))</f>
        <v>Minuman</v>
      </c>
      <c r="I2256" s="2" t="str">
        <f aca="false">CHOOSE(WEEKDAY(B2256,2),"Senin","Selasa","Rabu","Kamis","Jumat","Sabtu","Minggu")</f>
        <v>Selasa</v>
      </c>
      <c r="J2256" s="2" t="n">
        <f aca="false">HOUR(E2256)</f>
        <v>12</v>
      </c>
      <c r="K2256" s="2" t="str">
        <f aca="false">IF(J2256&lt;11,"Pagi",IF(J2256&lt;17,"Siang","Malam"))</f>
        <v>Siang</v>
      </c>
      <c r="L2256" s="2" t="n">
        <f aca="false">IF(A2256&lt;&gt;A2255,1,0)</f>
        <v>1</v>
      </c>
    </row>
    <row r="2257" customFormat="false" ht="15" hidden="false" customHeight="false" outlineLevel="0" collapsed="false">
      <c r="A2257" s="2" t="s">
        <v>2076</v>
      </c>
      <c r="B2257" s="13" t="n">
        <v>46294</v>
      </c>
      <c r="C2257" s="2" t="s">
        <v>84</v>
      </c>
      <c r="D2257" s="2" t="n">
        <v>1</v>
      </c>
      <c r="E2257" s="15" t="n">
        <v>0.503472222222222</v>
      </c>
      <c r="F2257" s="7" t="n">
        <v>5000</v>
      </c>
      <c r="G2257" s="7" t="n">
        <f aca="false">D2257*F2257</f>
        <v>5000</v>
      </c>
      <c r="H2257" s="2" t="str">
        <f aca="false">INDEX(Daftar_Menu!$B$2:$B$13,MATCH(C2257,Daftar_Menu!$A$2:$A$13,0))</f>
        <v>Minuman</v>
      </c>
      <c r="I2257" s="2" t="str">
        <f aca="false">CHOOSE(WEEKDAY(B2257,2),"Senin","Selasa","Rabu","Kamis","Jumat","Sabtu","Minggu")</f>
        <v>Selasa</v>
      </c>
      <c r="J2257" s="2" t="n">
        <f aca="false">HOUR(E2257)</f>
        <v>12</v>
      </c>
      <c r="K2257" s="2" t="str">
        <f aca="false">IF(J2257&lt;11,"Pagi",IF(J2257&lt;17,"Siang","Malam"))</f>
        <v>Siang</v>
      </c>
      <c r="L2257" s="2" t="n">
        <f aca="false">IF(A2257&lt;&gt;A2256,1,0)</f>
        <v>1</v>
      </c>
    </row>
    <row r="2258" customFormat="false" ht="15" hidden="false" customHeight="false" outlineLevel="0" collapsed="false">
      <c r="A2258" s="2" t="s">
        <v>2077</v>
      </c>
      <c r="B2258" s="13" t="n">
        <v>46294</v>
      </c>
      <c r="C2258" s="2" t="s">
        <v>81</v>
      </c>
      <c r="D2258" s="2" t="n">
        <v>1</v>
      </c>
      <c r="E2258" s="15" t="n">
        <v>0.505555555555556</v>
      </c>
      <c r="F2258" s="7" t="n">
        <v>15000</v>
      </c>
      <c r="G2258" s="7" t="n">
        <f aca="false">D2258*F2258</f>
        <v>15000</v>
      </c>
      <c r="H2258" s="2" t="str">
        <f aca="false">INDEX(Daftar_Menu!$B$2:$B$13,MATCH(C2258,Daftar_Menu!$A$2:$A$13,0))</f>
        <v>Makanan</v>
      </c>
      <c r="I2258" s="2" t="str">
        <f aca="false">CHOOSE(WEEKDAY(B2258,2),"Senin","Selasa","Rabu","Kamis","Jumat","Sabtu","Minggu")</f>
        <v>Selasa</v>
      </c>
      <c r="J2258" s="2" t="n">
        <f aca="false">HOUR(E2258)</f>
        <v>12</v>
      </c>
      <c r="K2258" s="2" t="str">
        <f aca="false">IF(J2258&lt;11,"Pagi",IF(J2258&lt;17,"Siang","Malam"))</f>
        <v>Siang</v>
      </c>
      <c r="L2258" s="2" t="n">
        <f aca="false">IF(A2258&lt;&gt;A2257,1,0)</f>
        <v>1</v>
      </c>
    </row>
    <row r="2259" customFormat="false" ht="15" hidden="false" customHeight="false" outlineLevel="0" collapsed="false">
      <c r="A2259" s="2" t="s">
        <v>2078</v>
      </c>
      <c r="B2259" s="13" t="n">
        <v>46294</v>
      </c>
      <c r="C2259" s="2" t="s">
        <v>84</v>
      </c>
      <c r="D2259" s="2" t="n">
        <v>1</v>
      </c>
      <c r="E2259" s="15" t="n">
        <v>0.522916666666667</v>
      </c>
      <c r="F2259" s="7" t="n">
        <v>5000</v>
      </c>
      <c r="G2259" s="7" t="n">
        <f aca="false">D2259*F2259</f>
        <v>5000</v>
      </c>
      <c r="H2259" s="2" t="str">
        <f aca="false">INDEX(Daftar_Menu!$B$2:$B$13,MATCH(C2259,Daftar_Menu!$A$2:$A$13,0))</f>
        <v>Minuman</v>
      </c>
      <c r="I2259" s="2" t="str">
        <f aca="false">CHOOSE(WEEKDAY(B2259,2),"Senin","Selasa","Rabu","Kamis","Jumat","Sabtu","Minggu")</f>
        <v>Selasa</v>
      </c>
      <c r="J2259" s="2" t="n">
        <f aca="false">HOUR(E2259)</f>
        <v>12</v>
      </c>
      <c r="K2259" s="2" t="str">
        <f aca="false">IF(J2259&lt;11,"Pagi",IF(J2259&lt;17,"Siang","Malam"))</f>
        <v>Siang</v>
      </c>
      <c r="L2259" s="2" t="n">
        <f aca="false">IF(A2259&lt;&gt;A2258,1,0)</f>
        <v>1</v>
      </c>
    </row>
    <row r="2260" customFormat="false" ht="15" hidden="false" customHeight="false" outlineLevel="0" collapsed="false">
      <c r="A2260" s="2" t="s">
        <v>2078</v>
      </c>
      <c r="B2260" s="13" t="n">
        <v>46294</v>
      </c>
      <c r="C2260" s="2" t="s">
        <v>186</v>
      </c>
      <c r="D2260" s="2" t="n">
        <v>3</v>
      </c>
      <c r="E2260" s="15" t="n">
        <v>0.522916666666667</v>
      </c>
      <c r="F2260" s="7" t="n">
        <v>7000</v>
      </c>
      <c r="G2260" s="7" t="n">
        <f aca="false">D2260*F2260</f>
        <v>21000</v>
      </c>
      <c r="H2260" s="2" t="str">
        <f aca="false">INDEX(Daftar_Menu!$B$2:$B$13,MATCH(C2260,Daftar_Menu!$A$2:$A$13,0))</f>
        <v>Minuman</v>
      </c>
      <c r="I2260" s="2" t="str">
        <f aca="false">CHOOSE(WEEKDAY(B2260,2),"Senin","Selasa","Rabu","Kamis","Jumat","Sabtu","Minggu")</f>
        <v>Selasa</v>
      </c>
      <c r="J2260" s="2" t="n">
        <f aca="false">HOUR(E2260)</f>
        <v>12</v>
      </c>
      <c r="K2260" s="2" t="str">
        <f aca="false">IF(J2260&lt;11,"Pagi",IF(J2260&lt;17,"Siang","Malam"))</f>
        <v>Siang</v>
      </c>
      <c r="L2260" s="2" t="n">
        <f aca="false">IF(A2260&lt;&gt;A2259,1,0)</f>
        <v>0</v>
      </c>
    </row>
    <row r="2261" customFormat="false" ht="15" hidden="false" customHeight="false" outlineLevel="0" collapsed="false">
      <c r="A2261" s="2" t="s">
        <v>2079</v>
      </c>
      <c r="B2261" s="13" t="n">
        <v>46294</v>
      </c>
      <c r="C2261" s="2" t="s">
        <v>108</v>
      </c>
      <c r="D2261" s="2" t="n">
        <v>1</v>
      </c>
      <c r="E2261" s="15" t="n">
        <v>0.534722222222222</v>
      </c>
      <c r="F2261" s="7" t="n">
        <v>20000</v>
      </c>
      <c r="G2261" s="7" t="n">
        <f aca="false">D2261*F2261</f>
        <v>20000</v>
      </c>
      <c r="H2261" s="2" t="str">
        <f aca="false">INDEX(Daftar_Menu!$B$2:$B$13,MATCH(C2261,Daftar_Menu!$A$2:$A$13,0))</f>
        <v>Makanan</v>
      </c>
      <c r="I2261" s="2" t="str">
        <f aca="false">CHOOSE(WEEKDAY(B2261,2),"Senin","Selasa","Rabu","Kamis","Jumat","Sabtu","Minggu")</f>
        <v>Selasa</v>
      </c>
      <c r="J2261" s="2" t="n">
        <f aca="false">HOUR(E2261)</f>
        <v>12</v>
      </c>
      <c r="K2261" s="2" t="str">
        <f aca="false">IF(J2261&lt;11,"Pagi",IF(J2261&lt;17,"Siang","Malam"))</f>
        <v>Siang</v>
      </c>
      <c r="L2261" s="2" t="n">
        <f aca="false">IF(A2261&lt;&gt;A2260,1,0)</f>
        <v>1</v>
      </c>
    </row>
    <row r="2262" customFormat="false" ht="15" hidden="false" customHeight="false" outlineLevel="0" collapsed="false">
      <c r="A2262" s="2" t="s">
        <v>2081</v>
      </c>
      <c r="B2262" s="13" t="n">
        <v>46294</v>
      </c>
      <c r="C2262" s="2" t="s">
        <v>81</v>
      </c>
      <c r="D2262" s="2" t="n">
        <v>2</v>
      </c>
      <c r="E2262" s="15" t="n">
        <v>0.538194444444444</v>
      </c>
      <c r="F2262" s="7" t="n">
        <v>15000</v>
      </c>
      <c r="G2262" s="7" t="n">
        <f aca="false">D2262*F2262</f>
        <v>30000</v>
      </c>
      <c r="H2262" s="2" t="str">
        <f aca="false">INDEX(Daftar_Menu!$B$2:$B$13,MATCH(C2262,Daftar_Menu!$A$2:$A$13,0))</f>
        <v>Makanan</v>
      </c>
      <c r="I2262" s="2" t="str">
        <f aca="false">CHOOSE(WEEKDAY(B2262,2),"Senin","Selasa","Rabu","Kamis","Jumat","Sabtu","Minggu")</f>
        <v>Selasa</v>
      </c>
      <c r="J2262" s="2" t="n">
        <f aca="false">HOUR(E2262)</f>
        <v>12</v>
      </c>
      <c r="K2262" s="2" t="str">
        <f aca="false">IF(J2262&lt;11,"Pagi",IF(J2262&lt;17,"Siang","Malam"))</f>
        <v>Siang</v>
      </c>
      <c r="L2262" s="2" t="n">
        <f aca="false">IF(A2262&lt;&gt;A2261,1,0)</f>
        <v>1</v>
      </c>
    </row>
    <row r="2263" customFormat="false" ht="15" hidden="false" customHeight="false" outlineLevel="0" collapsed="false">
      <c r="A2263" s="2" t="s">
        <v>2081</v>
      </c>
      <c r="B2263" s="13" t="n">
        <v>46294</v>
      </c>
      <c r="C2263" s="2" t="s">
        <v>112</v>
      </c>
      <c r="D2263" s="2" t="n">
        <v>1</v>
      </c>
      <c r="E2263" s="15" t="n">
        <v>0.538194444444444</v>
      </c>
      <c r="F2263" s="7" t="n">
        <v>10000</v>
      </c>
      <c r="G2263" s="7" t="n">
        <f aca="false">D2263*F2263</f>
        <v>10000</v>
      </c>
      <c r="H2263" s="2" t="str">
        <f aca="false">INDEX(Daftar_Menu!$B$2:$B$13,MATCH(C2263,Daftar_Menu!$A$2:$A$13,0))</f>
        <v>Minuman</v>
      </c>
      <c r="I2263" s="2" t="str">
        <f aca="false">CHOOSE(WEEKDAY(B2263,2),"Senin","Selasa","Rabu","Kamis","Jumat","Sabtu","Minggu")</f>
        <v>Selasa</v>
      </c>
      <c r="J2263" s="2" t="n">
        <f aca="false">HOUR(E2263)</f>
        <v>12</v>
      </c>
      <c r="K2263" s="2" t="str">
        <f aca="false">IF(J2263&lt;11,"Pagi",IF(J2263&lt;17,"Siang","Malam"))</f>
        <v>Siang</v>
      </c>
      <c r="L2263" s="2" t="n">
        <f aca="false">IF(A2263&lt;&gt;A2262,1,0)</f>
        <v>0</v>
      </c>
    </row>
    <row r="2264" customFormat="false" ht="15" hidden="false" customHeight="false" outlineLevel="0" collapsed="false">
      <c r="A2264" s="2" t="s">
        <v>2082</v>
      </c>
      <c r="B2264" s="13" t="n">
        <v>46294</v>
      </c>
      <c r="C2264" s="2" t="s">
        <v>81</v>
      </c>
      <c r="D2264" s="2" t="n">
        <v>1</v>
      </c>
      <c r="E2264" s="15" t="n">
        <v>0.547916666666667</v>
      </c>
      <c r="F2264" s="7" t="n">
        <v>15000</v>
      </c>
      <c r="G2264" s="7" t="n">
        <f aca="false">D2264*F2264</f>
        <v>15000</v>
      </c>
      <c r="H2264" s="2" t="str">
        <f aca="false">INDEX(Daftar_Menu!$B$2:$B$13,MATCH(C2264,Daftar_Menu!$A$2:$A$13,0))</f>
        <v>Makanan</v>
      </c>
      <c r="I2264" s="2" t="str">
        <f aca="false">CHOOSE(WEEKDAY(B2264,2),"Senin","Selasa","Rabu","Kamis","Jumat","Sabtu","Minggu")</f>
        <v>Selasa</v>
      </c>
      <c r="J2264" s="2" t="n">
        <f aca="false">HOUR(E2264)</f>
        <v>13</v>
      </c>
      <c r="K2264" s="2" t="str">
        <f aca="false">IF(J2264&lt;11,"Pagi",IF(J2264&lt;17,"Siang","Malam"))</f>
        <v>Siang</v>
      </c>
      <c r="L2264" s="2" t="n">
        <f aca="false">IF(A2264&lt;&gt;A2263,1,0)</f>
        <v>1</v>
      </c>
    </row>
    <row r="2265" customFormat="false" ht="15" hidden="false" customHeight="false" outlineLevel="0" collapsed="false">
      <c r="A2265" s="2" t="s">
        <v>2083</v>
      </c>
      <c r="B2265" s="13" t="n">
        <v>46294</v>
      </c>
      <c r="C2265" s="2" t="s">
        <v>89</v>
      </c>
      <c r="D2265" s="2" t="n">
        <v>2</v>
      </c>
      <c r="E2265" s="15" t="n">
        <v>0.548611111111111</v>
      </c>
      <c r="F2265" s="7" t="n">
        <v>14000</v>
      </c>
      <c r="G2265" s="7" t="n">
        <f aca="false">D2265*F2265</f>
        <v>28000</v>
      </c>
      <c r="H2265" s="2" t="str">
        <f aca="false">INDEX(Daftar_Menu!$B$2:$B$13,MATCH(C2265,Daftar_Menu!$A$2:$A$13,0))</f>
        <v>Makanan</v>
      </c>
      <c r="I2265" s="2" t="str">
        <f aca="false">CHOOSE(WEEKDAY(B2265,2),"Senin","Selasa","Rabu","Kamis","Jumat","Sabtu","Minggu")</f>
        <v>Selasa</v>
      </c>
      <c r="J2265" s="2" t="n">
        <f aca="false">HOUR(E2265)</f>
        <v>13</v>
      </c>
      <c r="K2265" s="2" t="str">
        <f aca="false">IF(J2265&lt;11,"Pagi",IF(J2265&lt;17,"Siang","Malam"))</f>
        <v>Siang</v>
      </c>
      <c r="L2265" s="2" t="n">
        <f aca="false">IF(A2265&lt;&gt;A2264,1,0)</f>
        <v>1</v>
      </c>
    </row>
    <row r="2266" customFormat="false" ht="15" hidden="false" customHeight="false" outlineLevel="0" collapsed="false">
      <c r="A2266" s="2" t="s">
        <v>2084</v>
      </c>
      <c r="B2266" s="13" t="n">
        <v>46294</v>
      </c>
      <c r="C2266" s="2" t="s">
        <v>186</v>
      </c>
      <c r="D2266" s="2" t="n">
        <v>1</v>
      </c>
      <c r="E2266" s="15" t="n">
        <v>0.559027777777778</v>
      </c>
      <c r="F2266" s="7" t="n">
        <v>7000</v>
      </c>
      <c r="G2266" s="7" t="n">
        <f aca="false">D2266*F2266</f>
        <v>7000</v>
      </c>
      <c r="H2266" s="2" t="str">
        <f aca="false">INDEX(Daftar_Menu!$B$2:$B$13,MATCH(C2266,Daftar_Menu!$A$2:$A$13,0))</f>
        <v>Minuman</v>
      </c>
      <c r="I2266" s="2" t="str">
        <f aca="false">CHOOSE(WEEKDAY(B2266,2),"Senin","Selasa","Rabu","Kamis","Jumat","Sabtu","Minggu")</f>
        <v>Selasa</v>
      </c>
      <c r="J2266" s="2" t="n">
        <f aca="false">HOUR(E2266)</f>
        <v>13</v>
      </c>
      <c r="K2266" s="2" t="str">
        <f aca="false">IF(J2266&lt;11,"Pagi",IF(J2266&lt;17,"Siang","Malam"))</f>
        <v>Siang</v>
      </c>
      <c r="L2266" s="2" t="n">
        <f aca="false">IF(A2266&lt;&gt;A2265,1,0)</f>
        <v>1</v>
      </c>
    </row>
    <row r="2267" customFormat="false" ht="15" hidden="false" customHeight="false" outlineLevel="0" collapsed="false">
      <c r="A2267" s="2" t="s">
        <v>2086</v>
      </c>
      <c r="B2267" s="13" t="n">
        <v>46294</v>
      </c>
      <c r="C2267" s="2" t="s">
        <v>108</v>
      </c>
      <c r="D2267" s="2" t="n">
        <v>2</v>
      </c>
      <c r="E2267" s="15" t="n">
        <v>0.565277777777778</v>
      </c>
      <c r="F2267" s="7" t="n">
        <v>20000</v>
      </c>
      <c r="G2267" s="7" t="n">
        <f aca="false">D2267*F2267</f>
        <v>40000</v>
      </c>
      <c r="H2267" s="2" t="str">
        <f aca="false">INDEX(Daftar_Menu!$B$2:$B$13,MATCH(C2267,Daftar_Menu!$A$2:$A$13,0))</f>
        <v>Makanan</v>
      </c>
      <c r="I2267" s="2" t="str">
        <f aca="false">CHOOSE(WEEKDAY(B2267,2),"Senin","Selasa","Rabu","Kamis","Jumat","Sabtu","Minggu")</f>
        <v>Selasa</v>
      </c>
      <c r="J2267" s="2" t="n">
        <f aca="false">HOUR(E2267)</f>
        <v>13</v>
      </c>
      <c r="K2267" s="2" t="str">
        <f aca="false">IF(J2267&lt;11,"Pagi",IF(J2267&lt;17,"Siang","Malam"))</f>
        <v>Siang</v>
      </c>
      <c r="L2267" s="2" t="n">
        <f aca="false">IF(A2267&lt;&gt;A2266,1,0)</f>
        <v>1</v>
      </c>
    </row>
    <row r="2268" customFormat="false" ht="15" hidden="false" customHeight="false" outlineLevel="0" collapsed="false">
      <c r="A2268" s="2" t="s">
        <v>2086</v>
      </c>
      <c r="B2268" s="13" t="n">
        <v>46294</v>
      </c>
      <c r="C2268" s="2" t="s">
        <v>84</v>
      </c>
      <c r="D2268" s="2" t="n">
        <v>1</v>
      </c>
      <c r="E2268" s="15" t="n">
        <v>0.565277777777778</v>
      </c>
      <c r="F2268" s="7" t="n">
        <v>5000</v>
      </c>
      <c r="G2268" s="7" t="n">
        <f aca="false">D2268*F2268</f>
        <v>5000</v>
      </c>
      <c r="H2268" s="2" t="str">
        <f aca="false">INDEX(Daftar_Menu!$B$2:$B$13,MATCH(C2268,Daftar_Menu!$A$2:$A$13,0))</f>
        <v>Minuman</v>
      </c>
      <c r="I2268" s="2" t="str">
        <f aca="false">CHOOSE(WEEKDAY(B2268,2),"Senin","Selasa","Rabu","Kamis","Jumat","Sabtu","Minggu")</f>
        <v>Selasa</v>
      </c>
      <c r="J2268" s="2" t="n">
        <f aca="false">HOUR(E2268)</f>
        <v>13</v>
      </c>
      <c r="K2268" s="2" t="str">
        <f aca="false">IF(J2268&lt;11,"Pagi",IF(J2268&lt;17,"Siang","Malam"))</f>
        <v>Siang</v>
      </c>
      <c r="L2268" s="2" t="n">
        <f aca="false">IF(A2268&lt;&gt;A2267,1,0)</f>
        <v>0</v>
      </c>
    </row>
    <row r="2269" customFormat="false" ht="15" hidden="false" customHeight="false" outlineLevel="0" collapsed="false">
      <c r="A2269" s="2" t="s">
        <v>2087</v>
      </c>
      <c r="B2269" s="13" t="n">
        <v>46294</v>
      </c>
      <c r="C2269" s="2" t="s">
        <v>81</v>
      </c>
      <c r="D2269" s="2" t="n">
        <v>1</v>
      </c>
      <c r="E2269" s="15" t="n">
        <v>0.567361111111111</v>
      </c>
      <c r="F2269" s="7" t="n">
        <v>15000</v>
      </c>
      <c r="G2269" s="7" t="n">
        <f aca="false">D2269*F2269</f>
        <v>15000</v>
      </c>
      <c r="H2269" s="2" t="str">
        <f aca="false">INDEX(Daftar_Menu!$B$2:$B$13,MATCH(C2269,Daftar_Menu!$A$2:$A$13,0))</f>
        <v>Makanan</v>
      </c>
      <c r="I2269" s="2" t="str">
        <f aca="false">CHOOSE(WEEKDAY(B2269,2),"Senin","Selasa","Rabu","Kamis","Jumat","Sabtu","Minggu")</f>
        <v>Selasa</v>
      </c>
      <c r="J2269" s="2" t="n">
        <f aca="false">HOUR(E2269)</f>
        <v>13</v>
      </c>
      <c r="K2269" s="2" t="str">
        <f aca="false">IF(J2269&lt;11,"Pagi",IF(J2269&lt;17,"Siang","Malam"))</f>
        <v>Siang</v>
      </c>
      <c r="L2269" s="2" t="n">
        <f aca="false">IF(A2269&lt;&gt;A2268,1,0)</f>
        <v>1</v>
      </c>
    </row>
    <row r="2270" customFormat="false" ht="15" hidden="false" customHeight="false" outlineLevel="0" collapsed="false">
      <c r="A2270" s="2" t="s">
        <v>2088</v>
      </c>
      <c r="B2270" s="13" t="n">
        <v>46294</v>
      </c>
      <c r="C2270" s="2" t="s">
        <v>101</v>
      </c>
      <c r="D2270" s="2" t="n">
        <v>1</v>
      </c>
      <c r="E2270" s="15" t="n">
        <v>0.596527777777778</v>
      </c>
      <c r="F2270" s="7" t="n">
        <v>18000</v>
      </c>
      <c r="G2270" s="7" t="n">
        <f aca="false">D2270*F2270</f>
        <v>18000</v>
      </c>
      <c r="H2270" s="2" t="str">
        <f aca="false">INDEX(Daftar_Menu!$B$2:$B$13,MATCH(C2270,Daftar_Menu!$A$2:$A$13,0))</f>
        <v>Makanan</v>
      </c>
      <c r="I2270" s="2" t="str">
        <f aca="false">CHOOSE(WEEKDAY(B2270,2),"Senin","Selasa","Rabu","Kamis","Jumat","Sabtu","Minggu")</f>
        <v>Selasa</v>
      </c>
      <c r="J2270" s="2" t="n">
        <f aca="false">HOUR(E2270)</f>
        <v>14</v>
      </c>
      <c r="K2270" s="2" t="str">
        <f aca="false">IF(J2270&lt;11,"Pagi",IF(J2270&lt;17,"Siang","Malam"))</f>
        <v>Siang</v>
      </c>
      <c r="L2270" s="2" t="n">
        <f aca="false">IF(A2270&lt;&gt;A2269,1,0)</f>
        <v>1</v>
      </c>
    </row>
    <row r="2271" customFormat="false" ht="15" hidden="false" customHeight="false" outlineLevel="0" collapsed="false">
      <c r="A2271" s="2" t="s">
        <v>2090</v>
      </c>
      <c r="B2271" s="13" t="n">
        <v>46294</v>
      </c>
      <c r="C2271" s="2" t="s">
        <v>108</v>
      </c>
      <c r="D2271" s="2" t="n">
        <v>1</v>
      </c>
      <c r="E2271" s="15" t="n">
        <v>0.640277777777778</v>
      </c>
      <c r="F2271" s="7" t="n">
        <v>20000</v>
      </c>
      <c r="G2271" s="7" t="n">
        <f aca="false">D2271*F2271</f>
        <v>20000</v>
      </c>
      <c r="H2271" s="2" t="str">
        <f aca="false">INDEX(Daftar_Menu!$B$2:$B$13,MATCH(C2271,Daftar_Menu!$A$2:$A$13,0))</f>
        <v>Makanan</v>
      </c>
      <c r="I2271" s="2" t="str">
        <f aca="false">CHOOSE(WEEKDAY(B2271,2),"Senin","Selasa","Rabu","Kamis","Jumat","Sabtu","Minggu")</f>
        <v>Selasa</v>
      </c>
      <c r="J2271" s="2" t="n">
        <f aca="false">HOUR(E2271)</f>
        <v>15</v>
      </c>
      <c r="K2271" s="2" t="str">
        <f aca="false">IF(J2271&lt;11,"Pagi",IF(J2271&lt;17,"Siang","Malam"))</f>
        <v>Siang</v>
      </c>
      <c r="L2271" s="2" t="n">
        <f aca="false">IF(A2271&lt;&gt;A2270,1,0)</f>
        <v>1</v>
      </c>
    </row>
    <row r="2272" customFormat="false" ht="15" hidden="false" customHeight="false" outlineLevel="0" collapsed="false">
      <c r="A2272" s="2" t="s">
        <v>2090</v>
      </c>
      <c r="B2272" s="13" t="n">
        <v>46294</v>
      </c>
      <c r="C2272" s="2" t="s">
        <v>81</v>
      </c>
      <c r="D2272" s="2" t="n">
        <v>1</v>
      </c>
      <c r="E2272" s="15" t="n">
        <v>0.640277777777778</v>
      </c>
      <c r="F2272" s="7" t="n">
        <v>15000</v>
      </c>
      <c r="G2272" s="7" t="n">
        <f aca="false">D2272*F2272</f>
        <v>15000</v>
      </c>
      <c r="H2272" s="2" t="str">
        <f aca="false">INDEX(Daftar_Menu!$B$2:$B$13,MATCH(C2272,Daftar_Menu!$A$2:$A$13,0))</f>
        <v>Makanan</v>
      </c>
      <c r="I2272" s="2" t="str">
        <f aca="false">CHOOSE(WEEKDAY(B2272,2),"Senin","Selasa","Rabu","Kamis","Jumat","Sabtu","Minggu")</f>
        <v>Selasa</v>
      </c>
      <c r="J2272" s="2" t="n">
        <f aca="false">HOUR(E2272)</f>
        <v>15</v>
      </c>
      <c r="K2272" s="2" t="str">
        <f aca="false">IF(J2272&lt;11,"Pagi",IF(J2272&lt;17,"Siang","Malam"))</f>
        <v>Siang</v>
      </c>
      <c r="L2272" s="2" t="n">
        <f aca="false">IF(A2272&lt;&gt;A2271,1,0)</f>
        <v>0</v>
      </c>
    </row>
    <row r="2273" customFormat="false" ht="15" hidden="false" customHeight="false" outlineLevel="0" collapsed="false">
      <c r="A2273" s="2" t="s">
        <v>2091</v>
      </c>
      <c r="B2273" s="13" t="n">
        <v>46294</v>
      </c>
      <c r="C2273" s="2" t="s">
        <v>101</v>
      </c>
      <c r="D2273" s="2" t="n">
        <v>2</v>
      </c>
      <c r="E2273" s="15" t="n">
        <v>0.684722222222222</v>
      </c>
      <c r="F2273" s="7" t="n">
        <v>18000</v>
      </c>
      <c r="G2273" s="7" t="n">
        <f aca="false">D2273*F2273</f>
        <v>36000</v>
      </c>
      <c r="H2273" s="2" t="str">
        <f aca="false">INDEX(Daftar_Menu!$B$2:$B$13,MATCH(C2273,Daftar_Menu!$A$2:$A$13,0))</f>
        <v>Makanan</v>
      </c>
      <c r="I2273" s="2" t="str">
        <f aca="false">CHOOSE(WEEKDAY(B2273,2),"Senin","Selasa","Rabu","Kamis","Jumat","Sabtu","Minggu")</f>
        <v>Selasa</v>
      </c>
      <c r="J2273" s="2" t="n">
        <f aca="false">HOUR(E2273)</f>
        <v>16</v>
      </c>
      <c r="K2273" s="2" t="str">
        <f aca="false">IF(J2273&lt;11,"Pagi",IF(J2273&lt;17,"Siang","Malam"))</f>
        <v>Siang</v>
      </c>
      <c r="L2273" s="2" t="n">
        <f aca="false">IF(A2273&lt;&gt;A2272,1,0)</f>
        <v>1</v>
      </c>
    </row>
    <row r="2274" customFormat="false" ht="15" hidden="false" customHeight="false" outlineLevel="0" collapsed="false">
      <c r="A2274" s="2" t="s">
        <v>2091</v>
      </c>
      <c r="B2274" s="13" t="n">
        <v>46294</v>
      </c>
      <c r="C2274" s="2" t="s">
        <v>84</v>
      </c>
      <c r="D2274" s="2" t="n">
        <v>2</v>
      </c>
      <c r="E2274" s="15" t="n">
        <v>0.684722222222222</v>
      </c>
      <c r="F2274" s="7" t="n">
        <v>5000</v>
      </c>
      <c r="G2274" s="7" t="n">
        <f aca="false">D2274*F2274</f>
        <v>10000</v>
      </c>
      <c r="H2274" s="2" t="str">
        <f aca="false">INDEX(Daftar_Menu!$B$2:$B$13,MATCH(C2274,Daftar_Menu!$A$2:$A$13,0))</f>
        <v>Minuman</v>
      </c>
      <c r="I2274" s="2" t="str">
        <f aca="false">CHOOSE(WEEKDAY(B2274,2),"Senin","Selasa","Rabu","Kamis","Jumat","Sabtu","Minggu")</f>
        <v>Selasa</v>
      </c>
      <c r="J2274" s="2" t="n">
        <f aca="false">HOUR(E2274)</f>
        <v>16</v>
      </c>
      <c r="K2274" s="2" t="str">
        <f aca="false">IF(J2274&lt;11,"Pagi",IF(J2274&lt;17,"Siang","Malam"))</f>
        <v>Siang</v>
      </c>
      <c r="L2274" s="2" t="n">
        <f aca="false">IF(A2274&lt;&gt;A2273,1,0)</f>
        <v>0</v>
      </c>
    </row>
    <row r="2275" customFormat="false" ht="15" hidden="false" customHeight="false" outlineLevel="0" collapsed="false">
      <c r="A2275" s="2" t="s">
        <v>2092</v>
      </c>
      <c r="B2275" s="13" t="n">
        <v>46294</v>
      </c>
      <c r="C2275" s="2" t="s">
        <v>186</v>
      </c>
      <c r="D2275" s="2" t="n">
        <v>3</v>
      </c>
      <c r="E2275" s="15" t="n">
        <v>0.710416666666667</v>
      </c>
      <c r="F2275" s="7" t="n">
        <v>7000</v>
      </c>
      <c r="G2275" s="7" t="n">
        <f aca="false">D2275*F2275</f>
        <v>21000</v>
      </c>
      <c r="H2275" s="2" t="str">
        <f aca="false">INDEX(Daftar_Menu!$B$2:$B$13,MATCH(C2275,Daftar_Menu!$A$2:$A$13,0))</f>
        <v>Minuman</v>
      </c>
      <c r="I2275" s="2" t="str">
        <f aca="false">CHOOSE(WEEKDAY(B2275,2),"Senin","Selasa","Rabu","Kamis","Jumat","Sabtu","Minggu")</f>
        <v>Selasa</v>
      </c>
      <c r="J2275" s="2" t="n">
        <f aca="false">HOUR(E2275)</f>
        <v>17</v>
      </c>
      <c r="K2275" s="2" t="str">
        <f aca="false">IF(J2275&lt;11,"Pagi",IF(J2275&lt;17,"Siang","Malam"))</f>
        <v>Malam</v>
      </c>
      <c r="L2275" s="2" t="n">
        <f aca="false">IF(A2275&lt;&gt;A2274,1,0)</f>
        <v>1</v>
      </c>
    </row>
    <row r="2276" customFormat="false" ht="15" hidden="false" customHeight="false" outlineLevel="0" collapsed="false">
      <c r="A2276" s="2" t="s">
        <v>2092</v>
      </c>
      <c r="B2276" s="13" t="n">
        <v>46294</v>
      </c>
      <c r="C2276" s="2" t="s">
        <v>101</v>
      </c>
      <c r="D2276" s="2" t="n">
        <v>1</v>
      </c>
      <c r="E2276" s="15" t="n">
        <v>0.710416666666667</v>
      </c>
      <c r="F2276" s="7" t="n">
        <v>18000</v>
      </c>
      <c r="G2276" s="7" t="n">
        <f aca="false">D2276*F2276</f>
        <v>18000</v>
      </c>
      <c r="H2276" s="2" t="str">
        <f aca="false">INDEX(Daftar_Menu!$B$2:$B$13,MATCH(C2276,Daftar_Menu!$A$2:$A$13,0))</f>
        <v>Makanan</v>
      </c>
      <c r="I2276" s="2" t="str">
        <f aca="false">CHOOSE(WEEKDAY(B2276,2),"Senin","Selasa","Rabu","Kamis","Jumat","Sabtu","Minggu")</f>
        <v>Selasa</v>
      </c>
      <c r="J2276" s="2" t="n">
        <f aca="false">HOUR(E2276)</f>
        <v>17</v>
      </c>
      <c r="K2276" s="2" t="str">
        <f aca="false">IF(J2276&lt;11,"Pagi",IF(J2276&lt;17,"Siang","Malam"))</f>
        <v>Malam</v>
      </c>
      <c r="L2276" s="2" t="n">
        <f aca="false">IF(A2276&lt;&gt;A2275,1,0)</f>
        <v>0</v>
      </c>
    </row>
    <row r="2277" customFormat="false" ht="15" hidden="false" customHeight="false" outlineLevel="0" collapsed="false">
      <c r="A2277" s="2" t="s">
        <v>2093</v>
      </c>
      <c r="B2277" s="13" t="n">
        <v>46294</v>
      </c>
      <c r="C2277" s="2" t="s">
        <v>81</v>
      </c>
      <c r="D2277" s="2" t="n">
        <v>1</v>
      </c>
      <c r="E2277" s="15" t="n">
        <v>0.722916666666667</v>
      </c>
      <c r="F2277" s="7" t="n">
        <v>15000</v>
      </c>
      <c r="G2277" s="7" t="n">
        <f aca="false">D2277*F2277</f>
        <v>15000</v>
      </c>
      <c r="H2277" s="2" t="str">
        <f aca="false">INDEX(Daftar_Menu!$B$2:$B$13,MATCH(C2277,Daftar_Menu!$A$2:$A$13,0))</f>
        <v>Makanan</v>
      </c>
      <c r="I2277" s="2" t="str">
        <f aca="false">CHOOSE(WEEKDAY(B2277,2),"Senin","Selasa","Rabu","Kamis","Jumat","Sabtu","Minggu")</f>
        <v>Selasa</v>
      </c>
      <c r="J2277" s="2" t="n">
        <f aca="false">HOUR(E2277)</f>
        <v>17</v>
      </c>
      <c r="K2277" s="2" t="str">
        <f aca="false">IF(J2277&lt;11,"Pagi",IF(J2277&lt;17,"Siang","Malam"))</f>
        <v>Malam</v>
      </c>
      <c r="L2277" s="2" t="n">
        <f aca="false">IF(A2277&lt;&gt;A2276,1,0)</f>
        <v>1</v>
      </c>
    </row>
    <row r="2278" customFormat="false" ht="15" hidden="false" customHeight="false" outlineLevel="0" collapsed="false">
      <c r="A2278" s="2" t="s">
        <v>2094</v>
      </c>
      <c r="B2278" s="13" t="n">
        <v>46294</v>
      </c>
      <c r="C2278" s="2" t="s">
        <v>92</v>
      </c>
      <c r="D2278" s="2" t="n">
        <v>1</v>
      </c>
      <c r="E2278" s="15" t="n">
        <v>0.738888888888889</v>
      </c>
      <c r="F2278" s="7" t="n">
        <v>4000</v>
      </c>
      <c r="G2278" s="7" t="n">
        <f aca="false">D2278*F2278</f>
        <v>4000</v>
      </c>
      <c r="H2278" s="2" t="str">
        <f aca="false">INDEX(Daftar_Menu!$B$2:$B$13,MATCH(C2278,Daftar_Menu!$A$2:$A$13,0))</f>
        <v>Minuman</v>
      </c>
      <c r="I2278" s="2" t="str">
        <f aca="false">CHOOSE(WEEKDAY(B2278,2),"Senin","Selasa","Rabu","Kamis","Jumat","Sabtu","Minggu")</f>
        <v>Selasa</v>
      </c>
      <c r="J2278" s="2" t="n">
        <f aca="false">HOUR(E2278)</f>
        <v>17</v>
      </c>
      <c r="K2278" s="2" t="str">
        <f aca="false">IF(J2278&lt;11,"Pagi",IF(J2278&lt;17,"Siang","Malam"))</f>
        <v>Malam</v>
      </c>
      <c r="L2278" s="2" t="n">
        <f aca="false">IF(A2278&lt;&gt;A2277,1,0)</f>
        <v>1</v>
      </c>
    </row>
    <row r="2279" customFormat="false" ht="15" hidden="false" customHeight="false" outlineLevel="0" collapsed="false">
      <c r="A2279" s="2" t="s">
        <v>2095</v>
      </c>
      <c r="B2279" s="13" t="n">
        <v>46294</v>
      </c>
      <c r="C2279" s="2" t="s">
        <v>84</v>
      </c>
      <c r="D2279" s="2" t="n">
        <v>2</v>
      </c>
      <c r="E2279" s="15" t="n">
        <v>0.761805555555556</v>
      </c>
      <c r="F2279" s="7" t="n">
        <v>5000</v>
      </c>
      <c r="G2279" s="7" t="n">
        <f aca="false">D2279*F2279</f>
        <v>10000</v>
      </c>
      <c r="H2279" s="2" t="str">
        <f aca="false">INDEX(Daftar_Menu!$B$2:$B$13,MATCH(C2279,Daftar_Menu!$A$2:$A$13,0))</f>
        <v>Minuman</v>
      </c>
      <c r="I2279" s="2" t="str">
        <f aca="false">CHOOSE(WEEKDAY(B2279,2),"Senin","Selasa","Rabu","Kamis","Jumat","Sabtu","Minggu")</f>
        <v>Selasa</v>
      </c>
      <c r="J2279" s="2" t="n">
        <f aca="false">HOUR(E2279)</f>
        <v>18</v>
      </c>
      <c r="K2279" s="2" t="str">
        <f aca="false">IF(J2279&lt;11,"Pagi",IF(J2279&lt;17,"Siang","Malam"))</f>
        <v>Malam</v>
      </c>
      <c r="L2279" s="2" t="n">
        <f aca="false">IF(A2279&lt;&gt;A2278,1,0)</f>
        <v>1</v>
      </c>
    </row>
    <row r="2280" customFormat="false" ht="15" hidden="false" customHeight="false" outlineLevel="0" collapsed="false">
      <c r="A2280" s="2" t="s">
        <v>2096</v>
      </c>
      <c r="B2280" s="13" t="n">
        <v>46294</v>
      </c>
      <c r="C2280" s="2" t="s">
        <v>101</v>
      </c>
      <c r="D2280" s="2" t="n">
        <v>3</v>
      </c>
      <c r="E2280" s="15" t="n">
        <v>0.7625</v>
      </c>
      <c r="F2280" s="7" t="n">
        <v>18000</v>
      </c>
      <c r="G2280" s="7" t="n">
        <f aca="false">D2280*F2280</f>
        <v>54000</v>
      </c>
      <c r="H2280" s="2" t="str">
        <f aca="false">INDEX(Daftar_Menu!$B$2:$B$13,MATCH(C2280,Daftar_Menu!$A$2:$A$13,0))</f>
        <v>Makanan</v>
      </c>
      <c r="I2280" s="2" t="str">
        <f aca="false">CHOOSE(WEEKDAY(B2280,2),"Senin","Selasa","Rabu","Kamis","Jumat","Sabtu","Minggu")</f>
        <v>Selasa</v>
      </c>
      <c r="J2280" s="2" t="n">
        <f aca="false">HOUR(E2280)</f>
        <v>18</v>
      </c>
      <c r="K2280" s="2" t="str">
        <f aca="false">IF(J2280&lt;11,"Pagi",IF(J2280&lt;17,"Siang","Malam"))</f>
        <v>Malam</v>
      </c>
      <c r="L2280" s="2" t="n">
        <f aca="false">IF(A2280&lt;&gt;A2279,1,0)</f>
        <v>1</v>
      </c>
    </row>
    <row r="2281" customFormat="false" ht="15" hidden="false" customHeight="false" outlineLevel="0" collapsed="false">
      <c r="A2281" s="2" t="s">
        <v>2097</v>
      </c>
      <c r="B2281" s="13" t="n">
        <v>46294</v>
      </c>
      <c r="C2281" s="2" t="s">
        <v>84</v>
      </c>
      <c r="D2281" s="2" t="n">
        <v>2</v>
      </c>
      <c r="E2281" s="15" t="n">
        <v>0.7625</v>
      </c>
      <c r="F2281" s="7" t="n">
        <v>5000</v>
      </c>
      <c r="G2281" s="7" t="n">
        <f aca="false">D2281*F2281</f>
        <v>10000</v>
      </c>
      <c r="H2281" s="2" t="str">
        <f aca="false">INDEX(Daftar_Menu!$B$2:$B$13,MATCH(C2281,Daftar_Menu!$A$2:$A$13,0))</f>
        <v>Minuman</v>
      </c>
      <c r="I2281" s="2" t="str">
        <f aca="false">CHOOSE(WEEKDAY(B2281,2),"Senin","Selasa","Rabu","Kamis","Jumat","Sabtu","Minggu")</f>
        <v>Selasa</v>
      </c>
      <c r="J2281" s="2" t="n">
        <f aca="false">HOUR(E2281)</f>
        <v>18</v>
      </c>
      <c r="K2281" s="2" t="str">
        <f aca="false">IF(J2281&lt;11,"Pagi",IF(J2281&lt;17,"Siang","Malam"))</f>
        <v>Malam</v>
      </c>
      <c r="L2281" s="2" t="n">
        <f aca="false">IF(A2281&lt;&gt;A2280,1,0)</f>
        <v>1</v>
      </c>
    </row>
    <row r="2282" customFormat="false" ht="15" hidden="false" customHeight="false" outlineLevel="0" collapsed="false">
      <c r="A2282" s="2" t="s">
        <v>2098</v>
      </c>
      <c r="B2282" s="13" t="n">
        <v>46294</v>
      </c>
      <c r="C2282" s="2" t="s">
        <v>101</v>
      </c>
      <c r="D2282" s="2" t="n">
        <v>1</v>
      </c>
      <c r="E2282" s="15" t="n">
        <v>0.763194444444444</v>
      </c>
      <c r="F2282" s="7" t="n">
        <v>18000</v>
      </c>
      <c r="G2282" s="7" t="n">
        <f aca="false">D2282*F2282</f>
        <v>18000</v>
      </c>
      <c r="H2282" s="2" t="str">
        <f aca="false">INDEX(Daftar_Menu!$B$2:$B$13,MATCH(C2282,Daftar_Menu!$A$2:$A$13,0))</f>
        <v>Makanan</v>
      </c>
      <c r="I2282" s="2" t="str">
        <f aca="false">CHOOSE(WEEKDAY(B2282,2),"Senin","Selasa","Rabu","Kamis","Jumat","Sabtu","Minggu")</f>
        <v>Selasa</v>
      </c>
      <c r="J2282" s="2" t="n">
        <f aca="false">HOUR(E2282)</f>
        <v>18</v>
      </c>
      <c r="K2282" s="2" t="str">
        <f aca="false">IF(J2282&lt;11,"Pagi",IF(J2282&lt;17,"Siang","Malam"))</f>
        <v>Malam</v>
      </c>
      <c r="L2282" s="2" t="n">
        <f aca="false">IF(A2282&lt;&gt;A2281,1,0)</f>
        <v>1</v>
      </c>
    </row>
    <row r="2283" customFormat="false" ht="15" hidden="false" customHeight="false" outlineLevel="0" collapsed="false">
      <c r="A2283" s="2" t="s">
        <v>2099</v>
      </c>
      <c r="B2283" s="13" t="n">
        <v>46294</v>
      </c>
      <c r="C2283" s="2" t="s">
        <v>132</v>
      </c>
      <c r="D2283" s="2" t="n">
        <v>1</v>
      </c>
      <c r="E2283" s="15" t="n">
        <v>0.773611111111111</v>
      </c>
      <c r="F2283" s="7" t="n">
        <v>15000</v>
      </c>
      <c r="G2283" s="7" t="n">
        <f aca="false">D2283*F2283</f>
        <v>15000</v>
      </c>
      <c r="H2283" s="2" t="str">
        <f aca="false">INDEX(Daftar_Menu!$B$2:$B$13,MATCH(C2283,Daftar_Menu!$A$2:$A$13,0))</f>
        <v>Makanan</v>
      </c>
      <c r="I2283" s="2" t="str">
        <f aca="false">CHOOSE(WEEKDAY(B2283,2),"Senin","Selasa","Rabu","Kamis","Jumat","Sabtu","Minggu")</f>
        <v>Selasa</v>
      </c>
      <c r="J2283" s="2" t="n">
        <f aca="false">HOUR(E2283)</f>
        <v>18</v>
      </c>
      <c r="K2283" s="2" t="str">
        <f aca="false">IF(J2283&lt;11,"Pagi",IF(J2283&lt;17,"Siang","Malam"))</f>
        <v>Malam</v>
      </c>
      <c r="L2283" s="2" t="n">
        <f aca="false">IF(A2283&lt;&gt;A2282,1,0)</f>
        <v>1</v>
      </c>
    </row>
    <row r="2284" customFormat="false" ht="15" hidden="false" customHeight="false" outlineLevel="0" collapsed="false">
      <c r="A2284" s="2" t="s">
        <v>2100</v>
      </c>
      <c r="B2284" s="13" t="n">
        <v>46294</v>
      </c>
      <c r="C2284" s="2" t="s">
        <v>186</v>
      </c>
      <c r="D2284" s="2" t="n">
        <v>2</v>
      </c>
      <c r="E2284" s="15" t="n">
        <v>0.777777777777778</v>
      </c>
      <c r="F2284" s="7" t="n">
        <v>7000</v>
      </c>
      <c r="G2284" s="7" t="n">
        <f aca="false">D2284*F2284</f>
        <v>14000</v>
      </c>
      <c r="H2284" s="2" t="str">
        <f aca="false">INDEX(Daftar_Menu!$B$2:$B$13,MATCH(C2284,Daftar_Menu!$A$2:$A$13,0))</f>
        <v>Minuman</v>
      </c>
      <c r="I2284" s="2" t="str">
        <f aca="false">CHOOSE(WEEKDAY(B2284,2),"Senin","Selasa","Rabu","Kamis","Jumat","Sabtu","Minggu")</f>
        <v>Selasa</v>
      </c>
      <c r="J2284" s="2" t="n">
        <f aca="false">HOUR(E2284)</f>
        <v>18</v>
      </c>
      <c r="K2284" s="2" t="str">
        <f aca="false">IF(J2284&lt;11,"Pagi",IF(J2284&lt;17,"Siang","Malam"))</f>
        <v>Malam</v>
      </c>
      <c r="L2284" s="2" t="n">
        <f aca="false">IF(A2284&lt;&gt;A2283,1,0)</f>
        <v>1</v>
      </c>
    </row>
    <row r="2285" customFormat="false" ht="15" hidden="false" customHeight="false" outlineLevel="0" collapsed="false">
      <c r="A2285" s="2" t="s">
        <v>2100</v>
      </c>
      <c r="B2285" s="13" t="n">
        <v>46294</v>
      </c>
      <c r="C2285" s="2" t="s">
        <v>84</v>
      </c>
      <c r="D2285" s="2" t="n">
        <v>2</v>
      </c>
      <c r="E2285" s="15" t="n">
        <v>0.777777777777778</v>
      </c>
      <c r="F2285" s="7" t="n">
        <v>5000</v>
      </c>
      <c r="G2285" s="7" t="n">
        <f aca="false">D2285*F2285</f>
        <v>10000</v>
      </c>
      <c r="H2285" s="2" t="str">
        <f aca="false">INDEX(Daftar_Menu!$B$2:$B$13,MATCH(C2285,Daftar_Menu!$A$2:$A$13,0))</f>
        <v>Minuman</v>
      </c>
      <c r="I2285" s="2" t="str">
        <f aca="false">CHOOSE(WEEKDAY(B2285,2),"Senin","Selasa","Rabu","Kamis","Jumat","Sabtu","Minggu")</f>
        <v>Selasa</v>
      </c>
      <c r="J2285" s="2" t="n">
        <f aca="false">HOUR(E2285)</f>
        <v>18</v>
      </c>
      <c r="K2285" s="2" t="str">
        <f aca="false">IF(J2285&lt;11,"Pagi",IF(J2285&lt;17,"Siang","Malam"))</f>
        <v>Malam</v>
      </c>
      <c r="L2285" s="2" t="n">
        <f aca="false">IF(A2285&lt;&gt;A2284,1,0)</f>
        <v>0</v>
      </c>
    </row>
    <row r="2286" customFormat="false" ht="15" hidden="false" customHeight="false" outlineLevel="0" collapsed="false">
      <c r="A2286" s="2" t="s">
        <v>2101</v>
      </c>
      <c r="B2286" s="13" t="n">
        <v>46294</v>
      </c>
      <c r="C2286" s="2" t="s">
        <v>112</v>
      </c>
      <c r="D2286" s="2" t="n">
        <v>1</v>
      </c>
      <c r="E2286" s="15" t="n">
        <v>0.78125</v>
      </c>
      <c r="F2286" s="7" t="n">
        <v>10000</v>
      </c>
      <c r="G2286" s="7" t="n">
        <f aca="false">D2286*F2286</f>
        <v>10000</v>
      </c>
      <c r="H2286" s="2" t="str">
        <f aca="false">INDEX(Daftar_Menu!$B$2:$B$13,MATCH(C2286,Daftar_Menu!$A$2:$A$13,0))</f>
        <v>Minuman</v>
      </c>
      <c r="I2286" s="2" t="str">
        <f aca="false">CHOOSE(WEEKDAY(B2286,2),"Senin","Selasa","Rabu","Kamis","Jumat","Sabtu","Minggu")</f>
        <v>Selasa</v>
      </c>
      <c r="J2286" s="2" t="n">
        <f aca="false">HOUR(E2286)</f>
        <v>18</v>
      </c>
      <c r="K2286" s="2" t="str">
        <f aca="false">IF(J2286&lt;11,"Pagi",IF(J2286&lt;17,"Siang","Malam"))</f>
        <v>Malam</v>
      </c>
      <c r="L2286" s="2" t="n">
        <f aca="false">IF(A2286&lt;&gt;A2285,1,0)</f>
        <v>1</v>
      </c>
    </row>
    <row r="2287" customFormat="false" ht="15" hidden="false" customHeight="false" outlineLevel="0" collapsed="false">
      <c r="A2287" s="2" t="s">
        <v>2102</v>
      </c>
      <c r="B2287" s="13" t="n">
        <v>46294</v>
      </c>
      <c r="C2287" s="2" t="s">
        <v>101</v>
      </c>
      <c r="D2287" s="2" t="n">
        <v>1</v>
      </c>
      <c r="E2287" s="15" t="n">
        <v>0.795138888888889</v>
      </c>
      <c r="F2287" s="7" t="n">
        <v>18000</v>
      </c>
      <c r="G2287" s="7" t="n">
        <f aca="false">D2287*F2287</f>
        <v>18000</v>
      </c>
      <c r="H2287" s="2" t="str">
        <f aca="false">INDEX(Daftar_Menu!$B$2:$B$13,MATCH(C2287,Daftar_Menu!$A$2:$A$13,0))</f>
        <v>Makanan</v>
      </c>
      <c r="I2287" s="2" t="str">
        <f aca="false">CHOOSE(WEEKDAY(B2287,2),"Senin","Selasa","Rabu","Kamis","Jumat","Sabtu","Minggu")</f>
        <v>Selasa</v>
      </c>
      <c r="J2287" s="2" t="n">
        <f aca="false">HOUR(E2287)</f>
        <v>19</v>
      </c>
      <c r="K2287" s="2" t="str">
        <f aca="false">IF(J2287&lt;11,"Pagi",IF(J2287&lt;17,"Siang","Malam"))</f>
        <v>Malam</v>
      </c>
      <c r="L2287" s="2" t="n">
        <f aca="false">IF(A2287&lt;&gt;A2286,1,0)</f>
        <v>1</v>
      </c>
    </row>
    <row r="2288" customFormat="false" ht="15" hidden="false" customHeight="false" outlineLevel="0" collapsed="false">
      <c r="A2288" s="2" t="s">
        <v>2102</v>
      </c>
      <c r="B2288" s="13" t="n">
        <v>46294</v>
      </c>
      <c r="C2288" s="2" t="s">
        <v>84</v>
      </c>
      <c r="D2288" s="2" t="n">
        <v>1</v>
      </c>
      <c r="E2288" s="15" t="n">
        <v>0.795138888888889</v>
      </c>
      <c r="F2288" s="7" t="n">
        <v>5000</v>
      </c>
      <c r="G2288" s="7" t="n">
        <f aca="false">D2288*F2288</f>
        <v>5000</v>
      </c>
      <c r="H2288" s="2" t="str">
        <f aca="false">INDEX(Daftar_Menu!$B$2:$B$13,MATCH(C2288,Daftar_Menu!$A$2:$A$13,0))</f>
        <v>Minuman</v>
      </c>
      <c r="I2288" s="2" t="str">
        <f aca="false">CHOOSE(WEEKDAY(B2288,2),"Senin","Selasa","Rabu","Kamis","Jumat","Sabtu","Minggu")</f>
        <v>Selasa</v>
      </c>
      <c r="J2288" s="2" t="n">
        <f aca="false">HOUR(E2288)</f>
        <v>19</v>
      </c>
      <c r="K2288" s="2" t="str">
        <f aca="false">IF(J2288&lt;11,"Pagi",IF(J2288&lt;17,"Siang","Malam"))</f>
        <v>Malam</v>
      </c>
      <c r="L2288" s="2" t="n">
        <f aca="false">IF(A2288&lt;&gt;A2287,1,0)</f>
        <v>0</v>
      </c>
    </row>
    <row r="2289" customFormat="false" ht="15" hidden="false" customHeight="false" outlineLevel="0" collapsed="false">
      <c r="A2289" s="2" t="s">
        <v>2103</v>
      </c>
      <c r="B2289" s="13" t="n">
        <v>46294</v>
      </c>
      <c r="C2289" s="2" t="s">
        <v>132</v>
      </c>
      <c r="D2289" s="2" t="n">
        <v>2</v>
      </c>
      <c r="E2289" s="15" t="n">
        <v>0.795833333333333</v>
      </c>
      <c r="F2289" s="7" t="n">
        <v>15000</v>
      </c>
      <c r="G2289" s="7" t="n">
        <f aca="false">D2289*F2289</f>
        <v>30000</v>
      </c>
      <c r="H2289" s="2" t="str">
        <f aca="false">INDEX(Daftar_Menu!$B$2:$B$13,MATCH(C2289,Daftar_Menu!$A$2:$A$13,0))</f>
        <v>Makanan</v>
      </c>
      <c r="I2289" s="2" t="str">
        <f aca="false">CHOOSE(WEEKDAY(B2289,2),"Senin","Selasa","Rabu","Kamis","Jumat","Sabtu","Minggu")</f>
        <v>Selasa</v>
      </c>
      <c r="J2289" s="2" t="n">
        <f aca="false">HOUR(E2289)</f>
        <v>19</v>
      </c>
      <c r="K2289" s="2" t="str">
        <f aca="false">IF(J2289&lt;11,"Pagi",IF(J2289&lt;17,"Siang","Malam"))</f>
        <v>Malam</v>
      </c>
      <c r="L2289" s="2" t="n">
        <f aca="false">IF(A2289&lt;&gt;A2288,1,0)</f>
        <v>1</v>
      </c>
    </row>
    <row r="2290" customFormat="false" ht="15" hidden="false" customHeight="false" outlineLevel="0" collapsed="false">
      <c r="A2290" s="2" t="s">
        <v>2103</v>
      </c>
      <c r="B2290" s="13" t="n">
        <v>46294</v>
      </c>
      <c r="C2290" s="2" t="s">
        <v>82</v>
      </c>
      <c r="D2290" s="2" t="n">
        <v>1</v>
      </c>
      <c r="E2290" s="15" t="n">
        <v>0.795833333333333</v>
      </c>
      <c r="F2290" s="7" t="n">
        <v>13000</v>
      </c>
      <c r="G2290" s="7" t="n">
        <f aca="false">D2290*F2290</f>
        <v>13000</v>
      </c>
      <c r="H2290" s="2" t="str">
        <f aca="false">INDEX(Daftar_Menu!$B$2:$B$13,MATCH(C2290,Daftar_Menu!$A$2:$A$13,0))</f>
        <v>Makanan</v>
      </c>
      <c r="I2290" s="2" t="str">
        <f aca="false">CHOOSE(WEEKDAY(B2290,2),"Senin","Selasa","Rabu","Kamis","Jumat","Sabtu","Minggu")</f>
        <v>Selasa</v>
      </c>
      <c r="J2290" s="2" t="n">
        <f aca="false">HOUR(E2290)</f>
        <v>19</v>
      </c>
      <c r="K2290" s="2" t="str">
        <f aca="false">IF(J2290&lt;11,"Pagi",IF(J2290&lt;17,"Siang","Malam"))</f>
        <v>Malam</v>
      </c>
      <c r="L2290" s="2" t="n">
        <f aca="false">IF(A2290&lt;&gt;A2289,1,0)</f>
        <v>0</v>
      </c>
    </row>
    <row r="2291" customFormat="false" ht="15" hidden="false" customHeight="false" outlineLevel="0" collapsed="false">
      <c r="A2291" s="2" t="s">
        <v>2103</v>
      </c>
      <c r="B2291" s="13" t="n">
        <v>46294</v>
      </c>
      <c r="C2291" s="2" t="s">
        <v>89</v>
      </c>
      <c r="D2291" s="2" t="n">
        <v>2</v>
      </c>
      <c r="E2291" s="15" t="n">
        <v>0.795833333333333</v>
      </c>
      <c r="F2291" s="7" t="n">
        <v>14000</v>
      </c>
      <c r="G2291" s="7" t="n">
        <f aca="false">D2291*F2291</f>
        <v>28000</v>
      </c>
      <c r="H2291" s="2" t="str">
        <f aca="false">INDEX(Daftar_Menu!$B$2:$B$13,MATCH(C2291,Daftar_Menu!$A$2:$A$13,0))</f>
        <v>Makanan</v>
      </c>
      <c r="I2291" s="2" t="str">
        <f aca="false">CHOOSE(WEEKDAY(B2291,2),"Senin","Selasa","Rabu","Kamis","Jumat","Sabtu","Minggu")</f>
        <v>Selasa</v>
      </c>
      <c r="J2291" s="2" t="n">
        <f aca="false">HOUR(E2291)</f>
        <v>19</v>
      </c>
      <c r="K2291" s="2" t="str">
        <f aca="false">IF(J2291&lt;11,"Pagi",IF(J2291&lt;17,"Siang","Malam"))</f>
        <v>Malam</v>
      </c>
      <c r="L2291" s="2" t="n">
        <f aca="false">IF(A2291&lt;&gt;A2290,1,0)</f>
        <v>0</v>
      </c>
    </row>
    <row r="2292" customFormat="false" ht="15" hidden="false" customHeight="false" outlineLevel="0" collapsed="false">
      <c r="A2292" s="2" t="s">
        <v>2104</v>
      </c>
      <c r="B2292" s="13" t="n">
        <v>46294</v>
      </c>
      <c r="C2292" s="2" t="s">
        <v>186</v>
      </c>
      <c r="D2292" s="2" t="n">
        <v>1</v>
      </c>
      <c r="E2292" s="15" t="n">
        <v>0.8</v>
      </c>
      <c r="F2292" s="7" t="n">
        <v>7000</v>
      </c>
      <c r="G2292" s="7" t="n">
        <f aca="false">D2292*F2292</f>
        <v>7000</v>
      </c>
      <c r="H2292" s="2" t="str">
        <f aca="false">INDEX(Daftar_Menu!$B$2:$B$13,MATCH(C2292,Daftar_Menu!$A$2:$A$13,0))</f>
        <v>Minuman</v>
      </c>
      <c r="I2292" s="2" t="str">
        <f aca="false">CHOOSE(WEEKDAY(B2292,2),"Senin","Selasa","Rabu","Kamis","Jumat","Sabtu","Minggu")</f>
        <v>Selasa</v>
      </c>
      <c r="J2292" s="2" t="n">
        <f aca="false">HOUR(E2292)</f>
        <v>19</v>
      </c>
      <c r="K2292" s="2" t="str">
        <f aca="false">IF(J2292&lt;11,"Pagi",IF(J2292&lt;17,"Siang","Malam"))</f>
        <v>Malam</v>
      </c>
      <c r="L2292" s="2" t="n">
        <f aca="false">IF(A2292&lt;&gt;A2291,1,0)</f>
        <v>1</v>
      </c>
    </row>
    <row r="2293" customFormat="false" ht="15" hidden="false" customHeight="false" outlineLevel="0" collapsed="false">
      <c r="A2293" s="2" t="s">
        <v>2104</v>
      </c>
      <c r="B2293" s="13" t="n">
        <v>46294</v>
      </c>
      <c r="C2293" s="2" t="s">
        <v>79</v>
      </c>
      <c r="D2293" s="2" t="n">
        <v>1</v>
      </c>
      <c r="E2293" s="15" t="n">
        <v>0.8</v>
      </c>
      <c r="F2293" s="7" t="n">
        <v>16000</v>
      </c>
      <c r="G2293" s="7" t="n">
        <f aca="false">D2293*F2293</f>
        <v>16000</v>
      </c>
      <c r="H2293" s="2" t="str">
        <f aca="false">INDEX(Daftar_Menu!$B$2:$B$13,MATCH(C2293,Daftar_Menu!$A$2:$A$13,0))</f>
        <v>Makanan</v>
      </c>
      <c r="I2293" s="2" t="str">
        <f aca="false">CHOOSE(WEEKDAY(B2293,2),"Senin","Selasa","Rabu","Kamis","Jumat","Sabtu","Minggu")</f>
        <v>Selasa</v>
      </c>
      <c r="J2293" s="2" t="n">
        <f aca="false">HOUR(E2293)</f>
        <v>19</v>
      </c>
      <c r="K2293" s="2" t="str">
        <f aca="false">IF(J2293&lt;11,"Pagi",IF(J2293&lt;17,"Siang","Malam"))</f>
        <v>Malam</v>
      </c>
      <c r="L2293" s="2" t="n">
        <f aca="false">IF(A2293&lt;&gt;A2292,1,0)</f>
        <v>0</v>
      </c>
    </row>
    <row r="2294" customFormat="false" ht="15" hidden="false" customHeight="false" outlineLevel="0" collapsed="false">
      <c r="A2294" s="2" t="s">
        <v>2105</v>
      </c>
      <c r="B2294" s="13" t="n">
        <v>46294</v>
      </c>
      <c r="C2294" s="2" t="s">
        <v>79</v>
      </c>
      <c r="D2294" s="2" t="n">
        <v>2</v>
      </c>
      <c r="E2294" s="15" t="n">
        <v>0.800694444444445</v>
      </c>
      <c r="F2294" s="7" t="n">
        <v>16000</v>
      </c>
      <c r="G2294" s="7" t="n">
        <f aca="false">D2294*F2294</f>
        <v>32000</v>
      </c>
      <c r="H2294" s="2" t="str">
        <f aca="false">INDEX(Daftar_Menu!$B$2:$B$13,MATCH(C2294,Daftar_Menu!$A$2:$A$13,0))</f>
        <v>Makanan</v>
      </c>
      <c r="I2294" s="2" t="str">
        <f aca="false">CHOOSE(WEEKDAY(B2294,2),"Senin","Selasa","Rabu","Kamis","Jumat","Sabtu","Minggu")</f>
        <v>Selasa</v>
      </c>
      <c r="J2294" s="2" t="n">
        <f aca="false">HOUR(E2294)</f>
        <v>19</v>
      </c>
      <c r="K2294" s="2" t="str">
        <f aca="false">IF(J2294&lt;11,"Pagi",IF(J2294&lt;17,"Siang","Malam"))</f>
        <v>Malam</v>
      </c>
      <c r="L2294" s="2" t="n">
        <f aca="false">IF(A2294&lt;&gt;A2293,1,0)</f>
        <v>1</v>
      </c>
    </row>
    <row r="2295" customFormat="false" ht="15" hidden="false" customHeight="false" outlineLevel="0" collapsed="false">
      <c r="A2295" s="2" t="s">
        <v>2106</v>
      </c>
      <c r="B2295" s="13" t="n">
        <v>46294</v>
      </c>
      <c r="C2295" s="2" t="s">
        <v>79</v>
      </c>
      <c r="D2295" s="2" t="n">
        <v>1</v>
      </c>
      <c r="E2295" s="15" t="n">
        <v>0.800694444444445</v>
      </c>
      <c r="F2295" s="7" t="n">
        <v>16000</v>
      </c>
      <c r="G2295" s="7" t="n">
        <f aca="false">D2295*F2295</f>
        <v>16000</v>
      </c>
      <c r="H2295" s="2" t="str">
        <f aca="false">INDEX(Daftar_Menu!$B$2:$B$13,MATCH(C2295,Daftar_Menu!$A$2:$A$13,0))</f>
        <v>Makanan</v>
      </c>
      <c r="I2295" s="2" t="str">
        <f aca="false">CHOOSE(WEEKDAY(B2295,2),"Senin","Selasa","Rabu","Kamis","Jumat","Sabtu","Minggu")</f>
        <v>Selasa</v>
      </c>
      <c r="J2295" s="2" t="n">
        <f aca="false">HOUR(E2295)</f>
        <v>19</v>
      </c>
      <c r="K2295" s="2" t="str">
        <f aca="false">IF(J2295&lt;11,"Pagi",IF(J2295&lt;17,"Siang","Malam"))</f>
        <v>Malam</v>
      </c>
      <c r="L2295" s="2" t="n">
        <f aca="false">IF(A2295&lt;&gt;A2294,1,0)</f>
        <v>1</v>
      </c>
    </row>
    <row r="2296" customFormat="false" ht="15" hidden="false" customHeight="false" outlineLevel="0" collapsed="false">
      <c r="A2296" s="2" t="s">
        <v>2106</v>
      </c>
      <c r="B2296" s="13" t="n">
        <v>46294</v>
      </c>
      <c r="C2296" s="2" t="s">
        <v>101</v>
      </c>
      <c r="D2296" s="2" t="n">
        <v>2</v>
      </c>
      <c r="E2296" s="15" t="n">
        <v>0.800694444444445</v>
      </c>
      <c r="F2296" s="7" t="n">
        <v>18000</v>
      </c>
      <c r="G2296" s="7" t="n">
        <f aca="false">D2296*F2296</f>
        <v>36000</v>
      </c>
      <c r="H2296" s="2" t="str">
        <f aca="false">INDEX(Daftar_Menu!$B$2:$B$13,MATCH(C2296,Daftar_Menu!$A$2:$A$13,0))</f>
        <v>Makanan</v>
      </c>
      <c r="I2296" s="2" t="str">
        <f aca="false">CHOOSE(WEEKDAY(B2296,2),"Senin","Selasa","Rabu","Kamis","Jumat","Sabtu","Minggu")</f>
        <v>Selasa</v>
      </c>
      <c r="J2296" s="2" t="n">
        <f aca="false">HOUR(E2296)</f>
        <v>19</v>
      </c>
      <c r="K2296" s="2" t="str">
        <f aca="false">IF(J2296&lt;11,"Pagi",IF(J2296&lt;17,"Siang","Malam"))</f>
        <v>Malam</v>
      </c>
      <c r="L2296" s="2" t="n">
        <f aca="false">IF(A2296&lt;&gt;A2295,1,0)</f>
        <v>0</v>
      </c>
    </row>
    <row r="2297" customFormat="false" ht="15" hidden="false" customHeight="false" outlineLevel="0" collapsed="false">
      <c r="A2297" s="2" t="s">
        <v>2107</v>
      </c>
      <c r="B2297" s="13" t="n">
        <v>46294</v>
      </c>
      <c r="C2297" s="2" t="s">
        <v>84</v>
      </c>
      <c r="D2297" s="2" t="n">
        <v>1</v>
      </c>
      <c r="E2297" s="15" t="n">
        <v>0.804861111111111</v>
      </c>
      <c r="F2297" s="7" t="n">
        <v>5000</v>
      </c>
      <c r="G2297" s="7" t="n">
        <f aca="false">D2297*F2297</f>
        <v>5000</v>
      </c>
      <c r="H2297" s="2" t="str">
        <f aca="false">INDEX(Daftar_Menu!$B$2:$B$13,MATCH(C2297,Daftar_Menu!$A$2:$A$13,0))</f>
        <v>Minuman</v>
      </c>
      <c r="I2297" s="2" t="str">
        <f aca="false">CHOOSE(WEEKDAY(B2297,2),"Senin","Selasa","Rabu","Kamis","Jumat","Sabtu","Minggu")</f>
        <v>Selasa</v>
      </c>
      <c r="J2297" s="2" t="n">
        <f aca="false">HOUR(E2297)</f>
        <v>19</v>
      </c>
      <c r="K2297" s="2" t="str">
        <f aca="false">IF(J2297&lt;11,"Pagi",IF(J2297&lt;17,"Siang","Malam"))</f>
        <v>Malam</v>
      </c>
      <c r="L2297" s="2" t="n">
        <f aca="false">IF(A2297&lt;&gt;A2296,1,0)</f>
        <v>1</v>
      </c>
    </row>
    <row r="2298" customFormat="false" ht="15" hidden="false" customHeight="false" outlineLevel="0" collapsed="false">
      <c r="A2298" s="2" t="s">
        <v>2108</v>
      </c>
      <c r="B2298" s="13" t="n">
        <v>46294</v>
      </c>
      <c r="C2298" s="2" t="s">
        <v>186</v>
      </c>
      <c r="D2298" s="2" t="n">
        <v>1</v>
      </c>
      <c r="E2298" s="15" t="n">
        <v>0.809027777777778</v>
      </c>
      <c r="F2298" s="7" t="n">
        <v>7000</v>
      </c>
      <c r="G2298" s="7" t="n">
        <f aca="false">D2298*F2298</f>
        <v>7000</v>
      </c>
      <c r="H2298" s="2" t="str">
        <f aca="false">INDEX(Daftar_Menu!$B$2:$B$13,MATCH(C2298,Daftar_Menu!$A$2:$A$13,0))</f>
        <v>Minuman</v>
      </c>
      <c r="I2298" s="2" t="str">
        <f aca="false">CHOOSE(WEEKDAY(B2298,2),"Senin","Selasa","Rabu","Kamis","Jumat","Sabtu","Minggu")</f>
        <v>Selasa</v>
      </c>
      <c r="J2298" s="2" t="n">
        <f aca="false">HOUR(E2298)</f>
        <v>19</v>
      </c>
      <c r="K2298" s="2" t="str">
        <f aca="false">IF(J2298&lt;11,"Pagi",IF(J2298&lt;17,"Siang","Malam"))</f>
        <v>Malam</v>
      </c>
      <c r="L2298" s="2" t="n">
        <f aca="false">IF(A2298&lt;&gt;A2297,1,0)</f>
        <v>1</v>
      </c>
    </row>
    <row r="2299" customFormat="false" ht="15" hidden="false" customHeight="false" outlineLevel="0" collapsed="false">
      <c r="A2299" s="2" t="s">
        <v>2109</v>
      </c>
      <c r="B2299" s="13" t="n">
        <v>46294</v>
      </c>
      <c r="C2299" s="2" t="s">
        <v>112</v>
      </c>
      <c r="D2299" s="2" t="n">
        <v>1</v>
      </c>
      <c r="E2299" s="15" t="n">
        <v>0.8125</v>
      </c>
      <c r="F2299" s="7" t="n">
        <v>10000</v>
      </c>
      <c r="G2299" s="7" t="n">
        <f aca="false">D2299*F2299</f>
        <v>10000</v>
      </c>
      <c r="H2299" s="2" t="str">
        <f aca="false">INDEX(Daftar_Menu!$B$2:$B$13,MATCH(C2299,Daftar_Menu!$A$2:$A$13,0))</f>
        <v>Minuman</v>
      </c>
      <c r="I2299" s="2" t="str">
        <f aca="false">CHOOSE(WEEKDAY(B2299,2),"Senin","Selasa","Rabu","Kamis","Jumat","Sabtu","Minggu")</f>
        <v>Selasa</v>
      </c>
      <c r="J2299" s="2" t="n">
        <f aca="false">HOUR(E2299)</f>
        <v>19</v>
      </c>
      <c r="K2299" s="2" t="str">
        <f aca="false">IF(J2299&lt;11,"Pagi",IF(J2299&lt;17,"Siang","Malam"))</f>
        <v>Malam</v>
      </c>
      <c r="L2299" s="2" t="n">
        <f aca="false">IF(A2299&lt;&gt;A2298,1,0)</f>
        <v>1</v>
      </c>
    </row>
    <row r="2300" customFormat="false" ht="15" hidden="false" customHeight="false" outlineLevel="0" collapsed="false">
      <c r="A2300" s="2" t="s">
        <v>2110</v>
      </c>
      <c r="B2300" s="13" t="n">
        <v>46294</v>
      </c>
      <c r="C2300" s="2" t="s">
        <v>126</v>
      </c>
      <c r="D2300" s="2" t="n">
        <v>1</v>
      </c>
      <c r="E2300" s="15" t="n">
        <v>0.8125</v>
      </c>
      <c r="F2300" s="7" t="n">
        <v>3000</v>
      </c>
      <c r="G2300" s="7" t="n">
        <f aca="false">D2300*F2300</f>
        <v>3000</v>
      </c>
      <c r="H2300" s="2" t="str">
        <f aca="false">INDEX(Daftar_Menu!$B$2:$B$13,MATCH(C2300,Daftar_Menu!$A$2:$A$13,0))</f>
        <v>Minuman</v>
      </c>
      <c r="I2300" s="2" t="str">
        <f aca="false">CHOOSE(WEEKDAY(B2300,2),"Senin","Selasa","Rabu","Kamis","Jumat","Sabtu","Minggu")</f>
        <v>Selasa</v>
      </c>
      <c r="J2300" s="2" t="n">
        <f aca="false">HOUR(E2300)</f>
        <v>19</v>
      </c>
      <c r="K2300" s="2" t="str">
        <f aca="false">IF(J2300&lt;11,"Pagi",IF(J2300&lt;17,"Siang","Malam"))</f>
        <v>Malam</v>
      </c>
      <c r="L2300" s="2" t="n">
        <f aca="false">IF(A2300&lt;&gt;A2299,1,0)</f>
        <v>1</v>
      </c>
    </row>
    <row r="2301" customFormat="false" ht="15" hidden="false" customHeight="false" outlineLevel="0" collapsed="false">
      <c r="A2301" s="2" t="s">
        <v>2110</v>
      </c>
      <c r="B2301" s="13" t="n">
        <v>46294</v>
      </c>
      <c r="C2301" s="2" t="s">
        <v>108</v>
      </c>
      <c r="D2301" s="2" t="n">
        <v>1</v>
      </c>
      <c r="E2301" s="15" t="n">
        <v>0.8125</v>
      </c>
      <c r="F2301" s="7" t="n">
        <v>20000</v>
      </c>
      <c r="G2301" s="7" t="n">
        <f aca="false">D2301*F2301</f>
        <v>20000</v>
      </c>
      <c r="H2301" s="2" t="str">
        <f aca="false">INDEX(Daftar_Menu!$B$2:$B$13,MATCH(C2301,Daftar_Menu!$A$2:$A$13,0))</f>
        <v>Makanan</v>
      </c>
      <c r="I2301" s="2" t="str">
        <f aca="false">CHOOSE(WEEKDAY(B2301,2),"Senin","Selasa","Rabu","Kamis","Jumat","Sabtu","Minggu")</f>
        <v>Selasa</v>
      </c>
      <c r="J2301" s="2" t="n">
        <f aca="false">HOUR(E2301)</f>
        <v>19</v>
      </c>
      <c r="K2301" s="2" t="str">
        <f aca="false">IF(J2301&lt;11,"Pagi",IF(J2301&lt;17,"Siang","Malam"))</f>
        <v>Malam</v>
      </c>
      <c r="L2301" s="2" t="n">
        <f aca="false">IF(A2301&lt;&gt;A2300,1,0)</f>
        <v>0</v>
      </c>
    </row>
    <row r="2302" customFormat="false" ht="15" hidden="false" customHeight="false" outlineLevel="0" collapsed="false">
      <c r="A2302" s="2" t="s">
        <v>2111</v>
      </c>
      <c r="B2302" s="13" t="n">
        <v>46294</v>
      </c>
      <c r="C2302" s="2" t="s">
        <v>84</v>
      </c>
      <c r="D2302" s="2" t="n">
        <v>2</v>
      </c>
      <c r="E2302" s="15" t="n">
        <v>0.813888888888889</v>
      </c>
      <c r="F2302" s="7" t="n">
        <v>5000</v>
      </c>
      <c r="G2302" s="7" t="n">
        <f aca="false">D2302*F2302</f>
        <v>10000</v>
      </c>
      <c r="H2302" s="2" t="str">
        <f aca="false">INDEX(Daftar_Menu!$B$2:$B$13,MATCH(C2302,Daftar_Menu!$A$2:$A$13,0))</f>
        <v>Minuman</v>
      </c>
      <c r="I2302" s="2" t="str">
        <f aca="false">CHOOSE(WEEKDAY(B2302,2),"Senin","Selasa","Rabu","Kamis","Jumat","Sabtu","Minggu")</f>
        <v>Selasa</v>
      </c>
      <c r="J2302" s="2" t="n">
        <f aca="false">HOUR(E2302)</f>
        <v>19</v>
      </c>
      <c r="K2302" s="2" t="str">
        <f aca="false">IF(J2302&lt;11,"Pagi",IF(J2302&lt;17,"Siang","Malam"))</f>
        <v>Malam</v>
      </c>
      <c r="L2302" s="2" t="n">
        <f aca="false">IF(A2302&lt;&gt;A2301,1,0)</f>
        <v>1</v>
      </c>
    </row>
    <row r="2303" customFormat="false" ht="15" hidden="false" customHeight="false" outlineLevel="0" collapsed="false">
      <c r="A2303" s="2" t="s">
        <v>2112</v>
      </c>
      <c r="B2303" s="13" t="n">
        <v>46294</v>
      </c>
      <c r="C2303" s="2" t="s">
        <v>84</v>
      </c>
      <c r="D2303" s="2" t="n">
        <v>2</v>
      </c>
      <c r="E2303" s="15" t="n">
        <v>0.81875</v>
      </c>
      <c r="F2303" s="7" t="n">
        <v>5000</v>
      </c>
      <c r="G2303" s="7" t="n">
        <f aca="false">D2303*F2303</f>
        <v>10000</v>
      </c>
      <c r="H2303" s="2" t="str">
        <f aca="false">INDEX(Daftar_Menu!$B$2:$B$13,MATCH(C2303,Daftar_Menu!$A$2:$A$13,0))</f>
        <v>Minuman</v>
      </c>
      <c r="I2303" s="2" t="str">
        <f aca="false">CHOOSE(WEEKDAY(B2303,2),"Senin","Selasa","Rabu","Kamis","Jumat","Sabtu","Minggu")</f>
        <v>Selasa</v>
      </c>
      <c r="J2303" s="2" t="n">
        <f aca="false">HOUR(E2303)</f>
        <v>19</v>
      </c>
      <c r="K2303" s="2" t="str">
        <f aca="false">IF(J2303&lt;11,"Pagi",IF(J2303&lt;17,"Siang","Malam"))</f>
        <v>Malam</v>
      </c>
      <c r="L2303" s="2" t="n">
        <f aca="false">IF(A2303&lt;&gt;A2302,1,0)</f>
        <v>1</v>
      </c>
    </row>
    <row r="2304" customFormat="false" ht="15" hidden="false" customHeight="false" outlineLevel="0" collapsed="false">
      <c r="A2304" s="2" t="s">
        <v>2112</v>
      </c>
      <c r="B2304" s="13" t="n">
        <v>46294</v>
      </c>
      <c r="C2304" s="2" t="s">
        <v>81</v>
      </c>
      <c r="D2304" s="2" t="n">
        <v>1</v>
      </c>
      <c r="E2304" s="15" t="n">
        <v>0.81875</v>
      </c>
      <c r="F2304" s="7" t="n">
        <v>15000</v>
      </c>
      <c r="G2304" s="7" t="n">
        <f aca="false">D2304*F2304</f>
        <v>15000</v>
      </c>
      <c r="H2304" s="2" t="str">
        <f aca="false">INDEX(Daftar_Menu!$B$2:$B$13,MATCH(C2304,Daftar_Menu!$A$2:$A$13,0))</f>
        <v>Makanan</v>
      </c>
      <c r="I2304" s="2" t="str">
        <f aca="false">CHOOSE(WEEKDAY(B2304,2),"Senin","Selasa","Rabu","Kamis","Jumat","Sabtu","Minggu")</f>
        <v>Selasa</v>
      </c>
      <c r="J2304" s="2" t="n">
        <f aca="false">HOUR(E2304)</f>
        <v>19</v>
      </c>
      <c r="K2304" s="2" t="str">
        <f aca="false">IF(J2304&lt;11,"Pagi",IF(J2304&lt;17,"Siang","Malam"))</f>
        <v>Malam</v>
      </c>
      <c r="L2304" s="2" t="n">
        <f aca="false">IF(A2304&lt;&gt;A2303,1,0)</f>
        <v>0</v>
      </c>
    </row>
    <row r="2305" customFormat="false" ht="15" hidden="false" customHeight="false" outlineLevel="0" collapsed="false">
      <c r="A2305" s="2" t="s">
        <v>2113</v>
      </c>
      <c r="B2305" s="13" t="n">
        <v>46294</v>
      </c>
      <c r="C2305" s="2" t="s">
        <v>84</v>
      </c>
      <c r="D2305" s="2" t="n">
        <v>2</v>
      </c>
      <c r="E2305" s="15" t="n">
        <v>0.821527777777778</v>
      </c>
      <c r="F2305" s="7" t="n">
        <v>5000</v>
      </c>
      <c r="G2305" s="7" t="n">
        <f aca="false">D2305*F2305</f>
        <v>10000</v>
      </c>
      <c r="H2305" s="2" t="str">
        <f aca="false">INDEX(Daftar_Menu!$B$2:$B$13,MATCH(C2305,Daftar_Menu!$A$2:$A$13,0))</f>
        <v>Minuman</v>
      </c>
      <c r="I2305" s="2" t="str">
        <f aca="false">CHOOSE(WEEKDAY(B2305,2),"Senin","Selasa","Rabu","Kamis","Jumat","Sabtu","Minggu")</f>
        <v>Selasa</v>
      </c>
      <c r="J2305" s="2" t="n">
        <f aca="false">HOUR(E2305)</f>
        <v>19</v>
      </c>
      <c r="K2305" s="2" t="str">
        <f aca="false">IF(J2305&lt;11,"Pagi",IF(J2305&lt;17,"Siang","Malam"))</f>
        <v>Malam</v>
      </c>
      <c r="L2305" s="2" t="n">
        <f aca="false">IF(A2305&lt;&gt;A2304,1,0)</f>
        <v>1</v>
      </c>
    </row>
    <row r="2306" customFormat="false" ht="15" hidden="false" customHeight="false" outlineLevel="0" collapsed="false">
      <c r="A2306" s="2" t="s">
        <v>2113</v>
      </c>
      <c r="B2306" s="13" t="n">
        <v>46294</v>
      </c>
      <c r="C2306" s="2" t="s">
        <v>186</v>
      </c>
      <c r="D2306" s="2" t="n">
        <v>1</v>
      </c>
      <c r="E2306" s="15" t="n">
        <v>0.821527777777778</v>
      </c>
      <c r="F2306" s="7" t="n">
        <v>7000</v>
      </c>
      <c r="G2306" s="7" t="n">
        <f aca="false">D2306*F2306</f>
        <v>7000</v>
      </c>
      <c r="H2306" s="2" t="str">
        <f aca="false">INDEX(Daftar_Menu!$B$2:$B$13,MATCH(C2306,Daftar_Menu!$A$2:$A$13,0))</f>
        <v>Minuman</v>
      </c>
      <c r="I2306" s="2" t="str">
        <f aca="false">CHOOSE(WEEKDAY(B2306,2),"Senin","Selasa","Rabu","Kamis","Jumat","Sabtu","Minggu")</f>
        <v>Selasa</v>
      </c>
      <c r="J2306" s="2" t="n">
        <f aca="false">HOUR(E2306)</f>
        <v>19</v>
      </c>
      <c r="K2306" s="2" t="str">
        <f aca="false">IF(J2306&lt;11,"Pagi",IF(J2306&lt;17,"Siang","Malam"))</f>
        <v>Malam</v>
      </c>
      <c r="L2306" s="2" t="n">
        <f aca="false">IF(A2306&lt;&gt;A2305,1,0)</f>
        <v>0</v>
      </c>
    </row>
    <row r="2307" customFormat="false" ht="15" hidden="false" customHeight="false" outlineLevel="0" collapsed="false">
      <c r="A2307" s="2" t="s">
        <v>2114</v>
      </c>
      <c r="B2307" s="13" t="n">
        <v>46294</v>
      </c>
      <c r="C2307" s="2" t="s">
        <v>186</v>
      </c>
      <c r="D2307" s="2" t="n">
        <v>1</v>
      </c>
      <c r="E2307" s="15" t="n">
        <v>0.824305555555556</v>
      </c>
      <c r="F2307" s="7" t="n">
        <v>7000</v>
      </c>
      <c r="G2307" s="7" t="n">
        <f aca="false">D2307*F2307</f>
        <v>7000</v>
      </c>
      <c r="H2307" s="2" t="str">
        <f aca="false">INDEX(Daftar_Menu!$B$2:$B$13,MATCH(C2307,Daftar_Menu!$A$2:$A$13,0))</f>
        <v>Minuman</v>
      </c>
      <c r="I2307" s="2" t="str">
        <f aca="false">CHOOSE(WEEKDAY(B2307,2),"Senin","Selasa","Rabu","Kamis","Jumat","Sabtu","Minggu")</f>
        <v>Selasa</v>
      </c>
      <c r="J2307" s="2" t="n">
        <f aca="false">HOUR(E2307)</f>
        <v>19</v>
      </c>
      <c r="K2307" s="2" t="str">
        <f aca="false">IF(J2307&lt;11,"Pagi",IF(J2307&lt;17,"Siang","Malam"))</f>
        <v>Malam</v>
      </c>
      <c r="L2307" s="2" t="n">
        <f aca="false">IF(A2307&lt;&gt;A2306,1,0)</f>
        <v>1</v>
      </c>
    </row>
    <row r="2308" customFormat="false" ht="15" hidden="false" customHeight="false" outlineLevel="0" collapsed="false">
      <c r="A2308" s="2" t="s">
        <v>2115</v>
      </c>
      <c r="B2308" s="13" t="n">
        <v>46294</v>
      </c>
      <c r="C2308" s="2" t="s">
        <v>132</v>
      </c>
      <c r="D2308" s="2" t="n">
        <v>1</v>
      </c>
      <c r="E2308" s="15" t="n">
        <v>0.830555555555556</v>
      </c>
      <c r="F2308" s="7" t="n">
        <v>15000</v>
      </c>
      <c r="G2308" s="7" t="n">
        <f aca="false">D2308*F2308</f>
        <v>15000</v>
      </c>
      <c r="H2308" s="2" t="str">
        <f aca="false">INDEX(Daftar_Menu!$B$2:$B$13,MATCH(C2308,Daftar_Menu!$A$2:$A$13,0))</f>
        <v>Makanan</v>
      </c>
      <c r="I2308" s="2" t="str">
        <f aca="false">CHOOSE(WEEKDAY(B2308,2),"Senin","Selasa","Rabu","Kamis","Jumat","Sabtu","Minggu")</f>
        <v>Selasa</v>
      </c>
      <c r="J2308" s="2" t="n">
        <f aca="false">HOUR(E2308)</f>
        <v>19</v>
      </c>
      <c r="K2308" s="2" t="str">
        <f aca="false">IF(J2308&lt;11,"Pagi",IF(J2308&lt;17,"Siang","Malam"))</f>
        <v>Malam</v>
      </c>
      <c r="L2308" s="2" t="n">
        <f aca="false">IF(A2308&lt;&gt;A2307,1,0)</f>
        <v>1</v>
      </c>
    </row>
    <row r="2309" customFormat="false" ht="15" hidden="false" customHeight="false" outlineLevel="0" collapsed="false">
      <c r="A2309" s="2" t="s">
        <v>2115</v>
      </c>
      <c r="B2309" s="13" t="n">
        <v>46294</v>
      </c>
      <c r="C2309" s="2" t="s">
        <v>79</v>
      </c>
      <c r="D2309" s="2" t="n">
        <v>1</v>
      </c>
      <c r="E2309" s="15" t="n">
        <v>0.830555555555556</v>
      </c>
      <c r="F2309" s="7" t="n">
        <v>16000</v>
      </c>
      <c r="G2309" s="7" t="n">
        <f aca="false">D2309*F2309</f>
        <v>16000</v>
      </c>
      <c r="H2309" s="2" t="str">
        <f aca="false">INDEX(Daftar_Menu!$B$2:$B$13,MATCH(C2309,Daftar_Menu!$A$2:$A$13,0))</f>
        <v>Makanan</v>
      </c>
      <c r="I2309" s="2" t="str">
        <f aca="false">CHOOSE(WEEKDAY(B2309,2),"Senin","Selasa","Rabu","Kamis","Jumat","Sabtu","Minggu")</f>
        <v>Selasa</v>
      </c>
      <c r="J2309" s="2" t="n">
        <f aca="false">HOUR(E2309)</f>
        <v>19</v>
      </c>
      <c r="K2309" s="2" t="str">
        <f aca="false">IF(J2309&lt;11,"Pagi",IF(J2309&lt;17,"Siang","Malam"))</f>
        <v>Malam</v>
      </c>
      <c r="L2309" s="2" t="n">
        <f aca="false">IF(A2309&lt;&gt;A2308,1,0)</f>
        <v>0</v>
      </c>
    </row>
    <row r="2310" customFormat="false" ht="15" hidden="false" customHeight="false" outlineLevel="0" collapsed="false">
      <c r="A2310" s="2" t="s">
        <v>2115</v>
      </c>
      <c r="B2310" s="13" t="n">
        <v>46294</v>
      </c>
      <c r="C2310" s="2" t="s">
        <v>84</v>
      </c>
      <c r="D2310" s="2" t="n">
        <v>1</v>
      </c>
      <c r="E2310" s="15" t="n">
        <v>0.830555555555556</v>
      </c>
      <c r="F2310" s="7" t="n">
        <v>5000</v>
      </c>
      <c r="G2310" s="7" t="n">
        <f aca="false">D2310*F2310</f>
        <v>5000</v>
      </c>
      <c r="H2310" s="2" t="str">
        <f aca="false">INDEX(Daftar_Menu!$B$2:$B$13,MATCH(C2310,Daftar_Menu!$A$2:$A$13,0))</f>
        <v>Minuman</v>
      </c>
      <c r="I2310" s="2" t="str">
        <f aca="false">CHOOSE(WEEKDAY(B2310,2),"Senin","Selasa","Rabu","Kamis","Jumat","Sabtu","Minggu")</f>
        <v>Selasa</v>
      </c>
      <c r="J2310" s="2" t="n">
        <f aca="false">HOUR(E2310)</f>
        <v>19</v>
      </c>
      <c r="K2310" s="2" t="str">
        <f aca="false">IF(J2310&lt;11,"Pagi",IF(J2310&lt;17,"Siang","Malam"))</f>
        <v>Malam</v>
      </c>
      <c r="L2310" s="2" t="n">
        <f aca="false">IF(A2310&lt;&gt;A2309,1,0)</f>
        <v>0</v>
      </c>
    </row>
    <row r="2311" customFormat="false" ht="15" hidden="false" customHeight="false" outlineLevel="0" collapsed="false">
      <c r="A2311" s="2" t="s">
        <v>2116</v>
      </c>
      <c r="B2311" s="13" t="n">
        <v>46294</v>
      </c>
      <c r="C2311" s="2" t="s">
        <v>79</v>
      </c>
      <c r="D2311" s="2" t="n">
        <v>1</v>
      </c>
      <c r="E2311" s="15" t="n">
        <v>0.831944444444445</v>
      </c>
      <c r="F2311" s="7" t="n">
        <v>16000</v>
      </c>
      <c r="G2311" s="7" t="n">
        <f aca="false">D2311*F2311</f>
        <v>16000</v>
      </c>
      <c r="H2311" s="2" t="str">
        <f aca="false">INDEX(Daftar_Menu!$B$2:$B$13,MATCH(C2311,Daftar_Menu!$A$2:$A$13,0))</f>
        <v>Makanan</v>
      </c>
      <c r="I2311" s="2" t="str">
        <f aca="false">CHOOSE(WEEKDAY(B2311,2),"Senin","Selasa","Rabu","Kamis","Jumat","Sabtu","Minggu")</f>
        <v>Selasa</v>
      </c>
      <c r="J2311" s="2" t="n">
        <f aca="false">HOUR(E2311)</f>
        <v>19</v>
      </c>
      <c r="K2311" s="2" t="str">
        <f aca="false">IF(J2311&lt;11,"Pagi",IF(J2311&lt;17,"Siang","Malam"))</f>
        <v>Malam</v>
      </c>
      <c r="L2311" s="2" t="n">
        <f aca="false">IF(A2311&lt;&gt;A2310,1,0)</f>
        <v>1</v>
      </c>
    </row>
    <row r="2312" customFormat="false" ht="15" hidden="false" customHeight="false" outlineLevel="0" collapsed="false">
      <c r="A2312" s="2" t="s">
        <v>2117</v>
      </c>
      <c r="B2312" s="13" t="n">
        <v>46294</v>
      </c>
      <c r="C2312" s="2" t="s">
        <v>126</v>
      </c>
      <c r="D2312" s="2" t="n">
        <v>1</v>
      </c>
      <c r="E2312" s="15" t="n">
        <v>0.841666666666667</v>
      </c>
      <c r="F2312" s="7" t="n">
        <v>3000</v>
      </c>
      <c r="G2312" s="7" t="n">
        <f aca="false">D2312*F2312</f>
        <v>3000</v>
      </c>
      <c r="H2312" s="2" t="str">
        <f aca="false">INDEX(Daftar_Menu!$B$2:$B$13,MATCH(C2312,Daftar_Menu!$A$2:$A$13,0))</f>
        <v>Minuman</v>
      </c>
      <c r="I2312" s="2" t="str">
        <f aca="false">CHOOSE(WEEKDAY(B2312,2),"Senin","Selasa","Rabu","Kamis","Jumat","Sabtu","Minggu")</f>
        <v>Selasa</v>
      </c>
      <c r="J2312" s="2" t="n">
        <f aca="false">HOUR(E2312)</f>
        <v>20</v>
      </c>
      <c r="K2312" s="2" t="str">
        <f aca="false">IF(J2312&lt;11,"Pagi",IF(J2312&lt;17,"Siang","Malam"))</f>
        <v>Malam</v>
      </c>
      <c r="L2312" s="2" t="n">
        <f aca="false">IF(A2312&lt;&gt;A2311,1,0)</f>
        <v>1</v>
      </c>
    </row>
    <row r="2313" customFormat="false" ht="15" hidden="false" customHeight="false" outlineLevel="0" collapsed="false">
      <c r="A2313" s="2" t="s">
        <v>2117</v>
      </c>
      <c r="B2313" s="13" t="n">
        <v>46294</v>
      </c>
      <c r="C2313" s="2" t="s">
        <v>186</v>
      </c>
      <c r="D2313" s="2" t="n">
        <v>1</v>
      </c>
      <c r="E2313" s="15" t="n">
        <v>0.841666666666667</v>
      </c>
      <c r="F2313" s="7" t="n">
        <v>7000</v>
      </c>
      <c r="G2313" s="7" t="n">
        <f aca="false">D2313*F2313</f>
        <v>7000</v>
      </c>
      <c r="H2313" s="2" t="str">
        <f aca="false">INDEX(Daftar_Menu!$B$2:$B$13,MATCH(C2313,Daftar_Menu!$A$2:$A$13,0))</f>
        <v>Minuman</v>
      </c>
      <c r="I2313" s="2" t="str">
        <f aca="false">CHOOSE(WEEKDAY(B2313,2),"Senin","Selasa","Rabu","Kamis","Jumat","Sabtu","Minggu")</f>
        <v>Selasa</v>
      </c>
      <c r="J2313" s="2" t="n">
        <f aca="false">HOUR(E2313)</f>
        <v>20</v>
      </c>
      <c r="K2313" s="2" t="str">
        <f aca="false">IF(J2313&lt;11,"Pagi",IF(J2313&lt;17,"Siang","Malam"))</f>
        <v>Malam</v>
      </c>
      <c r="L2313" s="2" t="n">
        <f aca="false">IF(A2313&lt;&gt;A2312,1,0)</f>
        <v>0</v>
      </c>
    </row>
    <row r="2314" customFormat="false" ht="15" hidden="false" customHeight="false" outlineLevel="0" collapsed="false">
      <c r="A2314" s="2" t="s">
        <v>2118</v>
      </c>
      <c r="B2314" s="13" t="n">
        <v>46294</v>
      </c>
      <c r="C2314" s="2" t="s">
        <v>89</v>
      </c>
      <c r="D2314" s="2" t="n">
        <v>1</v>
      </c>
      <c r="E2314" s="15" t="n">
        <v>0.847916666666667</v>
      </c>
      <c r="F2314" s="7" t="n">
        <v>14000</v>
      </c>
      <c r="G2314" s="7" t="n">
        <f aca="false">D2314*F2314</f>
        <v>14000</v>
      </c>
      <c r="H2314" s="2" t="str">
        <f aca="false">INDEX(Daftar_Menu!$B$2:$B$13,MATCH(C2314,Daftar_Menu!$A$2:$A$13,0))</f>
        <v>Makanan</v>
      </c>
      <c r="I2314" s="2" t="str">
        <f aca="false">CHOOSE(WEEKDAY(B2314,2),"Senin","Selasa","Rabu","Kamis","Jumat","Sabtu","Minggu")</f>
        <v>Selasa</v>
      </c>
      <c r="J2314" s="2" t="n">
        <f aca="false">HOUR(E2314)</f>
        <v>20</v>
      </c>
      <c r="K2314" s="2" t="str">
        <f aca="false">IF(J2314&lt;11,"Pagi",IF(J2314&lt;17,"Siang","Malam"))</f>
        <v>Malam</v>
      </c>
      <c r="L2314" s="2" t="n">
        <f aca="false">IF(A2314&lt;&gt;A2313,1,0)</f>
        <v>1</v>
      </c>
    </row>
    <row r="2315" customFormat="false" ht="15" hidden="false" customHeight="false" outlineLevel="0" collapsed="false">
      <c r="A2315" s="2" t="s">
        <v>2120</v>
      </c>
      <c r="B2315" s="13" t="n">
        <v>46294</v>
      </c>
      <c r="C2315" s="2" t="s">
        <v>81</v>
      </c>
      <c r="D2315" s="2" t="n">
        <v>2</v>
      </c>
      <c r="E2315" s="15" t="n">
        <v>0.867361111111111</v>
      </c>
      <c r="F2315" s="7" t="n">
        <v>15000</v>
      </c>
      <c r="G2315" s="7" t="n">
        <f aca="false">D2315*F2315</f>
        <v>30000</v>
      </c>
      <c r="H2315" s="2" t="str">
        <f aca="false">INDEX(Daftar_Menu!$B$2:$B$13,MATCH(C2315,Daftar_Menu!$A$2:$A$13,0))</f>
        <v>Makanan</v>
      </c>
      <c r="I2315" s="2" t="str">
        <f aca="false">CHOOSE(WEEKDAY(B2315,2),"Senin","Selasa","Rabu","Kamis","Jumat","Sabtu","Minggu")</f>
        <v>Selasa</v>
      </c>
      <c r="J2315" s="2" t="n">
        <f aca="false">HOUR(E2315)</f>
        <v>20</v>
      </c>
      <c r="K2315" s="2" t="str">
        <f aca="false">IF(J2315&lt;11,"Pagi",IF(J2315&lt;17,"Siang","Malam"))</f>
        <v>Malam</v>
      </c>
      <c r="L2315" s="2" t="n">
        <f aca="false">IF(A2315&lt;&gt;A2314,1,0)</f>
        <v>1</v>
      </c>
    </row>
    <row r="2316" customFormat="false" ht="15" hidden="false" customHeight="false" outlineLevel="0" collapsed="false">
      <c r="A2316" s="2" t="s">
        <v>2122</v>
      </c>
      <c r="B2316" s="13" t="n">
        <v>46295</v>
      </c>
      <c r="C2316" s="2" t="s">
        <v>126</v>
      </c>
      <c r="D2316" s="2" t="n">
        <v>1</v>
      </c>
      <c r="E2316" s="15" t="n">
        <v>0.34375</v>
      </c>
      <c r="F2316" s="7" t="n">
        <v>3000</v>
      </c>
      <c r="G2316" s="7" t="n">
        <f aca="false">D2316*F2316</f>
        <v>3000</v>
      </c>
      <c r="H2316" s="2" t="str">
        <f aca="false">INDEX(Daftar_Menu!$B$2:$B$13,MATCH(C2316,Daftar_Menu!$A$2:$A$13,0))</f>
        <v>Minuman</v>
      </c>
      <c r="I2316" s="2" t="str">
        <f aca="false">CHOOSE(WEEKDAY(B2316,2),"Senin","Selasa","Rabu","Kamis","Jumat","Sabtu","Minggu")</f>
        <v>Rabu</v>
      </c>
      <c r="J2316" s="2" t="n">
        <f aca="false">HOUR(E2316)</f>
        <v>8</v>
      </c>
      <c r="K2316" s="2" t="str">
        <f aca="false">IF(J2316&lt;11,"Pagi",IF(J2316&lt;17,"Siang","Malam"))</f>
        <v>Pagi</v>
      </c>
      <c r="L2316" s="2" t="n">
        <f aca="false">IF(A2316&lt;&gt;A2315,1,0)</f>
        <v>1</v>
      </c>
    </row>
    <row r="2317" customFormat="false" ht="15" hidden="false" customHeight="false" outlineLevel="0" collapsed="false">
      <c r="A2317" s="2" t="s">
        <v>2122</v>
      </c>
      <c r="B2317" s="13" t="n">
        <v>46295</v>
      </c>
      <c r="C2317" s="2" t="s">
        <v>89</v>
      </c>
      <c r="D2317" s="2" t="n">
        <v>1</v>
      </c>
      <c r="E2317" s="15" t="n">
        <v>0.34375</v>
      </c>
      <c r="F2317" s="7" t="n">
        <v>14000</v>
      </c>
      <c r="G2317" s="7" t="n">
        <f aca="false">D2317*F2317</f>
        <v>14000</v>
      </c>
      <c r="H2317" s="2" t="str">
        <f aca="false">INDEX(Daftar_Menu!$B$2:$B$13,MATCH(C2317,Daftar_Menu!$A$2:$A$13,0))</f>
        <v>Makanan</v>
      </c>
      <c r="I2317" s="2" t="str">
        <f aca="false">CHOOSE(WEEKDAY(B2317,2),"Senin","Selasa","Rabu","Kamis","Jumat","Sabtu","Minggu")</f>
        <v>Rabu</v>
      </c>
      <c r="J2317" s="2" t="n">
        <f aca="false">HOUR(E2317)</f>
        <v>8</v>
      </c>
      <c r="K2317" s="2" t="str">
        <f aca="false">IF(J2317&lt;11,"Pagi",IF(J2317&lt;17,"Siang","Malam"))</f>
        <v>Pagi</v>
      </c>
      <c r="L2317" s="2" t="n">
        <f aca="false">IF(A2317&lt;&gt;A2316,1,0)</f>
        <v>0</v>
      </c>
    </row>
    <row r="2318" customFormat="false" ht="15" hidden="false" customHeight="false" outlineLevel="0" collapsed="false">
      <c r="A2318" s="2" t="s">
        <v>2123</v>
      </c>
      <c r="B2318" s="13" t="n">
        <v>46295</v>
      </c>
      <c r="C2318" s="2" t="s">
        <v>81</v>
      </c>
      <c r="D2318" s="2" t="n">
        <v>2</v>
      </c>
      <c r="E2318" s="15" t="n">
        <v>0.400694444444445</v>
      </c>
      <c r="F2318" s="7" t="n">
        <v>15000</v>
      </c>
      <c r="G2318" s="7" t="n">
        <f aca="false">D2318*F2318</f>
        <v>30000</v>
      </c>
      <c r="H2318" s="2" t="str">
        <f aca="false">INDEX(Daftar_Menu!$B$2:$B$13,MATCH(C2318,Daftar_Menu!$A$2:$A$13,0))</f>
        <v>Makanan</v>
      </c>
      <c r="I2318" s="2" t="str">
        <f aca="false">CHOOSE(WEEKDAY(B2318,2),"Senin","Selasa","Rabu","Kamis","Jumat","Sabtu","Minggu")</f>
        <v>Rabu</v>
      </c>
      <c r="J2318" s="2" t="n">
        <f aca="false">HOUR(E2318)</f>
        <v>9</v>
      </c>
      <c r="K2318" s="2" t="str">
        <f aca="false">IF(J2318&lt;11,"Pagi",IF(J2318&lt;17,"Siang","Malam"))</f>
        <v>Pagi</v>
      </c>
      <c r="L2318" s="2" t="n">
        <f aca="false">IF(A2318&lt;&gt;A2317,1,0)</f>
        <v>1</v>
      </c>
    </row>
    <row r="2319" customFormat="false" ht="15" hidden="false" customHeight="false" outlineLevel="0" collapsed="false">
      <c r="A2319" s="2" t="s">
        <v>2123</v>
      </c>
      <c r="B2319" s="13" t="n">
        <v>46295</v>
      </c>
      <c r="C2319" s="2" t="s">
        <v>84</v>
      </c>
      <c r="D2319" s="2" t="n">
        <v>2</v>
      </c>
      <c r="E2319" s="15" t="n">
        <v>0.400694444444445</v>
      </c>
      <c r="F2319" s="7" t="n">
        <v>5000</v>
      </c>
      <c r="G2319" s="7" t="n">
        <f aca="false">D2319*F2319</f>
        <v>10000</v>
      </c>
      <c r="H2319" s="2" t="str">
        <f aca="false">INDEX(Daftar_Menu!$B$2:$B$13,MATCH(C2319,Daftar_Menu!$A$2:$A$13,0))</f>
        <v>Minuman</v>
      </c>
      <c r="I2319" s="2" t="str">
        <f aca="false">CHOOSE(WEEKDAY(B2319,2),"Senin","Selasa","Rabu","Kamis","Jumat","Sabtu","Minggu")</f>
        <v>Rabu</v>
      </c>
      <c r="J2319" s="2" t="n">
        <f aca="false">HOUR(E2319)</f>
        <v>9</v>
      </c>
      <c r="K2319" s="2" t="str">
        <f aca="false">IF(J2319&lt;11,"Pagi",IF(J2319&lt;17,"Siang","Malam"))</f>
        <v>Pagi</v>
      </c>
      <c r="L2319" s="2" t="n">
        <f aca="false">IF(A2319&lt;&gt;A2318,1,0)</f>
        <v>0</v>
      </c>
    </row>
    <row r="2320" customFormat="false" ht="15" hidden="false" customHeight="false" outlineLevel="0" collapsed="false">
      <c r="A2320" s="2" t="s">
        <v>2124</v>
      </c>
      <c r="B2320" s="13" t="n">
        <v>46295</v>
      </c>
      <c r="C2320" s="2" t="s">
        <v>84</v>
      </c>
      <c r="D2320" s="2" t="n">
        <v>1</v>
      </c>
      <c r="E2320" s="15" t="n">
        <v>0.4125</v>
      </c>
      <c r="F2320" s="7" t="n">
        <v>5000</v>
      </c>
      <c r="G2320" s="7" t="n">
        <f aca="false">D2320*F2320</f>
        <v>5000</v>
      </c>
      <c r="H2320" s="2" t="str">
        <f aca="false">INDEX(Daftar_Menu!$B$2:$B$13,MATCH(C2320,Daftar_Menu!$A$2:$A$13,0))</f>
        <v>Minuman</v>
      </c>
      <c r="I2320" s="2" t="str">
        <f aca="false">CHOOSE(WEEKDAY(B2320,2),"Senin","Selasa","Rabu","Kamis","Jumat","Sabtu","Minggu")</f>
        <v>Rabu</v>
      </c>
      <c r="J2320" s="2" t="n">
        <f aca="false">HOUR(E2320)</f>
        <v>9</v>
      </c>
      <c r="K2320" s="2" t="str">
        <f aca="false">IF(J2320&lt;11,"Pagi",IF(J2320&lt;17,"Siang","Malam"))</f>
        <v>Pagi</v>
      </c>
      <c r="L2320" s="2" t="n">
        <f aca="false">IF(A2320&lt;&gt;A2319,1,0)</f>
        <v>1</v>
      </c>
    </row>
    <row r="2321" customFormat="false" ht="15" hidden="false" customHeight="false" outlineLevel="0" collapsed="false">
      <c r="A2321" s="2" t="s">
        <v>2126</v>
      </c>
      <c r="B2321" s="13" t="n">
        <v>46295</v>
      </c>
      <c r="C2321" s="2" t="s">
        <v>89</v>
      </c>
      <c r="D2321" s="2" t="n">
        <v>1</v>
      </c>
      <c r="E2321" s="15" t="n">
        <v>0.418055555555556</v>
      </c>
      <c r="F2321" s="7" t="n">
        <v>14000</v>
      </c>
      <c r="G2321" s="7" t="n">
        <f aca="false">D2321*F2321</f>
        <v>14000</v>
      </c>
      <c r="H2321" s="2" t="str">
        <f aca="false">INDEX(Daftar_Menu!$B$2:$B$13,MATCH(C2321,Daftar_Menu!$A$2:$A$13,0))</f>
        <v>Makanan</v>
      </c>
      <c r="I2321" s="2" t="str">
        <f aca="false">CHOOSE(WEEKDAY(B2321,2),"Senin","Selasa","Rabu","Kamis","Jumat","Sabtu","Minggu")</f>
        <v>Rabu</v>
      </c>
      <c r="J2321" s="2" t="n">
        <f aca="false">HOUR(E2321)</f>
        <v>10</v>
      </c>
      <c r="K2321" s="2" t="str">
        <f aca="false">IF(J2321&lt;11,"Pagi",IF(J2321&lt;17,"Siang","Malam"))</f>
        <v>Pagi</v>
      </c>
      <c r="L2321" s="2" t="n">
        <f aca="false">IF(A2321&lt;&gt;A2320,1,0)</f>
        <v>1</v>
      </c>
    </row>
    <row r="2322" customFormat="false" ht="15" hidden="false" customHeight="false" outlineLevel="0" collapsed="false">
      <c r="A2322" s="2" t="s">
        <v>2127</v>
      </c>
      <c r="B2322" s="13" t="n">
        <v>46295</v>
      </c>
      <c r="C2322" s="2" t="s">
        <v>89</v>
      </c>
      <c r="D2322" s="2" t="n">
        <v>2</v>
      </c>
      <c r="E2322" s="15" t="n">
        <v>0.452777777777778</v>
      </c>
      <c r="F2322" s="7" t="n">
        <v>14000</v>
      </c>
      <c r="G2322" s="7" t="n">
        <f aca="false">D2322*F2322</f>
        <v>28000</v>
      </c>
      <c r="H2322" s="2" t="str">
        <f aca="false">INDEX(Daftar_Menu!$B$2:$B$13,MATCH(C2322,Daftar_Menu!$A$2:$A$13,0))</f>
        <v>Makanan</v>
      </c>
      <c r="I2322" s="2" t="str">
        <f aca="false">CHOOSE(WEEKDAY(B2322,2),"Senin","Selasa","Rabu","Kamis","Jumat","Sabtu","Minggu")</f>
        <v>Rabu</v>
      </c>
      <c r="J2322" s="2" t="n">
        <f aca="false">HOUR(E2322)</f>
        <v>10</v>
      </c>
      <c r="K2322" s="2" t="str">
        <f aca="false">IF(J2322&lt;11,"Pagi",IF(J2322&lt;17,"Siang","Malam"))</f>
        <v>Pagi</v>
      </c>
      <c r="L2322" s="2" t="n">
        <f aca="false">IF(A2322&lt;&gt;A2321,1,0)</f>
        <v>1</v>
      </c>
    </row>
    <row r="2323" customFormat="false" ht="15" hidden="false" customHeight="false" outlineLevel="0" collapsed="false">
      <c r="A2323" s="2" t="s">
        <v>2128</v>
      </c>
      <c r="B2323" s="13" t="n">
        <v>46295</v>
      </c>
      <c r="C2323" s="2" t="s">
        <v>81</v>
      </c>
      <c r="D2323" s="2" t="n">
        <v>1</v>
      </c>
      <c r="E2323" s="15" t="n">
        <v>0.477777777777778</v>
      </c>
      <c r="F2323" s="7" t="n">
        <v>15000</v>
      </c>
      <c r="G2323" s="7" t="n">
        <f aca="false">D2323*F2323</f>
        <v>15000</v>
      </c>
      <c r="H2323" s="2" t="str">
        <f aca="false">INDEX(Daftar_Menu!$B$2:$B$13,MATCH(C2323,Daftar_Menu!$A$2:$A$13,0))</f>
        <v>Makanan</v>
      </c>
      <c r="I2323" s="2" t="str">
        <f aca="false">CHOOSE(WEEKDAY(B2323,2),"Senin","Selasa","Rabu","Kamis","Jumat","Sabtu","Minggu")</f>
        <v>Rabu</v>
      </c>
      <c r="J2323" s="2" t="n">
        <f aca="false">HOUR(E2323)</f>
        <v>11</v>
      </c>
      <c r="K2323" s="2" t="str">
        <f aca="false">IF(J2323&lt;11,"Pagi",IF(J2323&lt;17,"Siang","Malam"))</f>
        <v>Siang</v>
      </c>
      <c r="L2323" s="2" t="n">
        <f aca="false">IF(A2323&lt;&gt;A2322,1,0)</f>
        <v>1</v>
      </c>
    </row>
    <row r="2324" customFormat="false" ht="15" hidden="false" customHeight="false" outlineLevel="0" collapsed="false">
      <c r="A2324" s="2" t="s">
        <v>2128</v>
      </c>
      <c r="B2324" s="13" t="n">
        <v>46295</v>
      </c>
      <c r="C2324" s="2" t="s">
        <v>112</v>
      </c>
      <c r="D2324" s="2" t="n">
        <v>1</v>
      </c>
      <c r="E2324" s="15" t="n">
        <v>0.477777777777778</v>
      </c>
      <c r="F2324" s="7" t="n">
        <v>10000</v>
      </c>
      <c r="G2324" s="7" t="n">
        <f aca="false">D2324*F2324</f>
        <v>10000</v>
      </c>
      <c r="H2324" s="2" t="str">
        <f aca="false">INDEX(Daftar_Menu!$B$2:$B$13,MATCH(C2324,Daftar_Menu!$A$2:$A$13,0))</f>
        <v>Minuman</v>
      </c>
      <c r="I2324" s="2" t="str">
        <f aca="false">CHOOSE(WEEKDAY(B2324,2),"Senin","Selasa","Rabu","Kamis","Jumat","Sabtu","Minggu")</f>
        <v>Rabu</v>
      </c>
      <c r="J2324" s="2" t="n">
        <f aca="false">HOUR(E2324)</f>
        <v>11</v>
      </c>
      <c r="K2324" s="2" t="str">
        <f aca="false">IF(J2324&lt;11,"Pagi",IF(J2324&lt;17,"Siang","Malam"))</f>
        <v>Siang</v>
      </c>
      <c r="L2324" s="2" t="n">
        <f aca="false">IF(A2324&lt;&gt;A2323,1,0)</f>
        <v>0</v>
      </c>
    </row>
    <row r="2325" customFormat="false" ht="15" hidden="false" customHeight="false" outlineLevel="0" collapsed="false">
      <c r="A2325" s="2" t="s">
        <v>2128</v>
      </c>
      <c r="B2325" s="13" t="n">
        <v>46295</v>
      </c>
      <c r="C2325" s="2" t="s">
        <v>108</v>
      </c>
      <c r="D2325" s="2" t="n">
        <v>3</v>
      </c>
      <c r="E2325" s="15" t="n">
        <v>0.477777777777778</v>
      </c>
      <c r="F2325" s="7" t="n">
        <v>20000</v>
      </c>
      <c r="G2325" s="7" t="n">
        <f aca="false">D2325*F2325</f>
        <v>60000</v>
      </c>
      <c r="H2325" s="2" t="str">
        <f aca="false">INDEX(Daftar_Menu!$B$2:$B$13,MATCH(C2325,Daftar_Menu!$A$2:$A$13,0))</f>
        <v>Makanan</v>
      </c>
      <c r="I2325" s="2" t="str">
        <f aca="false">CHOOSE(WEEKDAY(B2325,2),"Senin","Selasa","Rabu","Kamis","Jumat","Sabtu","Minggu")</f>
        <v>Rabu</v>
      </c>
      <c r="J2325" s="2" t="n">
        <f aca="false">HOUR(E2325)</f>
        <v>11</v>
      </c>
      <c r="K2325" s="2" t="str">
        <f aca="false">IF(J2325&lt;11,"Pagi",IF(J2325&lt;17,"Siang","Malam"))</f>
        <v>Siang</v>
      </c>
      <c r="L2325" s="2" t="n">
        <f aca="false">IF(A2325&lt;&gt;A2324,1,0)</f>
        <v>0</v>
      </c>
    </row>
    <row r="2326" customFormat="false" ht="15" hidden="false" customHeight="false" outlineLevel="0" collapsed="false">
      <c r="A2326" s="2" t="s">
        <v>2129</v>
      </c>
      <c r="B2326" s="13" t="n">
        <v>46295</v>
      </c>
      <c r="C2326" s="2" t="s">
        <v>79</v>
      </c>
      <c r="D2326" s="2" t="n">
        <v>1</v>
      </c>
      <c r="E2326" s="15" t="n">
        <v>0.5</v>
      </c>
      <c r="F2326" s="7" t="n">
        <v>16000</v>
      </c>
      <c r="G2326" s="7" t="n">
        <f aca="false">D2326*F2326</f>
        <v>16000</v>
      </c>
      <c r="H2326" s="2" t="str">
        <f aca="false">INDEX(Daftar_Menu!$B$2:$B$13,MATCH(C2326,Daftar_Menu!$A$2:$A$13,0))</f>
        <v>Makanan</v>
      </c>
      <c r="I2326" s="2" t="str">
        <f aca="false">CHOOSE(WEEKDAY(B2326,2),"Senin","Selasa","Rabu","Kamis","Jumat","Sabtu","Minggu")</f>
        <v>Rabu</v>
      </c>
      <c r="J2326" s="2" t="n">
        <f aca="false">HOUR(E2326)</f>
        <v>12</v>
      </c>
      <c r="K2326" s="2" t="str">
        <f aca="false">IF(J2326&lt;11,"Pagi",IF(J2326&lt;17,"Siang","Malam"))</f>
        <v>Siang</v>
      </c>
      <c r="L2326" s="2" t="n">
        <f aca="false">IF(A2326&lt;&gt;A2325,1,0)</f>
        <v>1</v>
      </c>
    </row>
    <row r="2327" customFormat="false" ht="15" hidden="false" customHeight="false" outlineLevel="0" collapsed="false">
      <c r="A2327" s="2" t="s">
        <v>2129</v>
      </c>
      <c r="B2327" s="13" t="n">
        <v>46295</v>
      </c>
      <c r="C2327" s="2" t="s">
        <v>186</v>
      </c>
      <c r="D2327" s="2" t="n">
        <v>2</v>
      </c>
      <c r="E2327" s="15" t="n">
        <v>0.5</v>
      </c>
      <c r="F2327" s="7" t="n">
        <v>7000</v>
      </c>
      <c r="G2327" s="7" t="n">
        <f aca="false">D2327*F2327</f>
        <v>14000</v>
      </c>
      <c r="H2327" s="2" t="str">
        <f aca="false">INDEX(Daftar_Menu!$B$2:$B$13,MATCH(C2327,Daftar_Menu!$A$2:$A$13,0))</f>
        <v>Minuman</v>
      </c>
      <c r="I2327" s="2" t="str">
        <f aca="false">CHOOSE(WEEKDAY(B2327,2),"Senin","Selasa","Rabu","Kamis","Jumat","Sabtu","Minggu")</f>
        <v>Rabu</v>
      </c>
      <c r="J2327" s="2" t="n">
        <f aca="false">HOUR(E2327)</f>
        <v>12</v>
      </c>
      <c r="K2327" s="2" t="str">
        <f aca="false">IF(J2327&lt;11,"Pagi",IF(J2327&lt;17,"Siang","Malam"))</f>
        <v>Siang</v>
      </c>
      <c r="L2327" s="2" t="n">
        <f aca="false">IF(A2327&lt;&gt;A2326,1,0)</f>
        <v>0</v>
      </c>
    </row>
    <row r="2328" customFormat="false" ht="15" hidden="false" customHeight="false" outlineLevel="0" collapsed="false">
      <c r="A2328" s="2" t="s">
        <v>2130</v>
      </c>
      <c r="B2328" s="13" t="n">
        <v>46295</v>
      </c>
      <c r="C2328" s="2" t="s">
        <v>108</v>
      </c>
      <c r="D2328" s="2" t="n">
        <v>1</v>
      </c>
      <c r="E2328" s="15" t="n">
        <v>0.535416666666667</v>
      </c>
      <c r="F2328" s="7" t="n">
        <v>20000</v>
      </c>
      <c r="G2328" s="7" t="n">
        <f aca="false">D2328*F2328</f>
        <v>20000</v>
      </c>
      <c r="H2328" s="2" t="str">
        <f aca="false">INDEX(Daftar_Menu!$B$2:$B$13,MATCH(C2328,Daftar_Menu!$A$2:$A$13,0))</f>
        <v>Makanan</v>
      </c>
      <c r="I2328" s="2" t="str">
        <f aca="false">CHOOSE(WEEKDAY(B2328,2),"Senin","Selasa","Rabu","Kamis","Jumat","Sabtu","Minggu")</f>
        <v>Rabu</v>
      </c>
      <c r="J2328" s="2" t="n">
        <f aca="false">HOUR(E2328)</f>
        <v>12</v>
      </c>
      <c r="K2328" s="2" t="str">
        <f aca="false">IF(J2328&lt;11,"Pagi",IF(J2328&lt;17,"Siang","Malam"))</f>
        <v>Siang</v>
      </c>
      <c r="L2328" s="2" t="n">
        <f aca="false">IF(A2328&lt;&gt;A2327,1,0)</f>
        <v>1</v>
      </c>
    </row>
    <row r="2329" customFormat="false" ht="15" hidden="false" customHeight="false" outlineLevel="0" collapsed="false">
      <c r="A2329" s="2" t="s">
        <v>2130</v>
      </c>
      <c r="B2329" s="13" t="n">
        <v>46295</v>
      </c>
      <c r="C2329" s="2" t="s">
        <v>101</v>
      </c>
      <c r="D2329" s="2" t="n">
        <v>1</v>
      </c>
      <c r="E2329" s="15" t="n">
        <v>0.535416666666667</v>
      </c>
      <c r="F2329" s="7" t="n">
        <v>18000</v>
      </c>
      <c r="G2329" s="7" t="n">
        <f aca="false">D2329*F2329</f>
        <v>18000</v>
      </c>
      <c r="H2329" s="2" t="str">
        <f aca="false">INDEX(Daftar_Menu!$B$2:$B$13,MATCH(C2329,Daftar_Menu!$A$2:$A$13,0))</f>
        <v>Makanan</v>
      </c>
      <c r="I2329" s="2" t="str">
        <f aca="false">CHOOSE(WEEKDAY(B2329,2),"Senin","Selasa","Rabu","Kamis","Jumat","Sabtu","Minggu")</f>
        <v>Rabu</v>
      </c>
      <c r="J2329" s="2" t="n">
        <f aca="false">HOUR(E2329)</f>
        <v>12</v>
      </c>
      <c r="K2329" s="2" t="str">
        <f aca="false">IF(J2329&lt;11,"Pagi",IF(J2329&lt;17,"Siang","Malam"))</f>
        <v>Siang</v>
      </c>
      <c r="L2329" s="2" t="n">
        <f aca="false">IF(A2329&lt;&gt;A2328,1,0)</f>
        <v>0</v>
      </c>
    </row>
    <row r="2330" customFormat="false" ht="15" hidden="false" customHeight="false" outlineLevel="0" collapsed="false">
      <c r="A2330" s="2" t="s">
        <v>2132</v>
      </c>
      <c r="B2330" s="13" t="n">
        <v>46295</v>
      </c>
      <c r="C2330" s="2" t="s">
        <v>84</v>
      </c>
      <c r="D2330" s="2" t="n">
        <v>3</v>
      </c>
      <c r="E2330" s="15" t="n">
        <v>0.535416666666667</v>
      </c>
      <c r="F2330" s="7" t="n">
        <v>5000</v>
      </c>
      <c r="G2330" s="7" t="n">
        <f aca="false">D2330*F2330</f>
        <v>15000</v>
      </c>
      <c r="H2330" s="2" t="str">
        <f aca="false">INDEX(Daftar_Menu!$B$2:$B$13,MATCH(C2330,Daftar_Menu!$A$2:$A$13,0))</f>
        <v>Minuman</v>
      </c>
      <c r="I2330" s="2" t="str">
        <f aca="false">CHOOSE(WEEKDAY(B2330,2),"Senin","Selasa","Rabu","Kamis","Jumat","Sabtu","Minggu")</f>
        <v>Rabu</v>
      </c>
      <c r="J2330" s="2" t="n">
        <f aca="false">HOUR(E2330)</f>
        <v>12</v>
      </c>
      <c r="K2330" s="2" t="str">
        <f aca="false">IF(J2330&lt;11,"Pagi",IF(J2330&lt;17,"Siang","Malam"))</f>
        <v>Siang</v>
      </c>
      <c r="L2330" s="2" t="n">
        <f aca="false">IF(A2330&lt;&gt;A2329,1,0)</f>
        <v>1</v>
      </c>
    </row>
    <row r="2331" customFormat="false" ht="15" hidden="false" customHeight="false" outlineLevel="0" collapsed="false">
      <c r="A2331" s="2" t="s">
        <v>2132</v>
      </c>
      <c r="B2331" s="13" t="n">
        <v>46295</v>
      </c>
      <c r="C2331" s="2" t="s">
        <v>81</v>
      </c>
      <c r="D2331" s="2" t="n">
        <v>2</v>
      </c>
      <c r="E2331" s="15" t="n">
        <v>0.535416666666667</v>
      </c>
      <c r="F2331" s="7" t="n">
        <v>15000</v>
      </c>
      <c r="G2331" s="7" t="n">
        <f aca="false">D2331*F2331</f>
        <v>30000</v>
      </c>
      <c r="H2331" s="2" t="str">
        <f aca="false">INDEX(Daftar_Menu!$B$2:$B$13,MATCH(C2331,Daftar_Menu!$A$2:$A$13,0))</f>
        <v>Makanan</v>
      </c>
      <c r="I2331" s="2" t="str">
        <f aca="false">CHOOSE(WEEKDAY(B2331,2),"Senin","Selasa","Rabu","Kamis","Jumat","Sabtu","Minggu")</f>
        <v>Rabu</v>
      </c>
      <c r="J2331" s="2" t="n">
        <f aca="false">HOUR(E2331)</f>
        <v>12</v>
      </c>
      <c r="K2331" s="2" t="str">
        <f aca="false">IF(J2331&lt;11,"Pagi",IF(J2331&lt;17,"Siang","Malam"))</f>
        <v>Siang</v>
      </c>
      <c r="L2331" s="2" t="n">
        <f aca="false">IF(A2331&lt;&gt;A2330,1,0)</f>
        <v>0</v>
      </c>
    </row>
    <row r="2332" customFormat="false" ht="15" hidden="false" customHeight="false" outlineLevel="0" collapsed="false">
      <c r="A2332" s="2" t="s">
        <v>2133</v>
      </c>
      <c r="B2332" s="13" t="n">
        <v>46295</v>
      </c>
      <c r="C2332" s="2" t="s">
        <v>101</v>
      </c>
      <c r="D2332" s="2" t="n">
        <v>2</v>
      </c>
      <c r="E2332" s="15" t="n">
        <v>0.540972222222222</v>
      </c>
      <c r="F2332" s="7" t="n">
        <v>18000</v>
      </c>
      <c r="G2332" s="7" t="n">
        <f aca="false">D2332*F2332</f>
        <v>36000</v>
      </c>
      <c r="H2332" s="2" t="str">
        <f aca="false">INDEX(Daftar_Menu!$B$2:$B$13,MATCH(C2332,Daftar_Menu!$A$2:$A$13,0))</f>
        <v>Makanan</v>
      </c>
      <c r="I2332" s="2" t="str">
        <f aca="false">CHOOSE(WEEKDAY(B2332,2),"Senin","Selasa","Rabu","Kamis","Jumat","Sabtu","Minggu")</f>
        <v>Rabu</v>
      </c>
      <c r="J2332" s="2" t="n">
        <f aca="false">HOUR(E2332)</f>
        <v>12</v>
      </c>
      <c r="K2332" s="2" t="str">
        <f aca="false">IF(J2332&lt;11,"Pagi",IF(J2332&lt;17,"Siang","Malam"))</f>
        <v>Siang</v>
      </c>
      <c r="L2332" s="2" t="n">
        <f aca="false">IF(A2332&lt;&gt;A2331,1,0)</f>
        <v>1</v>
      </c>
    </row>
    <row r="2333" customFormat="false" ht="15" hidden="false" customHeight="false" outlineLevel="0" collapsed="false">
      <c r="A2333" s="2" t="s">
        <v>2134</v>
      </c>
      <c r="B2333" s="13" t="n">
        <v>46295</v>
      </c>
      <c r="C2333" s="2" t="s">
        <v>108</v>
      </c>
      <c r="D2333" s="2" t="n">
        <v>1</v>
      </c>
      <c r="E2333" s="15" t="n">
        <v>0.547916666666667</v>
      </c>
      <c r="F2333" s="7" t="n">
        <v>20000</v>
      </c>
      <c r="G2333" s="7" t="n">
        <f aca="false">D2333*F2333</f>
        <v>20000</v>
      </c>
      <c r="H2333" s="2" t="str">
        <f aca="false">INDEX(Daftar_Menu!$B$2:$B$13,MATCH(C2333,Daftar_Menu!$A$2:$A$13,0))</f>
        <v>Makanan</v>
      </c>
      <c r="I2333" s="2" t="str">
        <f aca="false">CHOOSE(WEEKDAY(B2333,2),"Senin","Selasa","Rabu","Kamis","Jumat","Sabtu","Minggu")</f>
        <v>Rabu</v>
      </c>
      <c r="J2333" s="2" t="n">
        <f aca="false">HOUR(E2333)</f>
        <v>13</v>
      </c>
      <c r="K2333" s="2" t="str">
        <f aca="false">IF(J2333&lt;11,"Pagi",IF(J2333&lt;17,"Siang","Malam"))</f>
        <v>Siang</v>
      </c>
      <c r="L2333" s="2" t="n">
        <f aca="false">IF(A2333&lt;&gt;A2332,1,0)</f>
        <v>1</v>
      </c>
    </row>
    <row r="2334" customFormat="false" ht="15" hidden="false" customHeight="false" outlineLevel="0" collapsed="false">
      <c r="A2334" s="2" t="s">
        <v>2135</v>
      </c>
      <c r="B2334" s="13" t="n">
        <v>46295</v>
      </c>
      <c r="C2334" s="2" t="s">
        <v>108</v>
      </c>
      <c r="D2334" s="2" t="n">
        <v>2</v>
      </c>
      <c r="E2334" s="15" t="n">
        <v>0.549305555555556</v>
      </c>
      <c r="F2334" s="7" t="n">
        <v>20000</v>
      </c>
      <c r="G2334" s="7" t="n">
        <f aca="false">D2334*F2334</f>
        <v>40000</v>
      </c>
      <c r="H2334" s="2" t="str">
        <f aca="false">INDEX(Daftar_Menu!$B$2:$B$13,MATCH(C2334,Daftar_Menu!$A$2:$A$13,0))</f>
        <v>Makanan</v>
      </c>
      <c r="I2334" s="2" t="str">
        <f aca="false">CHOOSE(WEEKDAY(B2334,2),"Senin","Selasa","Rabu","Kamis","Jumat","Sabtu","Minggu")</f>
        <v>Rabu</v>
      </c>
      <c r="J2334" s="2" t="n">
        <f aca="false">HOUR(E2334)</f>
        <v>13</v>
      </c>
      <c r="K2334" s="2" t="str">
        <f aca="false">IF(J2334&lt;11,"Pagi",IF(J2334&lt;17,"Siang","Malam"))</f>
        <v>Siang</v>
      </c>
      <c r="L2334" s="2" t="n">
        <f aca="false">IF(A2334&lt;&gt;A2333,1,0)</f>
        <v>1</v>
      </c>
    </row>
    <row r="2335" customFormat="false" ht="15" hidden="false" customHeight="false" outlineLevel="0" collapsed="false">
      <c r="A2335" s="2" t="s">
        <v>2135</v>
      </c>
      <c r="B2335" s="13" t="n">
        <v>46295</v>
      </c>
      <c r="C2335" s="2" t="s">
        <v>126</v>
      </c>
      <c r="D2335" s="2" t="n">
        <v>1</v>
      </c>
      <c r="E2335" s="15" t="n">
        <v>0.549305555555556</v>
      </c>
      <c r="F2335" s="7" t="n">
        <v>3000</v>
      </c>
      <c r="G2335" s="7" t="n">
        <f aca="false">D2335*F2335</f>
        <v>3000</v>
      </c>
      <c r="H2335" s="2" t="str">
        <f aca="false">INDEX(Daftar_Menu!$B$2:$B$13,MATCH(C2335,Daftar_Menu!$A$2:$A$13,0))</f>
        <v>Minuman</v>
      </c>
      <c r="I2335" s="2" t="str">
        <f aca="false">CHOOSE(WEEKDAY(B2335,2),"Senin","Selasa","Rabu","Kamis","Jumat","Sabtu","Minggu")</f>
        <v>Rabu</v>
      </c>
      <c r="J2335" s="2" t="n">
        <f aca="false">HOUR(E2335)</f>
        <v>13</v>
      </c>
      <c r="K2335" s="2" t="str">
        <f aca="false">IF(J2335&lt;11,"Pagi",IF(J2335&lt;17,"Siang","Malam"))</f>
        <v>Siang</v>
      </c>
      <c r="L2335" s="2" t="n">
        <f aca="false">IF(A2335&lt;&gt;A2334,1,0)</f>
        <v>0</v>
      </c>
    </row>
    <row r="2336" customFormat="false" ht="15" hidden="false" customHeight="false" outlineLevel="0" collapsed="false">
      <c r="A2336" s="2" t="s">
        <v>2136</v>
      </c>
      <c r="B2336" s="13" t="n">
        <v>46295</v>
      </c>
      <c r="C2336" s="2" t="s">
        <v>84</v>
      </c>
      <c r="D2336" s="2" t="n">
        <v>1</v>
      </c>
      <c r="E2336" s="15" t="n">
        <v>0.551388888888889</v>
      </c>
      <c r="F2336" s="7" t="n">
        <v>5000</v>
      </c>
      <c r="G2336" s="7" t="n">
        <f aca="false">D2336*F2336</f>
        <v>5000</v>
      </c>
      <c r="H2336" s="2" t="str">
        <f aca="false">INDEX(Daftar_Menu!$B$2:$B$13,MATCH(C2336,Daftar_Menu!$A$2:$A$13,0))</f>
        <v>Minuman</v>
      </c>
      <c r="I2336" s="2" t="str">
        <f aca="false">CHOOSE(WEEKDAY(B2336,2),"Senin","Selasa","Rabu","Kamis","Jumat","Sabtu","Minggu")</f>
        <v>Rabu</v>
      </c>
      <c r="J2336" s="2" t="n">
        <f aca="false">HOUR(E2336)</f>
        <v>13</v>
      </c>
      <c r="K2336" s="2" t="str">
        <f aca="false">IF(J2336&lt;11,"Pagi",IF(J2336&lt;17,"Siang","Malam"))</f>
        <v>Siang</v>
      </c>
      <c r="L2336" s="2" t="n">
        <f aca="false">IF(A2336&lt;&gt;A2335,1,0)</f>
        <v>1</v>
      </c>
    </row>
    <row r="2337" customFormat="false" ht="15" hidden="false" customHeight="false" outlineLevel="0" collapsed="false">
      <c r="A2337" s="2" t="s">
        <v>2136</v>
      </c>
      <c r="B2337" s="13" t="n">
        <v>46295</v>
      </c>
      <c r="C2337" s="2" t="s">
        <v>126</v>
      </c>
      <c r="D2337" s="2" t="n">
        <v>1</v>
      </c>
      <c r="E2337" s="15" t="n">
        <v>0.551388888888889</v>
      </c>
      <c r="F2337" s="7" t="n">
        <v>3000</v>
      </c>
      <c r="G2337" s="7" t="n">
        <f aca="false">D2337*F2337</f>
        <v>3000</v>
      </c>
      <c r="H2337" s="2" t="str">
        <f aca="false">INDEX(Daftar_Menu!$B$2:$B$13,MATCH(C2337,Daftar_Menu!$A$2:$A$13,0))</f>
        <v>Minuman</v>
      </c>
      <c r="I2337" s="2" t="str">
        <f aca="false">CHOOSE(WEEKDAY(B2337,2),"Senin","Selasa","Rabu","Kamis","Jumat","Sabtu","Minggu")</f>
        <v>Rabu</v>
      </c>
      <c r="J2337" s="2" t="n">
        <f aca="false">HOUR(E2337)</f>
        <v>13</v>
      </c>
      <c r="K2337" s="2" t="str">
        <f aca="false">IF(J2337&lt;11,"Pagi",IF(J2337&lt;17,"Siang","Malam"))</f>
        <v>Siang</v>
      </c>
      <c r="L2337" s="2" t="n">
        <f aca="false">IF(A2337&lt;&gt;A2336,1,0)</f>
        <v>0</v>
      </c>
    </row>
    <row r="2338" customFormat="false" ht="15" hidden="false" customHeight="false" outlineLevel="0" collapsed="false">
      <c r="A2338" s="2" t="s">
        <v>2137</v>
      </c>
      <c r="B2338" s="13" t="n">
        <v>46295</v>
      </c>
      <c r="C2338" s="2" t="s">
        <v>89</v>
      </c>
      <c r="D2338" s="2" t="n">
        <v>1</v>
      </c>
      <c r="E2338" s="15" t="n">
        <v>0.55625</v>
      </c>
      <c r="F2338" s="7" t="n">
        <v>14000</v>
      </c>
      <c r="G2338" s="7" t="n">
        <f aca="false">D2338*F2338</f>
        <v>14000</v>
      </c>
      <c r="H2338" s="2" t="str">
        <f aca="false">INDEX(Daftar_Menu!$B$2:$B$13,MATCH(C2338,Daftar_Menu!$A$2:$A$13,0))</f>
        <v>Makanan</v>
      </c>
      <c r="I2338" s="2" t="str">
        <f aca="false">CHOOSE(WEEKDAY(B2338,2),"Senin","Selasa","Rabu","Kamis","Jumat","Sabtu","Minggu")</f>
        <v>Rabu</v>
      </c>
      <c r="J2338" s="2" t="n">
        <f aca="false">HOUR(E2338)</f>
        <v>13</v>
      </c>
      <c r="K2338" s="2" t="str">
        <f aca="false">IF(J2338&lt;11,"Pagi",IF(J2338&lt;17,"Siang","Malam"))</f>
        <v>Siang</v>
      </c>
      <c r="L2338" s="2" t="n">
        <f aca="false">IF(A2338&lt;&gt;A2337,1,0)</f>
        <v>1</v>
      </c>
    </row>
    <row r="2339" customFormat="false" ht="15" hidden="false" customHeight="false" outlineLevel="0" collapsed="false">
      <c r="A2339" s="2" t="s">
        <v>2137</v>
      </c>
      <c r="B2339" s="13" t="n">
        <v>46295</v>
      </c>
      <c r="C2339" s="2" t="s">
        <v>92</v>
      </c>
      <c r="D2339" s="2" t="n">
        <v>1</v>
      </c>
      <c r="E2339" s="15" t="n">
        <v>0.55625</v>
      </c>
      <c r="F2339" s="7" t="n">
        <v>4000</v>
      </c>
      <c r="G2339" s="7" t="n">
        <f aca="false">D2339*F2339</f>
        <v>4000</v>
      </c>
      <c r="H2339" s="2" t="str">
        <f aca="false">INDEX(Daftar_Menu!$B$2:$B$13,MATCH(C2339,Daftar_Menu!$A$2:$A$13,0))</f>
        <v>Minuman</v>
      </c>
      <c r="I2339" s="2" t="str">
        <f aca="false">CHOOSE(WEEKDAY(B2339,2),"Senin","Selasa","Rabu","Kamis","Jumat","Sabtu","Minggu")</f>
        <v>Rabu</v>
      </c>
      <c r="J2339" s="2" t="n">
        <f aca="false">HOUR(E2339)</f>
        <v>13</v>
      </c>
      <c r="K2339" s="2" t="str">
        <f aca="false">IF(J2339&lt;11,"Pagi",IF(J2339&lt;17,"Siang","Malam"))</f>
        <v>Siang</v>
      </c>
      <c r="L2339" s="2" t="n">
        <f aca="false">IF(A2339&lt;&gt;A2338,1,0)</f>
        <v>0</v>
      </c>
    </row>
    <row r="2340" customFormat="false" ht="15" hidden="false" customHeight="false" outlineLevel="0" collapsed="false">
      <c r="A2340" s="2" t="s">
        <v>2138</v>
      </c>
      <c r="B2340" s="13" t="n">
        <v>46295</v>
      </c>
      <c r="C2340" s="2" t="s">
        <v>186</v>
      </c>
      <c r="D2340" s="2" t="n">
        <v>1</v>
      </c>
      <c r="E2340" s="15" t="n">
        <v>0.55625</v>
      </c>
      <c r="F2340" s="7" t="n">
        <v>7000</v>
      </c>
      <c r="G2340" s="7" t="n">
        <f aca="false">D2340*F2340</f>
        <v>7000</v>
      </c>
      <c r="H2340" s="2" t="str">
        <f aca="false">INDEX(Daftar_Menu!$B$2:$B$13,MATCH(C2340,Daftar_Menu!$A$2:$A$13,0))</f>
        <v>Minuman</v>
      </c>
      <c r="I2340" s="2" t="str">
        <f aca="false">CHOOSE(WEEKDAY(B2340,2),"Senin","Selasa","Rabu","Kamis","Jumat","Sabtu","Minggu")</f>
        <v>Rabu</v>
      </c>
      <c r="J2340" s="2" t="n">
        <f aca="false">HOUR(E2340)</f>
        <v>13</v>
      </c>
      <c r="K2340" s="2" t="str">
        <f aca="false">IF(J2340&lt;11,"Pagi",IF(J2340&lt;17,"Siang","Malam"))</f>
        <v>Siang</v>
      </c>
      <c r="L2340" s="2" t="n">
        <f aca="false">IF(A2340&lt;&gt;A2339,1,0)</f>
        <v>1</v>
      </c>
    </row>
    <row r="2341" customFormat="false" ht="15" hidden="false" customHeight="false" outlineLevel="0" collapsed="false">
      <c r="A2341" s="2" t="s">
        <v>2138</v>
      </c>
      <c r="B2341" s="13" t="n">
        <v>46295</v>
      </c>
      <c r="C2341" s="2" t="s">
        <v>132</v>
      </c>
      <c r="D2341" s="2" t="n">
        <v>1</v>
      </c>
      <c r="E2341" s="15" t="n">
        <v>0.55625</v>
      </c>
      <c r="F2341" s="7" t="n">
        <v>15000</v>
      </c>
      <c r="G2341" s="7" t="n">
        <f aca="false">D2341*F2341</f>
        <v>15000</v>
      </c>
      <c r="H2341" s="2" t="str">
        <f aca="false">INDEX(Daftar_Menu!$B$2:$B$13,MATCH(C2341,Daftar_Menu!$A$2:$A$13,0))</f>
        <v>Makanan</v>
      </c>
      <c r="I2341" s="2" t="str">
        <f aca="false">CHOOSE(WEEKDAY(B2341,2),"Senin","Selasa","Rabu","Kamis","Jumat","Sabtu","Minggu")</f>
        <v>Rabu</v>
      </c>
      <c r="J2341" s="2" t="n">
        <f aca="false">HOUR(E2341)</f>
        <v>13</v>
      </c>
      <c r="K2341" s="2" t="str">
        <f aca="false">IF(J2341&lt;11,"Pagi",IF(J2341&lt;17,"Siang","Malam"))</f>
        <v>Siang</v>
      </c>
      <c r="L2341" s="2" t="n">
        <f aca="false">IF(A2341&lt;&gt;A2340,1,0)</f>
        <v>0</v>
      </c>
    </row>
    <row r="2342" customFormat="false" ht="15" hidden="false" customHeight="false" outlineLevel="0" collapsed="false">
      <c r="A2342" s="2" t="s">
        <v>2139</v>
      </c>
      <c r="B2342" s="13" t="n">
        <v>46295</v>
      </c>
      <c r="C2342" s="2" t="s">
        <v>108</v>
      </c>
      <c r="D2342" s="2" t="n">
        <v>1</v>
      </c>
      <c r="E2342" s="15" t="n">
        <v>0.577777777777778</v>
      </c>
      <c r="F2342" s="7" t="n">
        <v>20000</v>
      </c>
      <c r="G2342" s="7" t="n">
        <f aca="false">D2342*F2342</f>
        <v>20000</v>
      </c>
      <c r="H2342" s="2" t="str">
        <f aca="false">INDEX(Daftar_Menu!$B$2:$B$13,MATCH(C2342,Daftar_Menu!$A$2:$A$13,0))</f>
        <v>Makanan</v>
      </c>
      <c r="I2342" s="2" t="str">
        <f aca="false">CHOOSE(WEEKDAY(B2342,2),"Senin","Selasa","Rabu","Kamis","Jumat","Sabtu","Minggu")</f>
        <v>Rabu</v>
      </c>
      <c r="J2342" s="2" t="n">
        <f aca="false">HOUR(E2342)</f>
        <v>13</v>
      </c>
      <c r="K2342" s="2" t="str">
        <f aca="false">IF(J2342&lt;11,"Pagi",IF(J2342&lt;17,"Siang","Malam"))</f>
        <v>Siang</v>
      </c>
      <c r="L2342" s="2" t="n">
        <f aca="false">IF(A2342&lt;&gt;A2341,1,0)</f>
        <v>1</v>
      </c>
    </row>
    <row r="2343" customFormat="false" ht="15" hidden="false" customHeight="false" outlineLevel="0" collapsed="false">
      <c r="A2343" s="2" t="s">
        <v>2139</v>
      </c>
      <c r="B2343" s="13" t="n">
        <v>46295</v>
      </c>
      <c r="C2343" s="2" t="s">
        <v>79</v>
      </c>
      <c r="D2343" s="2" t="n">
        <v>1</v>
      </c>
      <c r="E2343" s="15" t="n">
        <v>0.577777777777778</v>
      </c>
      <c r="F2343" s="7" t="n">
        <v>16000</v>
      </c>
      <c r="G2343" s="7" t="n">
        <f aca="false">D2343*F2343</f>
        <v>16000</v>
      </c>
      <c r="H2343" s="2" t="str">
        <f aca="false">INDEX(Daftar_Menu!$B$2:$B$13,MATCH(C2343,Daftar_Menu!$A$2:$A$13,0))</f>
        <v>Makanan</v>
      </c>
      <c r="I2343" s="2" t="str">
        <f aca="false">CHOOSE(WEEKDAY(B2343,2),"Senin","Selasa","Rabu","Kamis","Jumat","Sabtu","Minggu")</f>
        <v>Rabu</v>
      </c>
      <c r="J2343" s="2" t="n">
        <f aca="false">HOUR(E2343)</f>
        <v>13</v>
      </c>
      <c r="K2343" s="2" t="str">
        <f aca="false">IF(J2343&lt;11,"Pagi",IF(J2343&lt;17,"Siang","Malam"))</f>
        <v>Siang</v>
      </c>
      <c r="L2343" s="2" t="n">
        <f aca="false">IF(A2343&lt;&gt;A2342,1,0)</f>
        <v>0</v>
      </c>
    </row>
    <row r="2344" customFormat="false" ht="15" hidden="false" customHeight="false" outlineLevel="0" collapsed="false">
      <c r="A2344" s="2" t="s">
        <v>2140</v>
      </c>
      <c r="B2344" s="13" t="n">
        <v>46295</v>
      </c>
      <c r="C2344" s="2" t="s">
        <v>112</v>
      </c>
      <c r="D2344" s="2" t="n">
        <v>1</v>
      </c>
      <c r="E2344" s="15" t="n">
        <v>0.579861111111111</v>
      </c>
      <c r="F2344" s="7" t="n">
        <v>10000</v>
      </c>
      <c r="G2344" s="7" t="n">
        <f aca="false">D2344*F2344</f>
        <v>10000</v>
      </c>
      <c r="H2344" s="2" t="str">
        <f aca="false">INDEX(Daftar_Menu!$B$2:$B$13,MATCH(C2344,Daftar_Menu!$A$2:$A$13,0))</f>
        <v>Minuman</v>
      </c>
      <c r="I2344" s="2" t="str">
        <f aca="false">CHOOSE(WEEKDAY(B2344,2),"Senin","Selasa","Rabu","Kamis","Jumat","Sabtu","Minggu")</f>
        <v>Rabu</v>
      </c>
      <c r="J2344" s="2" t="n">
        <f aca="false">HOUR(E2344)</f>
        <v>13</v>
      </c>
      <c r="K2344" s="2" t="str">
        <f aca="false">IF(J2344&lt;11,"Pagi",IF(J2344&lt;17,"Siang","Malam"))</f>
        <v>Siang</v>
      </c>
      <c r="L2344" s="2" t="n">
        <f aca="false">IF(A2344&lt;&gt;A2343,1,0)</f>
        <v>1</v>
      </c>
    </row>
    <row r="2345" customFormat="false" ht="15" hidden="false" customHeight="false" outlineLevel="0" collapsed="false">
      <c r="A2345" s="2" t="s">
        <v>2141</v>
      </c>
      <c r="B2345" s="13" t="n">
        <v>46295</v>
      </c>
      <c r="C2345" s="2" t="s">
        <v>186</v>
      </c>
      <c r="D2345" s="2" t="n">
        <v>1</v>
      </c>
      <c r="E2345" s="15" t="n">
        <v>0.596527777777778</v>
      </c>
      <c r="F2345" s="7" t="n">
        <v>7000</v>
      </c>
      <c r="G2345" s="7" t="n">
        <f aca="false">D2345*F2345</f>
        <v>7000</v>
      </c>
      <c r="H2345" s="2" t="str">
        <f aca="false">INDEX(Daftar_Menu!$B$2:$B$13,MATCH(C2345,Daftar_Menu!$A$2:$A$13,0))</f>
        <v>Minuman</v>
      </c>
      <c r="I2345" s="2" t="str">
        <f aca="false">CHOOSE(WEEKDAY(B2345,2),"Senin","Selasa","Rabu","Kamis","Jumat","Sabtu","Minggu")</f>
        <v>Rabu</v>
      </c>
      <c r="J2345" s="2" t="n">
        <f aca="false">HOUR(E2345)</f>
        <v>14</v>
      </c>
      <c r="K2345" s="2" t="str">
        <f aca="false">IF(J2345&lt;11,"Pagi",IF(J2345&lt;17,"Siang","Malam"))</f>
        <v>Siang</v>
      </c>
      <c r="L2345" s="2" t="n">
        <f aca="false">IF(A2345&lt;&gt;A2344,1,0)</f>
        <v>1</v>
      </c>
    </row>
    <row r="2346" customFormat="false" ht="15" hidden="false" customHeight="false" outlineLevel="0" collapsed="false">
      <c r="A2346" s="2" t="s">
        <v>2141</v>
      </c>
      <c r="B2346" s="13" t="n">
        <v>46295</v>
      </c>
      <c r="C2346" s="2" t="s">
        <v>132</v>
      </c>
      <c r="D2346" s="2" t="n">
        <v>2</v>
      </c>
      <c r="E2346" s="15" t="n">
        <v>0.596527777777778</v>
      </c>
      <c r="F2346" s="7" t="n">
        <v>15000</v>
      </c>
      <c r="G2346" s="7" t="n">
        <f aca="false">D2346*F2346</f>
        <v>30000</v>
      </c>
      <c r="H2346" s="2" t="str">
        <f aca="false">INDEX(Daftar_Menu!$B$2:$B$13,MATCH(C2346,Daftar_Menu!$A$2:$A$13,0))</f>
        <v>Makanan</v>
      </c>
      <c r="I2346" s="2" t="str">
        <f aca="false">CHOOSE(WEEKDAY(B2346,2),"Senin","Selasa","Rabu","Kamis","Jumat","Sabtu","Minggu")</f>
        <v>Rabu</v>
      </c>
      <c r="J2346" s="2" t="n">
        <f aca="false">HOUR(E2346)</f>
        <v>14</v>
      </c>
      <c r="K2346" s="2" t="str">
        <f aca="false">IF(J2346&lt;11,"Pagi",IF(J2346&lt;17,"Siang","Malam"))</f>
        <v>Siang</v>
      </c>
      <c r="L2346" s="2" t="n">
        <f aca="false">IF(A2346&lt;&gt;A2345,1,0)</f>
        <v>0</v>
      </c>
    </row>
    <row r="2347" customFormat="false" ht="15" hidden="false" customHeight="false" outlineLevel="0" collapsed="false">
      <c r="A2347" s="2" t="s">
        <v>2142</v>
      </c>
      <c r="B2347" s="13" t="n">
        <v>46295</v>
      </c>
      <c r="C2347" s="2" t="s">
        <v>81</v>
      </c>
      <c r="D2347" s="2" t="n">
        <v>2</v>
      </c>
      <c r="E2347" s="15" t="n">
        <v>0.634722222222222</v>
      </c>
      <c r="F2347" s="7" t="n">
        <v>15000</v>
      </c>
      <c r="G2347" s="7" t="n">
        <f aca="false">D2347*F2347</f>
        <v>30000</v>
      </c>
      <c r="H2347" s="2" t="str">
        <f aca="false">INDEX(Daftar_Menu!$B$2:$B$13,MATCH(C2347,Daftar_Menu!$A$2:$A$13,0))</f>
        <v>Makanan</v>
      </c>
      <c r="I2347" s="2" t="str">
        <f aca="false">CHOOSE(WEEKDAY(B2347,2),"Senin","Selasa","Rabu","Kamis","Jumat","Sabtu","Minggu")</f>
        <v>Rabu</v>
      </c>
      <c r="J2347" s="2" t="n">
        <f aca="false">HOUR(E2347)</f>
        <v>15</v>
      </c>
      <c r="K2347" s="2" t="str">
        <f aca="false">IF(J2347&lt;11,"Pagi",IF(J2347&lt;17,"Siang","Malam"))</f>
        <v>Siang</v>
      </c>
      <c r="L2347" s="2" t="n">
        <f aca="false">IF(A2347&lt;&gt;A2346,1,0)</f>
        <v>1</v>
      </c>
    </row>
    <row r="2348" customFormat="false" ht="15" hidden="false" customHeight="false" outlineLevel="0" collapsed="false">
      <c r="A2348" s="2" t="s">
        <v>2142</v>
      </c>
      <c r="B2348" s="13" t="n">
        <v>46295</v>
      </c>
      <c r="C2348" s="2" t="s">
        <v>186</v>
      </c>
      <c r="D2348" s="2" t="n">
        <v>1</v>
      </c>
      <c r="E2348" s="15" t="n">
        <v>0.634722222222222</v>
      </c>
      <c r="F2348" s="7" t="n">
        <v>7000</v>
      </c>
      <c r="G2348" s="7" t="n">
        <f aca="false">D2348*F2348</f>
        <v>7000</v>
      </c>
      <c r="H2348" s="2" t="str">
        <f aca="false">INDEX(Daftar_Menu!$B$2:$B$13,MATCH(C2348,Daftar_Menu!$A$2:$A$13,0))</f>
        <v>Minuman</v>
      </c>
      <c r="I2348" s="2" t="str">
        <f aca="false">CHOOSE(WEEKDAY(B2348,2),"Senin","Selasa","Rabu","Kamis","Jumat","Sabtu","Minggu")</f>
        <v>Rabu</v>
      </c>
      <c r="J2348" s="2" t="n">
        <f aca="false">HOUR(E2348)</f>
        <v>15</v>
      </c>
      <c r="K2348" s="2" t="str">
        <f aca="false">IF(J2348&lt;11,"Pagi",IF(J2348&lt;17,"Siang","Malam"))</f>
        <v>Siang</v>
      </c>
      <c r="L2348" s="2" t="n">
        <f aca="false">IF(A2348&lt;&gt;A2347,1,0)</f>
        <v>0</v>
      </c>
    </row>
    <row r="2349" customFormat="false" ht="15" hidden="false" customHeight="false" outlineLevel="0" collapsed="false">
      <c r="A2349" s="2" t="s">
        <v>2142</v>
      </c>
      <c r="B2349" s="13" t="n">
        <v>46295</v>
      </c>
      <c r="C2349" s="2" t="s">
        <v>84</v>
      </c>
      <c r="D2349" s="2" t="n">
        <v>2</v>
      </c>
      <c r="E2349" s="15" t="n">
        <v>0.634722222222222</v>
      </c>
      <c r="F2349" s="7" t="n">
        <v>5000</v>
      </c>
      <c r="G2349" s="7" t="n">
        <f aca="false">D2349*F2349</f>
        <v>10000</v>
      </c>
      <c r="H2349" s="2" t="str">
        <f aca="false">INDEX(Daftar_Menu!$B$2:$B$13,MATCH(C2349,Daftar_Menu!$A$2:$A$13,0))</f>
        <v>Minuman</v>
      </c>
      <c r="I2349" s="2" t="str">
        <f aca="false">CHOOSE(WEEKDAY(B2349,2),"Senin","Selasa","Rabu","Kamis","Jumat","Sabtu","Minggu")</f>
        <v>Rabu</v>
      </c>
      <c r="J2349" s="2" t="n">
        <f aca="false">HOUR(E2349)</f>
        <v>15</v>
      </c>
      <c r="K2349" s="2" t="str">
        <f aca="false">IF(J2349&lt;11,"Pagi",IF(J2349&lt;17,"Siang","Malam"))</f>
        <v>Siang</v>
      </c>
      <c r="L2349" s="2" t="n">
        <f aca="false">IF(A2349&lt;&gt;A2348,1,0)</f>
        <v>0</v>
      </c>
    </row>
    <row r="2350" customFormat="false" ht="15" hidden="false" customHeight="false" outlineLevel="0" collapsed="false">
      <c r="A2350" s="2" t="s">
        <v>2144</v>
      </c>
      <c r="B2350" s="13" t="n">
        <v>46295</v>
      </c>
      <c r="C2350" s="2" t="s">
        <v>186</v>
      </c>
      <c r="D2350" s="2" t="n">
        <v>1</v>
      </c>
      <c r="E2350" s="15" t="n">
        <v>0.665972222222222</v>
      </c>
      <c r="F2350" s="7" t="n">
        <v>7000</v>
      </c>
      <c r="G2350" s="7" t="n">
        <f aca="false">D2350*F2350</f>
        <v>7000</v>
      </c>
      <c r="H2350" s="2" t="str">
        <f aca="false">INDEX(Daftar_Menu!$B$2:$B$13,MATCH(C2350,Daftar_Menu!$A$2:$A$13,0))</f>
        <v>Minuman</v>
      </c>
      <c r="I2350" s="2" t="str">
        <f aca="false">CHOOSE(WEEKDAY(B2350,2),"Senin","Selasa","Rabu","Kamis","Jumat","Sabtu","Minggu")</f>
        <v>Rabu</v>
      </c>
      <c r="J2350" s="2" t="n">
        <f aca="false">HOUR(E2350)</f>
        <v>15</v>
      </c>
      <c r="K2350" s="2" t="str">
        <f aca="false">IF(J2350&lt;11,"Pagi",IF(J2350&lt;17,"Siang","Malam"))</f>
        <v>Siang</v>
      </c>
      <c r="L2350" s="2" t="n">
        <f aca="false">IF(A2350&lt;&gt;A2349,1,0)</f>
        <v>1</v>
      </c>
    </row>
    <row r="2351" customFormat="false" ht="15" hidden="false" customHeight="false" outlineLevel="0" collapsed="false">
      <c r="A2351" s="2" t="s">
        <v>2146</v>
      </c>
      <c r="B2351" s="13" t="n">
        <v>46295</v>
      </c>
      <c r="C2351" s="2" t="s">
        <v>81</v>
      </c>
      <c r="D2351" s="2" t="n">
        <v>1</v>
      </c>
      <c r="E2351" s="15" t="n">
        <v>0.675694444444445</v>
      </c>
      <c r="F2351" s="7" t="n">
        <v>15000</v>
      </c>
      <c r="G2351" s="7" t="n">
        <f aca="false">D2351*F2351</f>
        <v>15000</v>
      </c>
      <c r="H2351" s="2" t="str">
        <f aca="false">INDEX(Daftar_Menu!$B$2:$B$13,MATCH(C2351,Daftar_Menu!$A$2:$A$13,0))</f>
        <v>Makanan</v>
      </c>
      <c r="I2351" s="2" t="str">
        <f aca="false">CHOOSE(WEEKDAY(B2351,2),"Senin","Selasa","Rabu","Kamis","Jumat","Sabtu","Minggu")</f>
        <v>Rabu</v>
      </c>
      <c r="J2351" s="2" t="n">
        <f aca="false">HOUR(E2351)</f>
        <v>16</v>
      </c>
      <c r="K2351" s="2" t="str">
        <f aca="false">IF(J2351&lt;11,"Pagi",IF(J2351&lt;17,"Siang","Malam"))</f>
        <v>Siang</v>
      </c>
      <c r="L2351" s="2" t="n">
        <f aca="false">IF(A2351&lt;&gt;A2350,1,0)</f>
        <v>1</v>
      </c>
    </row>
    <row r="2352" customFormat="false" ht="15" hidden="false" customHeight="false" outlineLevel="0" collapsed="false">
      <c r="A2352" s="2" t="s">
        <v>2147</v>
      </c>
      <c r="B2352" s="13" t="n">
        <v>46295</v>
      </c>
      <c r="C2352" s="2" t="s">
        <v>108</v>
      </c>
      <c r="D2352" s="2" t="n">
        <v>1</v>
      </c>
      <c r="E2352" s="15" t="n">
        <v>0.677083333333333</v>
      </c>
      <c r="F2352" s="7" t="n">
        <v>20000</v>
      </c>
      <c r="G2352" s="7" t="n">
        <f aca="false">D2352*F2352</f>
        <v>20000</v>
      </c>
      <c r="H2352" s="2" t="str">
        <f aca="false">INDEX(Daftar_Menu!$B$2:$B$13,MATCH(C2352,Daftar_Menu!$A$2:$A$13,0))</f>
        <v>Makanan</v>
      </c>
      <c r="I2352" s="2" t="str">
        <f aca="false">CHOOSE(WEEKDAY(B2352,2),"Senin","Selasa","Rabu","Kamis","Jumat","Sabtu","Minggu")</f>
        <v>Rabu</v>
      </c>
      <c r="J2352" s="2" t="n">
        <f aca="false">HOUR(E2352)</f>
        <v>16</v>
      </c>
      <c r="K2352" s="2" t="str">
        <f aca="false">IF(J2352&lt;11,"Pagi",IF(J2352&lt;17,"Siang","Malam"))</f>
        <v>Siang</v>
      </c>
      <c r="L2352" s="2" t="n">
        <f aca="false">IF(A2352&lt;&gt;A2351,1,0)</f>
        <v>1</v>
      </c>
    </row>
    <row r="2353" customFormat="false" ht="15" hidden="false" customHeight="false" outlineLevel="0" collapsed="false">
      <c r="A2353" s="2" t="s">
        <v>2147</v>
      </c>
      <c r="B2353" s="13" t="n">
        <v>46295</v>
      </c>
      <c r="C2353" s="2" t="s">
        <v>79</v>
      </c>
      <c r="D2353" s="2" t="n">
        <v>1</v>
      </c>
      <c r="E2353" s="15" t="n">
        <v>0.677083333333333</v>
      </c>
      <c r="F2353" s="7" t="n">
        <v>16000</v>
      </c>
      <c r="G2353" s="7" t="n">
        <f aca="false">D2353*F2353</f>
        <v>16000</v>
      </c>
      <c r="H2353" s="2" t="str">
        <f aca="false">INDEX(Daftar_Menu!$B$2:$B$13,MATCH(C2353,Daftar_Menu!$A$2:$A$13,0))</f>
        <v>Makanan</v>
      </c>
      <c r="I2353" s="2" t="str">
        <f aca="false">CHOOSE(WEEKDAY(B2353,2),"Senin","Selasa","Rabu","Kamis","Jumat","Sabtu","Minggu")</f>
        <v>Rabu</v>
      </c>
      <c r="J2353" s="2" t="n">
        <f aca="false">HOUR(E2353)</f>
        <v>16</v>
      </c>
      <c r="K2353" s="2" t="str">
        <f aca="false">IF(J2353&lt;11,"Pagi",IF(J2353&lt;17,"Siang","Malam"))</f>
        <v>Siang</v>
      </c>
      <c r="L2353" s="2" t="n">
        <f aca="false">IF(A2353&lt;&gt;A2352,1,0)</f>
        <v>0</v>
      </c>
    </row>
    <row r="2354" customFormat="false" ht="15" hidden="false" customHeight="false" outlineLevel="0" collapsed="false">
      <c r="A2354" s="2" t="s">
        <v>2147</v>
      </c>
      <c r="B2354" s="13" t="n">
        <v>46295</v>
      </c>
      <c r="C2354" s="2" t="s">
        <v>84</v>
      </c>
      <c r="D2354" s="2" t="n">
        <v>2</v>
      </c>
      <c r="E2354" s="15" t="n">
        <v>0.677083333333333</v>
      </c>
      <c r="F2354" s="7" t="n">
        <v>5000</v>
      </c>
      <c r="G2354" s="7" t="n">
        <f aca="false">D2354*F2354</f>
        <v>10000</v>
      </c>
      <c r="H2354" s="2" t="str">
        <f aca="false">INDEX(Daftar_Menu!$B$2:$B$13,MATCH(C2354,Daftar_Menu!$A$2:$A$13,0))</f>
        <v>Minuman</v>
      </c>
      <c r="I2354" s="2" t="str">
        <f aca="false">CHOOSE(WEEKDAY(B2354,2),"Senin","Selasa","Rabu","Kamis","Jumat","Sabtu","Minggu")</f>
        <v>Rabu</v>
      </c>
      <c r="J2354" s="2" t="n">
        <f aca="false">HOUR(E2354)</f>
        <v>16</v>
      </c>
      <c r="K2354" s="2" t="str">
        <f aca="false">IF(J2354&lt;11,"Pagi",IF(J2354&lt;17,"Siang","Malam"))</f>
        <v>Siang</v>
      </c>
      <c r="L2354" s="2" t="n">
        <f aca="false">IF(A2354&lt;&gt;A2353,1,0)</f>
        <v>0</v>
      </c>
    </row>
    <row r="2355" customFormat="false" ht="15" hidden="false" customHeight="false" outlineLevel="0" collapsed="false">
      <c r="A2355" s="2" t="s">
        <v>2148</v>
      </c>
      <c r="B2355" s="13" t="n">
        <v>46295</v>
      </c>
      <c r="C2355" s="2" t="s">
        <v>89</v>
      </c>
      <c r="D2355" s="2" t="n">
        <v>1</v>
      </c>
      <c r="E2355" s="15" t="n">
        <v>0.690277777777778</v>
      </c>
      <c r="F2355" s="7" t="n">
        <v>14000</v>
      </c>
      <c r="G2355" s="7" t="n">
        <f aca="false">D2355*F2355</f>
        <v>14000</v>
      </c>
      <c r="H2355" s="2" t="str">
        <f aca="false">INDEX(Daftar_Menu!$B$2:$B$13,MATCH(C2355,Daftar_Menu!$A$2:$A$13,0))</f>
        <v>Makanan</v>
      </c>
      <c r="I2355" s="2" t="str">
        <f aca="false">CHOOSE(WEEKDAY(B2355,2),"Senin","Selasa","Rabu","Kamis","Jumat","Sabtu","Minggu")</f>
        <v>Rabu</v>
      </c>
      <c r="J2355" s="2" t="n">
        <f aca="false">HOUR(E2355)</f>
        <v>16</v>
      </c>
      <c r="K2355" s="2" t="str">
        <f aca="false">IF(J2355&lt;11,"Pagi",IF(J2355&lt;17,"Siang","Malam"))</f>
        <v>Siang</v>
      </c>
      <c r="L2355" s="2" t="n">
        <f aca="false">IF(A2355&lt;&gt;A2354,1,0)</f>
        <v>1</v>
      </c>
    </row>
    <row r="2356" customFormat="false" ht="15" hidden="false" customHeight="false" outlineLevel="0" collapsed="false">
      <c r="A2356" s="2" t="s">
        <v>2148</v>
      </c>
      <c r="B2356" s="13" t="n">
        <v>46295</v>
      </c>
      <c r="C2356" s="2" t="s">
        <v>186</v>
      </c>
      <c r="D2356" s="2" t="n">
        <v>1</v>
      </c>
      <c r="E2356" s="15" t="n">
        <v>0.690277777777778</v>
      </c>
      <c r="F2356" s="7" t="n">
        <v>7000</v>
      </c>
      <c r="G2356" s="7" t="n">
        <f aca="false">D2356*F2356</f>
        <v>7000</v>
      </c>
      <c r="H2356" s="2" t="str">
        <f aca="false">INDEX(Daftar_Menu!$B$2:$B$13,MATCH(C2356,Daftar_Menu!$A$2:$A$13,0))</f>
        <v>Minuman</v>
      </c>
      <c r="I2356" s="2" t="str">
        <f aca="false">CHOOSE(WEEKDAY(B2356,2),"Senin","Selasa","Rabu","Kamis","Jumat","Sabtu","Minggu")</f>
        <v>Rabu</v>
      </c>
      <c r="J2356" s="2" t="n">
        <f aca="false">HOUR(E2356)</f>
        <v>16</v>
      </c>
      <c r="K2356" s="2" t="str">
        <f aca="false">IF(J2356&lt;11,"Pagi",IF(J2356&lt;17,"Siang","Malam"))</f>
        <v>Siang</v>
      </c>
      <c r="L2356" s="2" t="n">
        <f aca="false">IF(A2356&lt;&gt;A2355,1,0)</f>
        <v>0</v>
      </c>
    </row>
    <row r="2357" customFormat="false" ht="15" hidden="false" customHeight="false" outlineLevel="0" collapsed="false">
      <c r="A2357" s="2" t="s">
        <v>2148</v>
      </c>
      <c r="B2357" s="13" t="n">
        <v>46295</v>
      </c>
      <c r="C2357" s="2" t="s">
        <v>112</v>
      </c>
      <c r="D2357" s="2" t="n">
        <v>1</v>
      </c>
      <c r="E2357" s="15" t="n">
        <v>0.690277777777778</v>
      </c>
      <c r="F2357" s="7" t="n">
        <v>10000</v>
      </c>
      <c r="G2357" s="7" t="n">
        <f aca="false">D2357*F2357</f>
        <v>10000</v>
      </c>
      <c r="H2357" s="2" t="str">
        <f aca="false">INDEX(Daftar_Menu!$B$2:$B$13,MATCH(C2357,Daftar_Menu!$A$2:$A$13,0))</f>
        <v>Minuman</v>
      </c>
      <c r="I2357" s="2" t="str">
        <f aca="false">CHOOSE(WEEKDAY(B2357,2),"Senin","Selasa","Rabu","Kamis","Jumat","Sabtu","Minggu")</f>
        <v>Rabu</v>
      </c>
      <c r="J2357" s="2" t="n">
        <f aca="false">HOUR(E2357)</f>
        <v>16</v>
      </c>
      <c r="K2357" s="2" t="str">
        <f aca="false">IF(J2357&lt;11,"Pagi",IF(J2357&lt;17,"Siang","Malam"))</f>
        <v>Siang</v>
      </c>
      <c r="L2357" s="2" t="n">
        <f aca="false">IF(A2357&lt;&gt;A2356,1,0)</f>
        <v>0</v>
      </c>
    </row>
    <row r="2358" customFormat="false" ht="15" hidden="false" customHeight="false" outlineLevel="0" collapsed="false">
      <c r="A2358" s="2" t="s">
        <v>2149</v>
      </c>
      <c r="B2358" s="13" t="n">
        <v>46295</v>
      </c>
      <c r="C2358" s="2" t="s">
        <v>82</v>
      </c>
      <c r="D2358" s="2" t="n">
        <v>1</v>
      </c>
      <c r="E2358" s="15" t="n">
        <v>0.70625</v>
      </c>
      <c r="F2358" s="7" t="n">
        <v>13000</v>
      </c>
      <c r="G2358" s="7" t="n">
        <f aca="false">D2358*F2358</f>
        <v>13000</v>
      </c>
      <c r="H2358" s="2" t="str">
        <f aca="false">INDEX(Daftar_Menu!$B$2:$B$13,MATCH(C2358,Daftar_Menu!$A$2:$A$13,0))</f>
        <v>Makanan</v>
      </c>
      <c r="I2358" s="2" t="str">
        <f aca="false">CHOOSE(WEEKDAY(B2358,2),"Senin","Selasa","Rabu","Kamis","Jumat","Sabtu","Minggu")</f>
        <v>Rabu</v>
      </c>
      <c r="J2358" s="2" t="n">
        <f aca="false">HOUR(E2358)</f>
        <v>16</v>
      </c>
      <c r="K2358" s="2" t="str">
        <f aca="false">IF(J2358&lt;11,"Pagi",IF(J2358&lt;17,"Siang","Malam"))</f>
        <v>Siang</v>
      </c>
      <c r="L2358" s="2" t="n">
        <f aca="false">IF(A2358&lt;&gt;A2357,1,0)</f>
        <v>1</v>
      </c>
    </row>
    <row r="2359" customFormat="false" ht="15" hidden="false" customHeight="false" outlineLevel="0" collapsed="false">
      <c r="A2359" s="2" t="s">
        <v>2151</v>
      </c>
      <c r="B2359" s="13" t="n">
        <v>46295</v>
      </c>
      <c r="C2359" s="2" t="s">
        <v>82</v>
      </c>
      <c r="D2359" s="2" t="n">
        <v>1</v>
      </c>
      <c r="E2359" s="15" t="n">
        <v>0.70625</v>
      </c>
      <c r="F2359" s="7" t="n">
        <v>13000</v>
      </c>
      <c r="G2359" s="7" t="n">
        <f aca="false">D2359*F2359</f>
        <v>13000</v>
      </c>
      <c r="H2359" s="2" t="str">
        <f aca="false">INDEX(Daftar_Menu!$B$2:$B$13,MATCH(C2359,Daftar_Menu!$A$2:$A$13,0))</f>
        <v>Makanan</v>
      </c>
      <c r="I2359" s="2" t="str">
        <f aca="false">CHOOSE(WEEKDAY(B2359,2),"Senin","Selasa","Rabu","Kamis","Jumat","Sabtu","Minggu")</f>
        <v>Rabu</v>
      </c>
      <c r="J2359" s="2" t="n">
        <f aca="false">HOUR(E2359)</f>
        <v>16</v>
      </c>
      <c r="K2359" s="2" t="str">
        <f aca="false">IF(J2359&lt;11,"Pagi",IF(J2359&lt;17,"Siang","Malam"))</f>
        <v>Siang</v>
      </c>
      <c r="L2359" s="2" t="n">
        <f aca="false">IF(A2359&lt;&gt;A2358,1,0)</f>
        <v>1</v>
      </c>
    </row>
    <row r="2360" customFormat="false" ht="15" hidden="false" customHeight="false" outlineLevel="0" collapsed="false">
      <c r="A2360" s="2" t="s">
        <v>2151</v>
      </c>
      <c r="B2360" s="13" t="n">
        <v>46295</v>
      </c>
      <c r="C2360" s="2" t="s">
        <v>126</v>
      </c>
      <c r="D2360" s="2" t="n">
        <v>2</v>
      </c>
      <c r="E2360" s="15" t="n">
        <v>0.70625</v>
      </c>
      <c r="F2360" s="7" t="n">
        <v>3000</v>
      </c>
      <c r="G2360" s="7" t="n">
        <f aca="false">D2360*F2360</f>
        <v>6000</v>
      </c>
      <c r="H2360" s="2" t="str">
        <f aca="false">INDEX(Daftar_Menu!$B$2:$B$13,MATCH(C2360,Daftar_Menu!$A$2:$A$13,0))</f>
        <v>Minuman</v>
      </c>
      <c r="I2360" s="2" t="str">
        <f aca="false">CHOOSE(WEEKDAY(B2360,2),"Senin","Selasa","Rabu","Kamis","Jumat","Sabtu","Minggu")</f>
        <v>Rabu</v>
      </c>
      <c r="J2360" s="2" t="n">
        <f aca="false">HOUR(E2360)</f>
        <v>16</v>
      </c>
      <c r="K2360" s="2" t="str">
        <f aca="false">IF(J2360&lt;11,"Pagi",IF(J2360&lt;17,"Siang","Malam"))</f>
        <v>Siang</v>
      </c>
      <c r="L2360" s="2" t="n">
        <f aca="false">IF(A2360&lt;&gt;A2359,1,0)</f>
        <v>0</v>
      </c>
    </row>
    <row r="2361" customFormat="false" ht="15" hidden="false" customHeight="false" outlineLevel="0" collapsed="false">
      <c r="A2361" s="2" t="s">
        <v>2152</v>
      </c>
      <c r="B2361" s="13" t="n">
        <v>46295</v>
      </c>
      <c r="C2361" s="2" t="s">
        <v>132</v>
      </c>
      <c r="D2361" s="2" t="n">
        <v>1</v>
      </c>
      <c r="E2361" s="15" t="n">
        <v>0.711805555555556</v>
      </c>
      <c r="F2361" s="7" t="n">
        <v>15000</v>
      </c>
      <c r="G2361" s="7" t="n">
        <f aca="false">D2361*F2361</f>
        <v>15000</v>
      </c>
      <c r="H2361" s="2" t="str">
        <f aca="false">INDEX(Daftar_Menu!$B$2:$B$13,MATCH(C2361,Daftar_Menu!$A$2:$A$13,0))</f>
        <v>Makanan</v>
      </c>
      <c r="I2361" s="2" t="str">
        <f aca="false">CHOOSE(WEEKDAY(B2361,2),"Senin","Selasa","Rabu","Kamis","Jumat","Sabtu","Minggu")</f>
        <v>Rabu</v>
      </c>
      <c r="J2361" s="2" t="n">
        <f aca="false">HOUR(E2361)</f>
        <v>17</v>
      </c>
      <c r="K2361" s="2" t="str">
        <f aca="false">IF(J2361&lt;11,"Pagi",IF(J2361&lt;17,"Siang","Malam"))</f>
        <v>Malam</v>
      </c>
      <c r="L2361" s="2" t="n">
        <f aca="false">IF(A2361&lt;&gt;A2360,1,0)</f>
        <v>1</v>
      </c>
    </row>
    <row r="2362" customFormat="false" ht="15" hidden="false" customHeight="false" outlineLevel="0" collapsed="false">
      <c r="A2362" s="2" t="s">
        <v>2152</v>
      </c>
      <c r="B2362" s="13" t="n">
        <v>46295</v>
      </c>
      <c r="C2362" s="2" t="s">
        <v>81</v>
      </c>
      <c r="D2362" s="2" t="n">
        <v>1</v>
      </c>
      <c r="E2362" s="15" t="n">
        <v>0.711805555555556</v>
      </c>
      <c r="F2362" s="7" t="n">
        <v>15000</v>
      </c>
      <c r="G2362" s="7" t="n">
        <f aca="false">D2362*F2362</f>
        <v>15000</v>
      </c>
      <c r="H2362" s="2" t="str">
        <f aca="false">INDEX(Daftar_Menu!$B$2:$B$13,MATCH(C2362,Daftar_Menu!$A$2:$A$13,0))</f>
        <v>Makanan</v>
      </c>
      <c r="I2362" s="2" t="str">
        <f aca="false">CHOOSE(WEEKDAY(B2362,2),"Senin","Selasa","Rabu","Kamis","Jumat","Sabtu","Minggu")</f>
        <v>Rabu</v>
      </c>
      <c r="J2362" s="2" t="n">
        <f aca="false">HOUR(E2362)</f>
        <v>17</v>
      </c>
      <c r="K2362" s="2" t="str">
        <f aca="false">IF(J2362&lt;11,"Pagi",IF(J2362&lt;17,"Siang","Malam"))</f>
        <v>Malam</v>
      </c>
      <c r="L2362" s="2" t="n">
        <f aca="false">IF(A2362&lt;&gt;A2361,1,0)</f>
        <v>0</v>
      </c>
    </row>
    <row r="2363" customFormat="false" ht="15" hidden="false" customHeight="false" outlineLevel="0" collapsed="false">
      <c r="A2363" s="2" t="s">
        <v>2152</v>
      </c>
      <c r="B2363" s="13" t="n">
        <v>46295</v>
      </c>
      <c r="C2363" s="2" t="s">
        <v>79</v>
      </c>
      <c r="D2363" s="2" t="n">
        <v>1</v>
      </c>
      <c r="E2363" s="15" t="n">
        <v>0.711805555555556</v>
      </c>
      <c r="F2363" s="7" t="n">
        <v>16000</v>
      </c>
      <c r="G2363" s="7" t="n">
        <f aca="false">D2363*F2363</f>
        <v>16000</v>
      </c>
      <c r="H2363" s="2" t="str">
        <f aca="false">INDEX(Daftar_Menu!$B$2:$B$13,MATCH(C2363,Daftar_Menu!$A$2:$A$13,0))</f>
        <v>Makanan</v>
      </c>
      <c r="I2363" s="2" t="str">
        <f aca="false">CHOOSE(WEEKDAY(B2363,2),"Senin","Selasa","Rabu","Kamis","Jumat","Sabtu","Minggu")</f>
        <v>Rabu</v>
      </c>
      <c r="J2363" s="2" t="n">
        <f aca="false">HOUR(E2363)</f>
        <v>17</v>
      </c>
      <c r="K2363" s="2" t="str">
        <f aca="false">IF(J2363&lt;11,"Pagi",IF(J2363&lt;17,"Siang","Malam"))</f>
        <v>Malam</v>
      </c>
      <c r="L2363" s="2" t="n">
        <f aca="false">IF(A2363&lt;&gt;A2362,1,0)</f>
        <v>0</v>
      </c>
    </row>
    <row r="2364" customFormat="false" ht="15" hidden="false" customHeight="false" outlineLevel="0" collapsed="false">
      <c r="A2364" s="2" t="s">
        <v>2153</v>
      </c>
      <c r="B2364" s="13" t="n">
        <v>46295</v>
      </c>
      <c r="C2364" s="2" t="s">
        <v>112</v>
      </c>
      <c r="D2364" s="2" t="n">
        <v>1</v>
      </c>
      <c r="E2364" s="15" t="n">
        <v>0.715277777777778</v>
      </c>
      <c r="F2364" s="7" t="n">
        <v>10000</v>
      </c>
      <c r="G2364" s="7" t="n">
        <f aca="false">D2364*F2364</f>
        <v>10000</v>
      </c>
      <c r="H2364" s="2" t="str">
        <f aca="false">INDEX(Daftar_Menu!$B$2:$B$13,MATCH(C2364,Daftar_Menu!$A$2:$A$13,0))</f>
        <v>Minuman</v>
      </c>
      <c r="I2364" s="2" t="str">
        <f aca="false">CHOOSE(WEEKDAY(B2364,2),"Senin","Selasa","Rabu","Kamis","Jumat","Sabtu","Minggu")</f>
        <v>Rabu</v>
      </c>
      <c r="J2364" s="2" t="n">
        <f aca="false">HOUR(E2364)</f>
        <v>17</v>
      </c>
      <c r="K2364" s="2" t="str">
        <f aca="false">IF(J2364&lt;11,"Pagi",IF(J2364&lt;17,"Siang","Malam"))</f>
        <v>Malam</v>
      </c>
      <c r="L2364" s="2" t="n">
        <f aca="false">IF(A2364&lt;&gt;A2363,1,0)</f>
        <v>1</v>
      </c>
    </row>
    <row r="2365" customFormat="false" ht="15" hidden="false" customHeight="false" outlineLevel="0" collapsed="false">
      <c r="A2365" s="2" t="s">
        <v>2154</v>
      </c>
      <c r="B2365" s="13" t="n">
        <v>46295</v>
      </c>
      <c r="C2365" s="2" t="s">
        <v>92</v>
      </c>
      <c r="D2365" s="2" t="n">
        <v>2</v>
      </c>
      <c r="E2365" s="15" t="n">
        <v>0.718055555555556</v>
      </c>
      <c r="F2365" s="7" t="n">
        <v>4000</v>
      </c>
      <c r="G2365" s="7" t="n">
        <f aca="false">D2365*F2365</f>
        <v>8000</v>
      </c>
      <c r="H2365" s="2" t="str">
        <f aca="false">INDEX(Daftar_Menu!$B$2:$B$13,MATCH(C2365,Daftar_Menu!$A$2:$A$13,0))</f>
        <v>Minuman</v>
      </c>
      <c r="I2365" s="2" t="str">
        <f aca="false">CHOOSE(WEEKDAY(B2365,2),"Senin","Selasa","Rabu","Kamis","Jumat","Sabtu","Minggu")</f>
        <v>Rabu</v>
      </c>
      <c r="J2365" s="2" t="n">
        <f aca="false">HOUR(E2365)</f>
        <v>17</v>
      </c>
      <c r="K2365" s="2" t="str">
        <f aca="false">IF(J2365&lt;11,"Pagi",IF(J2365&lt;17,"Siang","Malam"))</f>
        <v>Malam</v>
      </c>
      <c r="L2365" s="2" t="n">
        <f aca="false">IF(A2365&lt;&gt;A2364,1,0)</f>
        <v>1</v>
      </c>
    </row>
    <row r="2366" customFormat="false" ht="15" hidden="false" customHeight="false" outlineLevel="0" collapsed="false">
      <c r="A2366" s="2" t="s">
        <v>2154</v>
      </c>
      <c r="B2366" s="13" t="n">
        <v>46295</v>
      </c>
      <c r="C2366" s="2" t="s">
        <v>81</v>
      </c>
      <c r="D2366" s="2" t="n">
        <v>1</v>
      </c>
      <c r="E2366" s="15" t="n">
        <v>0.718055555555556</v>
      </c>
      <c r="F2366" s="7" t="n">
        <v>15000</v>
      </c>
      <c r="G2366" s="7" t="n">
        <f aca="false">D2366*F2366</f>
        <v>15000</v>
      </c>
      <c r="H2366" s="2" t="str">
        <f aca="false">INDEX(Daftar_Menu!$B$2:$B$13,MATCH(C2366,Daftar_Menu!$A$2:$A$13,0))</f>
        <v>Makanan</v>
      </c>
      <c r="I2366" s="2" t="str">
        <f aca="false">CHOOSE(WEEKDAY(B2366,2),"Senin","Selasa","Rabu","Kamis","Jumat","Sabtu","Minggu")</f>
        <v>Rabu</v>
      </c>
      <c r="J2366" s="2" t="n">
        <f aca="false">HOUR(E2366)</f>
        <v>17</v>
      </c>
      <c r="K2366" s="2" t="str">
        <f aca="false">IF(J2366&lt;11,"Pagi",IF(J2366&lt;17,"Siang","Malam"))</f>
        <v>Malam</v>
      </c>
      <c r="L2366" s="2" t="n">
        <f aca="false">IF(A2366&lt;&gt;A2365,1,0)</f>
        <v>0</v>
      </c>
    </row>
    <row r="2367" customFormat="false" ht="15" hidden="false" customHeight="false" outlineLevel="0" collapsed="false">
      <c r="A2367" s="2" t="s">
        <v>2155</v>
      </c>
      <c r="B2367" s="13" t="n">
        <v>46295</v>
      </c>
      <c r="C2367" s="2" t="s">
        <v>81</v>
      </c>
      <c r="D2367" s="2" t="n">
        <v>1</v>
      </c>
      <c r="E2367" s="15" t="n">
        <v>0.727777777777778</v>
      </c>
      <c r="F2367" s="7" t="n">
        <v>15000</v>
      </c>
      <c r="G2367" s="7" t="n">
        <f aca="false">D2367*F2367</f>
        <v>15000</v>
      </c>
      <c r="H2367" s="2" t="str">
        <f aca="false">INDEX(Daftar_Menu!$B$2:$B$13,MATCH(C2367,Daftar_Menu!$A$2:$A$13,0))</f>
        <v>Makanan</v>
      </c>
      <c r="I2367" s="2" t="str">
        <f aca="false">CHOOSE(WEEKDAY(B2367,2),"Senin","Selasa","Rabu","Kamis","Jumat","Sabtu","Minggu")</f>
        <v>Rabu</v>
      </c>
      <c r="J2367" s="2" t="n">
        <f aca="false">HOUR(E2367)</f>
        <v>17</v>
      </c>
      <c r="K2367" s="2" t="str">
        <f aca="false">IF(J2367&lt;11,"Pagi",IF(J2367&lt;17,"Siang","Malam"))</f>
        <v>Malam</v>
      </c>
      <c r="L2367" s="2" t="n">
        <f aca="false">IF(A2367&lt;&gt;A2366,1,0)</f>
        <v>1</v>
      </c>
    </row>
    <row r="2368" customFormat="false" ht="15" hidden="false" customHeight="false" outlineLevel="0" collapsed="false">
      <c r="A2368" s="2" t="s">
        <v>2155</v>
      </c>
      <c r="B2368" s="13" t="n">
        <v>46295</v>
      </c>
      <c r="C2368" s="2" t="s">
        <v>84</v>
      </c>
      <c r="D2368" s="2" t="n">
        <v>1</v>
      </c>
      <c r="E2368" s="15" t="n">
        <v>0.727777777777778</v>
      </c>
      <c r="F2368" s="7" t="n">
        <v>5000</v>
      </c>
      <c r="G2368" s="7" t="n">
        <f aca="false">D2368*F2368</f>
        <v>5000</v>
      </c>
      <c r="H2368" s="2" t="str">
        <f aca="false">INDEX(Daftar_Menu!$B$2:$B$13,MATCH(C2368,Daftar_Menu!$A$2:$A$13,0))</f>
        <v>Minuman</v>
      </c>
      <c r="I2368" s="2" t="str">
        <f aca="false">CHOOSE(WEEKDAY(B2368,2),"Senin","Selasa","Rabu","Kamis","Jumat","Sabtu","Minggu")</f>
        <v>Rabu</v>
      </c>
      <c r="J2368" s="2" t="n">
        <f aca="false">HOUR(E2368)</f>
        <v>17</v>
      </c>
      <c r="K2368" s="2" t="str">
        <f aca="false">IF(J2368&lt;11,"Pagi",IF(J2368&lt;17,"Siang","Malam"))</f>
        <v>Malam</v>
      </c>
      <c r="L2368" s="2" t="n">
        <f aca="false">IF(A2368&lt;&gt;A2367,1,0)</f>
        <v>0</v>
      </c>
    </row>
    <row r="2369" customFormat="false" ht="15" hidden="false" customHeight="false" outlineLevel="0" collapsed="false">
      <c r="A2369" s="2" t="s">
        <v>2156</v>
      </c>
      <c r="B2369" s="13" t="n">
        <v>46295</v>
      </c>
      <c r="C2369" s="2" t="s">
        <v>81</v>
      </c>
      <c r="D2369" s="2" t="n">
        <v>1</v>
      </c>
      <c r="E2369" s="15" t="n">
        <v>0.738888888888889</v>
      </c>
      <c r="F2369" s="7" t="n">
        <v>15000</v>
      </c>
      <c r="G2369" s="7" t="n">
        <f aca="false">D2369*F2369</f>
        <v>15000</v>
      </c>
      <c r="H2369" s="2" t="str">
        <f aca="false">INDEX(Daftar_Menu!$B$2:$B$13,MATCH(C2369,Daftar_Menu!$A$2:$A$13,0))</f>
        <v>Makanan</v>
      </c>
      <c r="I2369" s="2" t="str">
        <f aca="false">CHOOSE(WEEKDAY(B2369,2),"Senin","Selasa","Rabu","Kamis","Jumat","Sabtu","Minggu")</f>
        <v>Rabu</v>
      </c>
      <c r="J2369" s="2" t="n">
        <f aca="false">HOUR(E2369)</f>
        <v>17</v>
      </c>
      <c r="K2369" s="2" t="str">
        <f aca="false">IF(J2369&lt;11,"Pagi",IF(J2369&lt;17,"Siang","Malam"))</f>
        <v>Malam</v>
      </c>
      <c r="L2369" s="2" t="n">
        <f aca="false">IF(A2369&lt;&gt;A2368,1,0)</f>
        <v>1</v>
      </c>
    </row>
    <row r="2370" customFormat="false" ht="15" hidden="false" customHeight="false" outlineLevel="0" collapsed="false">
      <c r="A2370" s="2" t="s">
        <v>2157</v>
      </c>
      <c r="B2370" s="13" t="n">
        <v>46295</v>
      </c>
      <c r="C2370" s="2" t="s">
        <v>84</v>
      </c>
      <c r="D2370" s="2" t="n">
        <v>2</v>
      </c>
      <c r="E2370" s="15" t="n">
        <v>0.740972222222222</v>
      </c>
      <c r="F2370" s="7" t="n">
        <v>5000</v>
      </c>
      <c r="G2370" s="7" t="n">
        <f aca="false">D2370*F2370</f>
        <v>10000</v>
      </c>
      <c r="H2370" s="2" t="str">
        <f aca="false">INDEX(Daftar_Menu!$B$2:$B$13,MATCH(C2370,Daftar_Menu!$A$2:$A$13,0))</f>
        <v>Minuman</v>
      </c>
      <c r="I2370" s="2" t="str">
        <f aca="false">CHOOSE(WEEKDAY(B2370,2),"Senin","Selasa","Rabu","Kamis","Jumat","Sabtu","Minggu")</f>
        <v>Rabu</v>
      </c>
      <c r="J2370" s="2" t="n">
        <f aca="false">HOUR(E2370)</f>
        <v>17</v>
      </c>
      <c r="K2370" s="2" t="str">
        <f aca="false">IF(J2370&lt;11,"Pagi",IF(J2370&lt;17,"Siang","Malam"))</f>
        <v>Malam</v>
      </c>
      <c r="L2370" s="2" t="n">
        <f aca="false">IF(A2370&lt;&gt;A2369,1,0)</f>
        <v>1</v>
      </c>
    </row>
    <row r="2371" customFormat="false" ht="15" hidden="false" customHeight="false" outlineLevel="0" collapsed="false">
      <c r="A2371" s="2" t="s">
        <v>2158</v>
      </c>
      <c r="B2371" s="13" t="n">
        <v>46295</v>
      </c>
      <c r="C2371" s="2" t="s">
        <v>84</v>
      </c>
      <c r="D2371" s="2" t="n">
        <v>1</v>
      </c>
      <c r="E2371" s="15" t="n">
        <v>0.75</v>
      </c>
      <c r="F2371" s="7" t="n">
        <v>5000</v>
      </c>
      <c r="G2371" s="7" t="n">
        <f aca="false">D2371*F2371</f>
        <v>5000</v>
      </c>
      <c r="H2371" s="2" t="str">
        <f aca="false">INDEX(Daftar_Menu!$B$2:$B$13,MATCH(C2371,Daftar_Menu!$A$2:$A$13,0))</f>
        <v>Minuman</v>
      </c>
      <c r="I2371" s="2" t="str">
        <f aca="false">CHOOSE(WEEKDAY(B2371,2),"Senin","Selasa","Rabu","Kamis","Jumat","Sabtu","Minggu")</f>
        <v>Rabu</v>
      </c>
      <c r="J2371" s="2" t="n">
        <f aca="false">HOUR(E2371)</f>
        <v>18</v>
      </c>
      <c r="K2371" s="2" t="str">
        <f aca="false">IF(J2371&lt;11,"Pagi",IF(J2371&lt;17,"Siang","Malam"))</f>
        <v>Malam</v>
      </c>
      <c r="L2371" s="2" t="n">
        <f aca="false">IF(A2371&lt;&gt;A2370,1,0)</f>
        <v>1</v>
      </c>
    </row>
    <row r="2372" customFormat="false" ht="15" hidden="false" customHeight="false" outlineLevel="0" collapsed="false">
      <c r="A2372" s="2" t="s">
        <v>2158</v>
      </c>
      <c r="B2372" s="13" t="n">
        <v>46295</v>
      </c>
      <c r="C2372" s="2" t="s">
        <v>92</v>
      </c>
      <c r="D2372" s="2" t="n">
        <v>2</v>
      </c>
      <c r="E2372" s="15" t="n">
        <v>0.75</v>
      </c>
      <c r="F2372" s="7" t="n">
        <v>4000</v>
      </c>
      <c r="G2372" s="7" t="n">
        <f aca="false">D2372*F2372</f>
        <v>8000</v>
      </c>
      <c r="H2372" s="2" t="str">
        <f aca="false">INDEX(Daftar_Menu!$B$2:$B$13,MATCH(C2372,Daftar_Menu!$A$2:$A$13,0))</f>
        <v>Minuman</v>
      </c>
      <c r="I2372" s="2" t="str">
        <f aca="false">CHOOSE(WEEKDAY(B2372,2),"Senin","Selasa","Rabu","Kamis","Jumat","Sabtu","Minggu")</f>
        <v>Rabu</v>
      </c>
      <c r="J2372" s="2" t="n">
        <f aca="false">HOUR(E2372)</f>
        <v>18</v>
      </c>
      <c r="K2372" s="2" t="str">
        <f aca="false">IF(J2372&lt;11,"Pagi",IF(J2372&lt;17,"Siang","Malam"))</f>
        <v>Malam</v>
      </c>
      <c r="L2372" s="2" t="n">
        <f aca="false">IF(A2372&lt;&gt;A2371,1,0)</f>
        <v>0</v>
      </c>
    </row>
    <row r="2373" customFormat="false" ht="15" hidden="false" customHeight="false" outlineLevel="0" collapsed="false">
      <c r="A2373" s="2" t="s">
        <v>2159</v>
      </c>
      <c r="B2373" s="13" t="n">
        <v>46295</v>
      </c>
      <c r="C2373" s="2" t="s">
        <v>81</v>
      </c>
      <c r="D2373" s="2" t="n">
        <v>2</v>
      </c>
      <c r="E2373" s="15" t="n">
        <v>0.753472222222222</v>
      </c>
      <c r="F2373" s="7" t="n">
        <v>15000</v>
      </c>
      <c r="G2373" s="7" t="n">
        <f aca="false">D2373*F2373</f>
        <v>30000</v>
      </c>
      <c r="H2373" s="2" t="str">
        <f aca="false">INDEX(Daftar_Menu!$B$2:$B$13,MATCH(C2373,Daftar_Menu!$A$2:$A$13,0))</f>
        <v>Makanan</v>
      </c>
      <c r="I2373" s="2" t="str">
        <f aca="false">CHOOSE(WEEKDAY(B2373,2),"Senin","Selasa","Rabu","Kamis","Jumat","Sabtu","Minggu")</f>
        <v>Rabu</v>
      </c>
      <c r="J2373" s="2" t="n">
        <f aca="false">HOUR(E2373)</f>
        <v>18</v>
      </c>
      <c r="K2373" s="2" t="str">
        <f aca="false">IF(J2373&lt;11,"Pagi",IF(J2373&lt;17,"Siang","Malam"))</f>
        <v>Malam</v>
      </c>
      <c r="L2373" s="2" t="n">
        <f aca="false">IF(A2373&lt;&gt;A2372,1,0)</f>
        <v>1</v>
      </c>
    </row>
    <row r="2374" customFormat="false" ht="15" hidden="false" customHeight="false" outlineLevel="0" collapsed="false">
      <c r="A2374" s="2" t="s">
        <v>2159</v>
      </c>
      <c r="B2374" s="13" t="n">
        <v>46295</v>
      </c>
      <c r="C2374" s="2" t="s">
        <v>132</v>
      </c>
      <c r="D2374" s="2" t="n">
        <v>1</v>
      </c>
      <c r="E2374" s="15" t="n">
        <v>0.753472222222222</v>
      </c>
      <c r="F2374" s="7" t="n">
        <v>15000</v>
      </c>
      <c r="G2374" s="7" t="n">
        <f aca="false">D2374*F2374</f>
        <v>15000</v>
      </c>
      <c r="H2374" s="2" t="str">
        <f aca="false">INDEX(Daftar_Menu!$B$2:$B$13,MATCH(C2374,Daftar_Menu!$A$2:$A$13,0))</f>
        <v>Makanan</v>
      </c>
      <c r="I2374" s="2" t="str">
        <f aca="false">CHOOSE(WEEKDAY(B2374,2),"Senin","Selasa","Rabu","Kamis","Jumat","Sabtu","Minggu")</f>
        <v>Rabu</v>
      </c>
      <c r="J2374" s="2" t="n">
        <f aca="false">HOUR(E2374)</f>
        <v>18</v>
      </c>
      <c r="K2374" s="2" t="str">
        <f aca="false">IF(J2374&lt;11,"Pagi",IF(J2374&lt;17,"Siang","Malam"))</f>
        <v>Malam</v>
      </c>
      <c r="L2374" s="2" t="n">
        <f aca="false">IF(A2374&lt;&gt;A2373,1,0)</f>
        <v>0</v>
      </c>
    </row>
    <row r="2375" customFormat="false" ht="15" hidden="false" customHeight="false" outlineLevel="0" collapsed="false">
      <c r="A2375" s="2" t="s">
        <v>2159</v>
      </c>
      <c r="B2375" s="13" t="n">
        <v>46295</v>
      </c>
      <c r="C2375" s="2" t="s">
        <v>84</v>
      </c>
      <c r="D2375" s="2" t="n">
        <v>1</v>
      </c>
      <c r="E2375" s="15" t="n">
        <v>0.753472222222222</v>
      </c>
      <c r="F2375" s="7" t="n">
        <v>5000</v>
      </c>
      <c r="G2375" s="7" t="n">
        <f aca="false">D2375*F2375</f>
        <v>5000</v>
      </c>
      <c r="H2375" s="2" t="str">
        <f aca="false">INDEX(Daftar_Menu!$B$2:$B$13,MATCH(C2375,Daftar_Menu!$A$2:$A$13,0))</f>
        <v>Minuman</v>
      </c>
      <c r="I2375" s="2" t="str">
        <f aca="false">CHOOSE(WEEKDAY(B2375,2),"Senin","Selasa","Rabu","Kamis","Jumat","Sabtu","Minggu")</f>
        <v>Rabu</v>
      </c>
      <c r="J2375" s="2" t="n">
        <f aca="false">HOUR(E2375)</f>
        <v>18</v>
      </c>
      <c r="K2375" s="2" t="str">
        <f aca="false">IF(J2375&lt;11,"Pagi",IF(J2375&lt;17,"Siang","Malam"))</f>
        <v>Malam</v>
      </c>
      <c r="L2375" s="2" t="n">
        <f aca="false">IF(A2375&lt;&gt;A2374,1,0)</f>
        <v>0</v>
      </c>
    </row>
    <row r="2376" customFormat="false" ht="15" hidden="false" customHeight="false" outlineLevel="0" collapsed="false">
      <c r="A2376" s="2" t="s">
        <v>2160</v>
      </c>
      <c r="B2376" s="13" t="n">
        <v>46295</v>
      </c>
      <c r="C2376" s="2" t="s">
        <v>126</v>
      </c>
      <c r="D2376" s="2" t="n">
        <v>2</v>
      </c>
      <c r="E2376" s="15" t="n">
        <v>0.754861111111111</v>
      </c>
      <c r="F2376" s="7" t="n">
        <v>3000</v>
      </c>
      <c r="G2376" s="7" t="n">
        <f aca="false">D2376*F2376</f>
        <v>6000</v>
      </c>
      <c r="H2376" s="2" t="str">
        <f aca="false">INDEX(Daftar_Menu!$B$2:$B$13,MATCH(C2376,Daftar_Menu!$A$2:$A$13,0))</f>
        <v>Minuman</v>
      </c>
      <c r="I2376" s="2" t="str">
        <f aca="false">CHOOSE(WEEKDAY(B2376,2),"Senin","Selasa","Rabu","Kamis","Jumat","Sabtu","Minggu")</f>
        <v>Rabu</v>
      </c>
      <c r="J2376" s="2" t="n">
        <f aca="false">HOUR(E2376)</f>
        <v>18</v>
      </c>
      <c r="K2376" s="2" t="str">
        <f aca="false">IF(J2376&lt;11,"Pagi",IF(J2376&lt;17,"Siang","Malam"))</f>
        <v>Malam</v>
      </c>
      <c r="L2376" s="2" t="n">
        <f aca="false">IF(A2376&lt;&gt;A2375,1,0)</f>
        <v>1</v>
      </c>
    </row>
    <row r="2377" customFormat="false" ht="15" hidden="false" customHeight="false" outlineLevel="0" collapsed="false">
      <c r="A2377" s="2" t="s">
        <v>2161</v>
      </c>
      <c r="B2377" s="13" t="n">
        <v>46295</v>
      </c>
      <c r="C2377" s="2" t="s">
        <v>108</v>
      </c>
      <c r="D2377" s="2" t="n">
        <v>2</v>
      </c>
      <c r="E2377" s="15" t="n">
        <v>0.75625</v>
      </c>
      <c r="F2377" s="7" t="n">
        <v>20000</v>
      </c>
      <c r="G2377" s="7" t="n">
        <f aca="false">D2377*F2377</f>
        <v>40000</v>
      </c>
      <c r="H2377" s="2" t="str">
        <f aca="false">INDEX(Daftar_Menu!$B$2:$B$13,MATCH(C2377,Daftar_Menu!$A$2:$A$13,0))</f>
        <v>Makanan</v>
      </c>
      <c r="I2377" s="2" t="str">
        <f aca="false">CHOOSE(WEEKDAY(B2377,2),"Senin","Selasa","Rabu","Kamis","Jumat","Sabtu","Minggu")</f>
        <v>Rabu</v>
      </c>
      <c r="J2377" s="2" t="n">
        <f aca="false">HOUR(E2377)</f>
        <v>18</v>
      </c>
      <c r="K2377" s="2" t="str">
        <f aca="false">IF(J2377&lt;11,"Pagi",IF(J2377&lt;17,"Siang","Malam"))</f>
        <v>Malam</v>
      </c>
      <c r="L2377" s="2" t="n">
        <f aca="false">IF(A2377&lt;&gt;A2376,1,0)</f>
        <v>1</v>
      </c>
    </row>
    <row r="2378" customFormat="false" ht="15" hidden="false" customHeight="false" outlineLevel="0" collapsed="false">
      <c r="A2378" s="2" t="s">
        <v>2162</v>
      </c>
      <c r="B2378" s="13" t="n">
        <v>46295</v>
      </c>
      <c r="C2378" s="2" t="s">
        <v>79</v>
      </c>
      <c r="D2378" s="2" t="n">
        <v>2</v>
      </c>
      <c r="E2378" s="15" t="n">
        <v>0.758333333333333</v>
      </c>
      <c r="F2378" s="7" t="n">
        <v>16000</v>
      </c>
      <c r="G2378" s="7" t="n">
        <f aca="false">D2378*F2378</f>
        <v>32000</v>
      </c>
      <c r="H2378" s="2" t="str">
        <f aca="false">INDEX(Daftar_Menu!$B$2:$B$13,MATCH(C2378,Daftar_Menu!$A$2:$A$13,0))</f>
        <v>Makanan</v>
      </c>
      <c r="I2378" s="2" t="str">
        <f aca="false">CHOOSE(WEEKDAY(B2378,2),"Senin","Selasa","Rabu","Kamis","Jumat","Sabtu","Minggu")</f>
        <v>Rabu</v>
      </c>
      <c r="J2378" s="2" t="n">
        <f aca="false">HOUR(E2378)</f>
        <v>18</v>
      </c>
      <c r="K2378" s="2" t="str">
        <f aca="false">IF(J2378&lt;11,"Pagi",IF(J2378&lt;17,"Siang","Malam"))</f>
        <v>Malam</v>
      </c>
      <c r="L2378" s="2" t="n">
        <f aca="false">IF(A2378&lt;&gt;A2377,1,0)</f>
        <v>1</v>
      </c>
    </row>
    <row r="2379" customFormat="false" ht="15" hidden="false" customHeight="false" outlineLevel="0" collapsed="false">
      <c r="A2379" s="2" t="s">
        <v>2162</v>
      </c>
      <c r="B2379" s="13" t="n">
        <v>46295</v>
      </c>
      <c r="C2379" s="2" t="s">
        <v>101</v>
      </c>
      <c r="D2379" s="2" t="n">
        <v>1</v>
      </c>
      <c r="E2379" s="15" t="n">
        <v>0.758333333333333</v>
      </c>
      <c r="F2379" s="7" t="n">
        <v>18000</v>
      </c>
      <c r="G2379" s="7" t="n">
        <f aca="false">D2379*F2379</f>
        <v>18000</v>
      </c>
      <c r="H2379" s="2" t="str">
        <f aca="false">INDEX(Daftar_Menu!$B$2:$B$13,MATCH(C2379,Daftar_Menu!$A$2:$A$13,0))</f>
        <v>Makanan</v>
      </c>
      <c r="I2379" s="2" t="str">
        <f aca="false">CHOOSE(WEEKDAY(B2379,2),"Senin","Selasa","Rabu","Kamis","Jumat","Sabtu","Minggu")</f>
        <v>Rabu</v>
      </c>
      <c r="J2379" s="2" t="n">
        <f aca="false">HOUR(E2379)</f>
        <v>18</v>
      </c>
      <c r="K2379" s="2" t="str">
        <f aca="false">IF(J2379&lt;11,"Pagi",IF(J2379&lt;17,"Siang","Malam"))</f>
        <v>Malam</v>
      </c>
      <c r="L2379" s="2" t="n">
        <f aca="false">IF(A2379&lt;&gt;A2378,1,0)</f>
        <v>0</v>
      </c>
    </row>
    <row r="2380" customFormat="false" ht="15" hidden="false" customHeight="false" outlineLevel="0" collapsed="false">
      <c r="A2380" s="2" t="s">
        <v>2163</v>
      </c>
      <c r="B2380" s="13" t="n">
        <v>46295</v>
      </c>
      <c r="C2380" s="2" t="s">
        <v>92</v>
      </c>
      <c r="D2380" s="2" t="n">
        <v>1</v>
      </c>
      <c r="E2380" s="15" t="n">
        <v>0.759027777777778</v>
      </c>
      <c r="F2380" s="7" t="n">
        <v>4000</v>
      </c>
      <c r="G2380" s="7" t="n">
        <f aca="false">D2380*F2380</f>
        <v>4000</v>
      </c>
      <c r="H2380" s="2" t="str">
        <f aca="false">INDEX(Daftar_Menu!$B$2:$B$13,MATCH(C2380,Daftar_Menu!$A$2:$A$13,0))</f>
        <v>Minuman</v>
      </c>
      <c r="I2380" s="2" t="str">
        <f aca="false">CHOOSE(WEEKDAY(B2380,2),"Senin","Selasa","Rabu","Kamis","Jumat","Sabtu","Minggu")</f>
        <v>Rabu</v>
      </c>
      <c r="J2380" s="2" t="n">
        <f aca="false">HOUR(E2380)</f>
        <v>18</v>
      </c>
      <c r="K2380" s="2" t="str">
        <f aca="false">IF(J2380&lt;11,"Pagi",IF(J2380&lt;17,"Siang","Malam"))</f>
        <v>Malam</v>
      </c>
      <c r="L2380" s="2" t="n">
        <f aca="false">IF(A2380&lt;&gt;A2379,1,0)</f>
        <v>1</v>
      </c>
    </row>
    <row r="2381" customFormat="false" ht="15" hidden="false" customHeight="false" outlineLevel="0" collapsed="false">
      <c r="A2381" s="2" t="s">
        <v>2163</v>
      </c>
      <c r="B2381" s="13" t="n">
        <v>46295</v>
      </c>
      <c r="C2381" s="2" t="s">
        <v>81</v>
      </c>
      <c r="D2381" s="2" t="n">
        <v>1</v>
      </c>
      <c r="E2381" s="15" t="n">
        <v>0.759027777777778</v>
      </c>
      <c r="F2381" s="7" t="n">
        <v>15000</v>
      </c>
      <c r="G2381" s="7" t="n">
        <f aca="false">D2381*F2381</f>
        <v>15000</v>
      </c>
      <c r="H2381" s="2" t="str">
        <f aca="false">INDEX(Daftar_Menu!$B$2:$B$13,MATCH(C2381,Daftar_Menu!$A$2:$A$13,0))</f>
        <v>Makanan</v>
      </c>
      <c r="I2381" s="2" t="str">
        <f aca="false">CHOOSE(WEEKDAY(B2381,2),"Senin","Selasa","Rabu","Kamis","Jumat","Sabtu","Minggu")</f>
        <v>Rabu</v>
      </c>
      <c r="J2381" s="2" t="n">
        <f aca="false">HOUR(E2381)</f>
        <v>18</v>
      </c>
      <c r="K2381" s="2" t="str">
        <f aca="false">IF(J2381&lt;11,"Pagi",IF(J2381&lt;17,"Siang","Malam"))</f>
        <v>Malam</v>
      </c>
      <c r="L2381" s="2" t="n">
        <f aca="false">IF(A2381&lt;&gt;A2380,1,0)</f>
        <v>0</v>
      </c>
    </row>
    <row r="2382" customFormat="false" ht="15" hidden="false" customHeight="false" outlineLevel="0" collapsed="false">
      <c r="A2382" s="2" t="s">
        <v>2163</v>
      </c>
      <c r="B2382" s="13" t="n">
        <v>46295</v>
      </c>
      <c r="C2382" s="2" t="s">
        <v>101</v>
      </c>
      <c r="D2382" s="2" t="n">
        <v>1</v>
      </c>
      <c r="E2382" s="15" t="n">
        <v>0.759027777777778</v>
      </c>
      <c r="F2382" s="7" t="n">
        <v>18000</v>
      </c>
      <c r="G2382" s="7" t="n">
        <f aca="false">D2382*F2382</f>
        <v>18000</v>
      </c>
      <c r="H2382" s="2" t="str">
        <f aca="false">INDEX(Daftar_Menu!$B$2:$B$13,MATCH(C2382,Daftar_Menu!$A$2:$A$13,0))</f>
        <v>Makanan</v>
      </c>
      <c r="I2382" s="2" t="str">
        <f aca="false">CHOOSE(WEEKDAY(B2382,2),"Senin","Selasa","Rabu","Kamis","Jumat","Sabtu","Minggu")</f>
        <v>Rabu</v>
      </c>
      <c r="J2382" s="2" t="n">
        <f aca="false">HOUR(E2382)</f>
        <v>18</v>
      </c>
      <c r="K2382" s="2" t="str">
        <f aca="false">IF(J2382&lt;11,"Pagi",IF(J2382&lt;17,"Siang","Malam"))</f>
        <v>Malam</v>
      </c>
      <c r="L2382" s="2" t="n">
        <f aca="false">IF(A2382&lt;&gt;A2381,1,0)</f>
        <v>0</v>
      </c>
    </row>
    <row r="2383" customFormat="false" ht="15" hidden="false" customHeight="false" outlineLevel="0" collapsed="false">
      <c r="A2383" s="2" t="s">
        <v>2164</v>
      </c>
      <c r="B2383" s="13" t="n">
        <v>46295</v>
      </c>
      <c r="C2383" s="2" t="s">
        <v>82</v>
      </c>
      <c r="D2383" s="2" t="n">
        <v>1</v>
      </c>
      <c r="E2383" s="15" t="n">
        <v>0.7625</v>
      </c>
      <c r="F2383" s="7" t="n">
        <v>13000</v>
      </c>
      <c r="G2383" s="7" t="n">
        <f aca="false">D2383*F2383</f>
        <v>13000</v>
      </c>
      <c r="H2383" s="2" t="str">
        <f aca="false">INDEX(Daftar_Menu!$B$2:$B$13,MATCH(C2383,Daftar_Menu!$A$2:$A$13,0))</f>
        <v>Makanan</v>
      </c>
      <c r="I2383" s="2" t="str">
        <f aca="false">CHOOSE(WEEKDAY(B2383,2),"Senin","Selasa","Rabu","Kamis","Jumat","Sabtu","Minggu")</f>
        <v>Rabu</v>
      </c>
      <c r="J2383" s="2" t="n">
        <f aca="false">HOUR(E2383)</f>
        <v>18</v>
      </c>
      <c r="K2383" s="2" t="str">
        <f aca="false">IF(J2383&lt;11,"Pagi",IF(J2383&lt;17,"Siang","Malam"))</f>
        <v>Malam</v>
      </c>
      <c r="L2383" s="2" t="n">
        <f aca="false">IF(A2383&lt;&gt;A2382,1,0)</f>
        <v>1</v>
      </c>
    </row>
    <row r="2384" customFormat="false" ht="15" hidden="false" customHeight="false" outlineLevel="0" collapsed="false">
      <c r="A2384" s="2" t="s">
        <v>2164</v>
      </c>
      <c r="B2384" s="13" t="n">
        <v>46295</v>
      </c>
      <c r="C2384" s="2" t="s">
        <v>79</v>
      </c>
      <c r="D2384" s="2" t="n">
        <v>1</v>
      </c>
      <c r="E2384" s="15" t="n">
        <v>0.7625</v>
      </c>
      <c r="F2384" s="7" t="n">
        <v>16000</v>
      </c>
      <c r="G2384" s="7" t="n">
        <f aca="false">D2384*F2384</f>
        <v>16000</v>
      </c>
      <c r="H2384" s="2" t="str">
        <f aca="false">INDEX(Daftar_Menu!$B$2:$B$13,MATCH(C2384,Daftar_Menu!$A$2:$A$13,0))</f>
        <v>Makanan</v>
      </c>
      <c r="I2384" s="2" t="str">
        <f aca="false">CHOOSE(WEEKDAY(B2384,2),"Senin","Selasa","Rabu","Kamis","Jumat","Sabtu","Minggu")</f>
        <v>Rabu</v>
      </c>
      <c r="J2384" s="2" t="n">
        <f aca="false">HOUR(E2384)</f>
        <v>18</v>
      </c>
      <c r="K2384" s="2" t="str">
        <f aca="false">IF(J2384&lt;11,"Pagi",IF(J2384&lt;17,"Siang","Malam"))</f>
        <v>Malam</v>
      </c>
      <c r="L2384" s="2" t="n">
        <f aca="false">IF(A2384&lt;&gt;A2383,1,0)</f>
        <v>0</v>
      </c>
    </row>
    <row r="2385" customFormat="false" ht="15" hidden="false" customHeight="false" outlineLevel="0" collapsed="false">
      <c r="A2385" s="2" t="s">
        <v>2164</v>
      </c>
      <c r="B2385" s="13" t="n">
        <v>46295</v>
      </c>
      <c r="C2385" s="2" t="s">
        <v>84</v>
      </c>
      <c r="D2385" s="2" t="n">
        <v>1</v>
      </c>
      <c r="E2385" s="15" t="n">
        <v>0.7625</v>
      </c>
      <c r="F2385" s="7" t="n">
        <v>5000</v>
      </c>
      <c r="G2385" s="7" t="n">
        <f aca="false">D2385*F2385</f>
        <v>5000</v>
      </c>
      <c r="H2385" s="2" t="str">
        <f aca="false">INDEX(Daftar_Menu!$B$2:$B$13,MATCH(C2385,Daftar_Menu!$A$2:$A$13,0))</f>
        <v>Minuman</v>
      </c>
      <c r="I2385" s="2" t="str">
        <f aca="false">CHOOSE(WEEKDAY(B2385,2),"Senin","Selasa","Rabu","Kamis","Jumat","Sabtu","Minggu")</f>
        <v>Rabu</v>
      </c>
      <c r="J2385" s="2" t="n">
        <f aca="false">HOUR(E2385)</f>
        <v>18</v>
      </c>
      <c r="K2385" s="2" t="str">
        <f aca="false">IF(J2385&lt;11,"Pagi",IF(J2385&lt;17,"Siang","Malam"))</f>
        <v>Malam</v>
      </c>
      <c r="L2385" s="2" t="n">
        <f aca="false">IF(A2385&lt;&gt;A2384,1,0)</f>
        <v>0</v>
      </c>
    </row>
    <row r="2386" customFormat="false" ht="15" hidden="false" customHeight="false" outlineLevel="0" collapsed="false">
      <c r="A2386" s="2" t="s">
        <v>2165</v>
      </c>
      <c r="B2386" s="13" t="n">
        <v>46295</v>
      </c>
      <c r="C2386" s="2" t="s">
        <v>126</v>
      </c>
      <c r="D2386" s="2" t="n">
        <v>1</v>
      </c>
      <c r="E2386" s="15" t="n">
        <v>0.764583333333333</v>
      </c>
      <c r="F2386" s="7" t="n">
        <v>3000</v>
      </c>
      <c r="G2386" s="7" t="n">
        <f aca="false">D2386*F2386</f>
        <v>3000</v>
      </c>
      <c r="H2386" s="2" t="str">
        <f aca="false">INDEX(Daftar_Menu!$B$2:$B$13,MATCH(C2386,Daftar_Menu!$A$2:$A$13,0))</f>
        <v>Minuman</v>
      </c>
      <c r="I2386" s="2" t="str">
        <f aca="false">CHOOSE(WEEKDAY(B2386,2),"Senin","Selasa","Rabu","Kamis","Jumat","Sabtu","Minggu")</f>
        <v>Rabu</v>
      </c>
      <c r="J2386" s="2" t="n">
        <f aca="false">HOUR(E2386)</f>
        <v>18</v>
      </c>
      <c r="K2386" s="2" t="str">
        <f aca="false">IF(J2386&lt;11,"Pagi",IF(J2386&lt;17,"Siang","Malam"))</f>
        <v>Malam</v>
      </c>
      <c r="L2386" s="2" t="n">
        <f aca="false">IF(A2386&lt;&gt;A2385,1,0)</f>
        <v>1</v>
      </c>
    </row>
    <row r="2387" customFormat="false" ht="15" hidden="false" customHeight="false" outlineLevel="0" collapsed="false">
      <c r="A2387" s="2" t="s">
        <v>2165</v>
      </c>
      <c r="B2387" s="13" t="n">
        <v>46295</v>
      </c>
      <c r="C2387" s="2" t="s">
        <v>89</v>
      </c>
      <c r="D2387" s="2" t="n">
        <v>1</v>
      </c>
      <c r="E2387" s="15" t="n">
        <v>0.764583333333333</v>
      </c>
      <c r="F2387" s="7" t="n">
        <v>14000</v>
      </c>
      <c r="G2387" s="7" t="n">
        <f aca="false">D2387*F2387</f>
        <v>14000</v>
      </c>
      <c r="H2387" s="2" t="str">
        <f aca="false">INDEX(Daftar_Menu!$B$2:$B$13,MATCH(C2387,Daftar_Menu!$A$2:$A$13,0))</f>
        <v>Makanan</v>
      </c>
      <c r="I2387" s="2" t="str">
        <f aca="false">CHOOSE(WEEKDAY(B2387,2),"Senin","Selasa","Rabu","Kamis","Jumat","Sabtu","Minggu")</f>
        <v>Rabu</v>
      </c>
      <c r="J2387" s="2" t="n">
        <f aca="false">HOUR(E2387)</f>
        <v>18</v>
      </c>
      <c r="K2387" s="2" t="str">
        <f aca="false">IF(J2387&lt;11,"Pagi",IF(J2387&lt;17,"Siang","Malam"))</f>
        <v>Malam</v>
      </c>
      <c r="L2387" s="2" t="n">
        <f aca="false">IF(A2387&lt;&gt;A2386,1,0)</f>
        <v>0</v>
      </c>
    </row>
    <row r="2388" customFormat="false" ht="15" hidden="false" customHeight="false" outlineLevel="0" collapsed="false">
      <c r="A2388" s="2" t="s">
        <v>2166</v>
      </c>
      <c r="B2388" s="13" t="n">
        <v>46295</v>
      </c>
      <c r="C2388" s="2" t="s">
        <v>92</v>
      </c>
      <c r="D2388" s="2" t="n">
        <v>2</v>
      </c>
      <c r="E2388" s="15" t="n">
        <v>0.797222222222222</v>
      </c>
      <c r="F2388" s="7" t="n">
        <v>4000</v>
      </c>
      <c r="G2388" s="7" t="n">
        <f aca="false">D2388*F2388</f>
        <v>8000</v>
      </c>
      <c r="H2388" s="2" t="str">
        <f aca="false">INDEX(Daftar_Menu!$B$2:$B$13,MATCH(C2388,Daftar_Menu!$A$2:$A$13,0))</f>
        <v>Minuman</v>
      </c>
      <c r="I2388" s="2" t="str">
        <f aca="false">CHOOSE(WEEKDAY(B2388,2),"Senin","Selasa","Rabu","Kamis","Jumat","Sabtu","Minggu")</f>
        <v>Rabu</v>
      </c>
      <c r="J2388" s="2" t="n">
        <f aca="false">HOUR(E2388)</f>
        <v>19</v>
      </c>
      <c r="K2388" s="2" t="str">
        <f aca="false">IF(J2388&lt;11,"Pagi",IF(J2388&lt;17,"Siang","Malam"))</f>
        <v>Malam</v>
      </c>
      <c r="L2388" s="2" t="n">
        <f aca="false">IF(A2388&lt;&gt;A2387,1,0)</f>
        <v>1</v>
      </c>
    </row>
    <row r="2389" customFormat="false" ht="15" hidden="false" customHeight="false" outlineLevel="0" collapsed="false">
      <c r="A2389" s="2" t="s">
        <v>2167</v>
      </c>
      <c r="B2389" s="13" t="n">
        <v>46295</v>
      </c>
      <c r="C2389" s="2" t="s">
        <v>89</v>
      </c>
      <c r="D2389" s="2" t="n">
        <v>1</v>
      </c>
      <c r="E2389" s="15" t="n">
        <v>0.804861111111111</v>
      </c>
      <c r="F2389" s="7" t="n">
        <v>14000</v>
      </c>
      <c r="G2389" s="7" t="n">
        <f aca="false">D2389*F2389</f>
        <v>14000</v>
      </c>
      <c r="H2389" s="2" t="str">
        <f aca="false">INDEX(Daftar_Menu!$B$2:$B$13,MATCH(C2389,Daftar_Menu!$A$2:$A$13,0))</f>
        <v>Makanan</v>
      </c>
      <c r="I2389" s="2" t="str">
        <f aca="false">CHOOSE(WEEKDAY(B2389,2),"Senin","Selasa","Rabu","Kamis","Jumat","Sabtu","Minggu")</f>
        <v>Rabu</v>
      </c>
      <c r="J2389" s="2" t="n">
        <f aca="false">HOUR(E2389)</f>
        <v>19</v>
      </c>
      <c r="K2389" s="2" t="str">
        <f aca="false">IF(J2389&lt;11,"Pagi",IF(J2389&lt;17,"Siang","Malam"))</f>
        <v>Malam</v>
      </c>
      <c r="L2389" s="2" t="n">
        <f aca="false">IF(A2389&lt;&gt;A2388,1,0)</f>
        <v>1</v>
      </c>
    </row>
    <row r="2390" customFormat="false" ht="15" hidden="false" customHeight="false" outlineLevel="0" collapsed="false">
      <c r="A2390" s="2" t="s">
        <v>2167</v>
      </c>
      <c r="B2390" s="13" t="n">
        <v>46295</v>
      </c>
      <c r="C2390" s="2" t="s">
        <v>132</v>
      </c>
      <c r="D2390" s="2" t="n">
        <v>2</v>
      </c>
      <c r="E2390" s="15" t="n">
        <v>0.804861111111111</v>
      </c>
      <c r="F2390" s="7" t="n">
        <v>15000</v>
      </c>
      <c r="G2390" s="7" t="n">
        <f aca="false">D2390*F2390</f>
        <v>30000</v>
      </c>
      <c r="H2390" s="2" t="str">
        <f aca="false">INDEX(Daftar_Menu!$B$2:$B$13,MATCH(C2390,Daftar_Menu!$A$2:$A$13,0))</f>
        <v>Makanan</v>
      </c>
      <c r="I2390" s="2" t="str">
        <f aca="false">CHOOSE(WEEKDAY(B2390,2),"Senin","Selasa","Rabu","Kamis","Jumat","Sabtu","Minggu")</f>
        <v>Rabu</v>
      </c>
      <c r="J2390" s="2" t="n">
        <f aca="false">HOUR(E2390)</f>
        <v>19</v>
      </c>
      <c r="K2390" s="2" t="str">
        <f aca="false">IF(J2390&lt;11,"Pagi",IF(J2390&lt;17,"Siang","Malam"))</f>
        <v>Malam</v>
      </c>
      <c r="L2390" s="2" t="n">
        <f aca="false">IF(A2390&lt;&gt;A2389,1,0)</f>
        <v>0</v>
      </c>
    </row>
    <row r="2391" customFormat="false" ht="15" hidden="false" customHeight="false" outlineLevel="0" collapsed="false">
      <c r="A2391" s="2" t="s">
        <v>2167</v>
      </c>
      <c r="B2391" s="13" t="n">
        <v>46295</v>
      </c>
      <c r="C2391" s="2" t="s">
        <v>186</v>
      </c>
      <c r="D2391" s="2" t="n">
        <v>2</v>
      </c>
      <c r="E2391" s="15" t="n">
        <v>0.804861111111111</v>
      </c>
      <c r="F2391" s="7" t="n">
        <v>7000</v>
      </c>
      <c r="G2391" s="7" t="n">
        <f aca="false">D2391*F2391</f>
        <v>14000</v>
      </c>
      <c r="H2391" s="2" t="str">
        <f aca="false">INDEX(Daftar_Menu!$B$2:$B$13,MATCH(C2391,Daftar_Menu!$A$2:$A$13,0))</f>
        <v>Minuman</v>
      </c>
      <c r="I2391" s="2" t="str">
        <f aca="false">CHOOSE(WEEKDAY(B2391,2),"Senin","Selasa","Rabu","Kamis","Jumat","Sabtu","Minggu")</f>
        <v>Rabu</v>
      </c>
      <c r="J2391" s="2" t="n">
        <f aca="false">HOUR(E2391)</f>
        <v>19</v>
      </c>
      <c r="K2391" s="2" t="str">
        <f aca="false">IF(J2391&lt;11,"Pagi",IF(J2391&lt;17,"Siang","Malam"))</f>
        <v>Malam</v>
      </c>
      <c r="L2391" s="2" t="n">
        <f aca="false">IF(A2391&lt;&gt;A2390,1,0)</f>
        <v>0</v>
      </c>
    </row>
    <row r="2392" customFormat="false" ht="15" hidden="false" customHeight="false" outlineLevel="0" collapsed="false">
      <c r="A2392" s="2" t="s">
        <v>2168</v>
      </c>
      <c r="B2392" s="13" t="n">
        <v>46295</v>
      </c>
      <c r="C2392" s="2" t="s">
        <v>92</v>
      </c>
      <c r="D2392" s="2" t="n">
        <v>2</v>
      </c>
      <c r="E2392" s="15" t="n">
        <v>0.814583333333333</v>
      </c>
      <c r="F2392" s="7" t="n">
        <v>4000</v>
      </c>
      <c r="G2392" s="7" t="n">
        <f aca="false">D2392*F2392</f>
        <v>8000</v>
      </c>
      <c r="H2392" s="2" t="str">
        <f aca="false">INDEX(Daftar_Menu!$B$2:$B$13,MATCH(C2392,Daftar_Menu!$A$2:$A$13,0))</f>
        <v>Minuman</v>
      </c>
      <c r="I2392" s="2" t="str">
        <f aca="false">CHOOSE(WEEKDAY(B2392,2),"Senin","Selasa","Rabu","Kamis","Jumat","Sabtu","Minggu")</f>
        <v>Rabu</v>
      </c>
      <c r="J2392" s="2" t="n">
        <f aca="false">HOUR(E2392)</f>
        <v>19</v>
      </c>
      <c r="K2392" s="2" t="str">
        <f aca="false">IF(J2392&lt;11,"Pagi",IF(J2392&lt;17,"Siang","Malam"))</f>
        <v>Malam</v>
      </c>
      <c r="L2392" s="2" t="n">
        <f aca="false">IF(A2392&lt;&gt;A2391,1,0)</f>
        <v>1</v>
      </c>
    </row>
    <row r="2393" customFormat="false" ht="15" hidden="false" customHeight="false" outlineLevel="0" collapsed="false">
      <c r="A2393" s="2" t="s">
        <v>2168</v>
      </c>
      <c r="B2393" s="13" t="n">
        <v>46295</v>
      </c>
      <c r="C2393" s="2" t="s">
        <v>101</v>
      </c>
      <c r="D2393" s="2" t="n">
        <v>1</v>
      </c>
      <c r="E2393" s="15" t="n">
        <v>0.814583333333333</v>
      </c>
      <c r="F2393" s="7" t="n">
        <v>18000</v>
      </c>
      <c r="G2393" s="7" t="n">
        <f aca="false">D2393*F2393</f>
        <v>18000</v>
      </c>
      <c r="H2393" s="2" t="str">
        <f aca="false">INDEX(Daftar_Menu!$B$2:$B$13,MATCH(C2393,Daftar_Menu!$A$2:$A$13,0))</f>
        <v>Makanan</v>
      </c>
      <c r="I2393" s="2" t="str">
        <f aca="false">CHOOSE(WEEKDAY(B2393,2),"Senin","Selasa","Rabu","Kamis","Jumat","Sabtu","Minggu")</f>
        <v>Rabu</v>
      </c>
      <c r="J2393" s="2" t="n">
        <f aca="false">HOUR(E2393)</f>
        <v>19</v>
      </c>
      <c r="K2393" s="2" t="str">
        <f aca="false">IF(J2393&lt;11,"Pagi",IF(J2393&lt;17,"Siang","Malam"))</f>
        <v>Malam</v>
      </c>
      <c r="L2393" s="2" t="n">
        <f aca="false">IF(A2393&lt;&gt;A2392,1,0)</f>
        <v>0</v>
      </c>
    </row>
    <row r="2394" customFormat="false" ht="15" hidden="false" customHeight="false" outlineLevel="0" collapsed="false">
      <c r="A2394" s="2" t="s">
        <v>2168</v>
      </c>
      <c r="B2394" s="13" t="n">
        <v>46295</v>
      </c>
      <c r="C2394" s="2" t="s">
        <v>81</v>
      </c>
      <c r="D2394" s="2" t="n">
        <v>1</v>
      </c>
      <c r="E2394" s="15" t="n">
        <v>0.814583333333333</v>
      </c>
      <c r="F2394" s="7" t="n">
        <v>15000</v>
      </c>
      <c r="G2394" s="7" t="n">
        <f aca="false">D2394*F2394</f>
        <v>15000</v>
      </c>
      <c r="H2394" s="2" t="str">
        <f aca="false">INDEX(Daftar_Menu!$B$2:$B$13,MATCH(C2394,Daftar_Menu!$A$2:$A$13,0))</f>
        <v>Makanan</v>
      </c>
      <c r="I2394" s="2" t="str">
        <f aca="false">CHOOSE(WEEKDAY(B2394,2),"Senin","Selasa","Rabu","Kamis","Jumat","Sabtu","Minggu")</f>
        <v>Rabu</v>
      </c>
      <c r="J2394" s="2" t="n">
        <f aca="false">HOUR(E2394)</f>
        <v>19</v>
      </c>
      <c r="K2394" s="2" t="str">
        <f aca="false">IF(J2394&lt;11,"Pagi",IF(J2394&lt;17,"Siang","Malam"))</f>
        <v>Malam</v>
      </c>
      <c r="L2394" s="2" t="n">
        <f aca="false">IF(A2394&lt;&gt;A2393,1,0)</f>
        <v>0</v>
      </c>
    </row>
    <row r="2395" customFormat="false" ht="15" hidden="false" customHeight="false" outlineLevel="0" collapsed="false">
      <c r="A2395" s="2" t="s">
        <v>2169</v>
      </c>
      <c r="B2395" s="13" t="n">
        <v>46295</v>
      </c>
      <c r="C2395" s="2" t="s">
        <v>84</v>
      </c>
      <c r="D2395" s="2" t="n">
        <v>1</v>
      </c>
      <c r="E2395" s="15" t="n">
        <v>0.817361111111111</v>
      </c>
      <c r="F2395" s="7" t="n">
        <v>5000</v>
      </c>
      <c r="G2395" s="7" t="n">
        <f aca="false">D2395*F2395</f>
        <v>5000</v>
      </c>
      <c r="H2395" s="2" t="str">
        <f aca="false">INDEX(Daftar_Menu!$B$2:$B$13,MATCH(C2395,Daftar_Menu!$A$2:$A$13,0))</f>
        <v>Minuman</v>
      </c>
      <c r="I2395" s="2" t="str">
        <f aca="false">CHOOSE(WEEKDAY(B2395,2),"Senin","Selasa","Rabu","Kamis","Jumat","Sabtu","Minggu")</f>
        <v>Rabu</v>
      </c>
      <c r="J2395" s="2" t="n">
        <f aca="false">HOUR(E2395)</f>
        <v>19</v>
      </c>
      <c r="K2395" s="2" t="str">
        <f aca="false">IF(J2395&lt;11,"Pagi",IF(J2395&lt;17,"Siang","Malam"))</f>
        <v>Malam</v>
      </c>
      <c r="L2395" s="2" t="n">
        <f aca="false">IF(A2395&lt;&gt;A2394,1,0)</f>
        <v>1</v>
      </c>
    </row>
    <row r="2396" customFormat="false" ht="15" hidden="false" customHeight="false" outlineLevel="0" collapsed="false">
      <c r="A2396" s="2" t="s">
        <v>2170</v>
      </c>
      <c r="B2396" s="13" t="n">
        <v>46295</v>
      </c>
      <c r="C2396" s="2" t="s">
        <v>112</v>
      </c>
      <c r="D2396" s="2" t="n">
        <v>2</v>
      </c>
      <c r="E2396" s="15" t="n">
        <v>0.81875</v>
      </c>
      <c r="F2396" s="7" t="n">
        <v>10000</v>
      </c>
      <c r="G2396" s="7" t="n">
        <f aca="false">D2396*F2396</f>
        <v>20000</v>
      </c>
      <c r="H2396" s="2" t="str">
        <f aca="false">INDEX(Daftar_Menu!$B$2:$B$13,MATCH(C2396,Daftar_Menu!$A$2:$A$13,0))</f>
        <v>Minuman</v>
      </c>
      <c r="I2396" s="2" t="str">
        <f aca="false">CHOOSE(WEEKDAY(B2396,2),"Senin","Selasa","Rabu","Kamis","Jumat","Sabtu","Minggu")</f>
        <v>Rabu</v>
      </c>
      <c r="J2396" s="2" t="n">
        <f aca="false">HOUR(E2396)</f>
        <v>19</v>
      </c>
      <c r="K2396" s="2" t="str">
        <f aca="false">IF(J2396&lt;11,"Pagi",IF(J2396&lt;17,"Siang","Malam"))</f>
        <v>Malam</v>
      </c>
      <c r="L2396" s="2" t="n">
        <f aca="false">IF(A2396&lt;&gt;A2395,1,0)</f>
        <v>1</v>
      </c>
    </row>
    <row r="2397" customFormat="false" ht="15" hidden="false" customHeight="false" outlineLevel="0" collapsed="false">
      <c r="A2397" s="2" t="s">
        <v>2171</v>
      </c>
      <c r="B2397" s="13" t="n">
        <v>46295</v>
      </c>
      <c r="C2397" s="2" t="s">
        <v>81</v>
      </c>
      <c r="D2397" s="2" t="n">
        <v>1</v>
      </c>
      <c r="E2397" s="15" t="n">
        <v>0.823611111111111</v>
      </c>
      <c r="F2397" s="7" t="n">
        <v>15000</v>
      </c>
      <c r="G2397" s="7" t="n">
        <f aca="false">D2397*F2397</f>
        <v>15000</v>
      </c>
      <c r="H2397" s="2" t="str">
        <f aca="false">INDEX(Daftar_Menu!$B$2:$B$13,MATCH(C2397,Daftar_Menu!$A$2:$A$13,0))</f>
        <v>Makanan</v>
      </c>
      <c r="I2397" s="2" t="str">
        <f aca="false">CHOOSE(WEEKDAY(B2397,2),"Senin","Selasa","Rabu","Kamis","Jumat","Sabtu","Minggu")</f>
        <v>Rabu</v>
      </c>
      <c r="J2397" s="2" t="n">
        <f aca="false">HOUR(E2397)</f>
        <v>19</v>
      </c>
      <c r="K2397" s="2" t="str">
        <f aca="false">IF(J2397&lt;11,"Pagi",IF(J2397&lt;17,"Siang","Malam"))</f>
        <v>Malam</v>
      </c>
      <c r="L2397" s="2" t="n">
        <f aca="false">IF(A2397&lt;&gt;A2396,1,0)</f>
        <v>1</v>
      </c>
    </row>
    <row r="2398" customFormat="false" ht="15" hidden="false" customHeight="false" outlineLevel="0" collapsed="false">
      <c r="A2398" s="2" t="s">
        <v>2171</v>
      </c>
      <c r="B2398" s="13" t="n">
        <v>46295</v>
      </c>
      <c r="C2398" s="2" t="s">
        <v>84</v>
      </c>
      <c r="D2398" s="2" t="n">
        <v>1</v>
      </c>
      <c r="E2398" s="15" t="n">
        <v>0.823611111111111</v>
      </c>
      <c r="F2398" s="7" t="n">
        <v>5000</v>
      </c>
      <c r="G2398" s="7" t="n">
        <f aca="false">D2398*F2398</f>
        <v>5000</v>
      </c>
      <c r="H2398" s="2" t="str">
        <f aca="false">INDEX(Daftar_Menu!$B$2:$B$13,MATCH(C2398,Daftar_Menu!$A$2:$A$13,0))</f>
        <v>Minuman</v>
      </c>
      <c r="I2398" s="2" t="str">
        <f aca="false">CHOOSE(WEEKDAY(B2398,2),"Senin","Selasa","Rabu","Kamis","Jumat","Sabtu","Minggu")</f>
        <v>Rabu</v>
      </c>
      <c r="J2398" s="2" t="n">
        <f aca="false">HOUR(E2398)</f>
        <v>19</v>
      </c>
      <c r="K2398" s="2" t="str">
        <f aca="false">IF(J2398&lt;11,"Pagi",IF(J2398&lt;17,"Siang","Malam"))</f>
        <v>Malam</v>
      </c>
      <c r="L2398" s="2" t="n">
        <f aca="false">IF(A2398&lt;&gt;A2397,1,0)</f>
        <v>0</v>
      </c>
    </row>
  </sheetData>
  <autoFilter ref="A1:L239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5" min="4" style="0" width="22"/>
    <col collapsed="false" customWidth="true" hidden="false" outlineLevel="0" max="6" min="6" style="0" width="16"/>
    <col collapsed="false" customWidth="true" hidden="false" outlineLevel="0" max="7" min="7" style="0" width="20"/>
  </cols>
  <sheetData>
    <row r="1" customFormat="false" ht="23.85" hidden="false" customHeight="false" outlineLevel="0" collapsed="false">
      <c r="A1" s="12" t="s">
        <v>41</v>
      </c>
      <c r="B1" s="12" t="s">
        <v>54</v>
      </c>
      <c r="C1" s="12" t="s">
        <v>2249</v>
      </c>
      <c r="D1" s="12" t="s">
        <v>2250</v>
      </c>
      <c r="E1" s="12" t="s">
        <v>2251</v>
      </c>
      <c r="F1" s="12" t="s">
        <v>2252</v>
      </c>
      <c r="G1" s="12" t="s">
        <v>2253</v>
      </c>
    </row>
    <row r="2" customFormat="false" ht="15" hidden="false" customHeight="false" outlineLevel="0" collapsed="false">
      <c r="A2" s="10" t="str">
        <f aca="false">Daftar_Menu!A2</f>
        <v>Nasi Goreng</v>
      </c>
      <c r="B2" s="10" t="str">
        <f aca="false">Daftar_Menu!B2</f>
        <v>Makanan</v>
      </c>
      <c r="C2" s="16" t="n">
        <f aca="false">SUMIFS(Data_Bersih!$D$2:$D$2398,Data_Bersih!$C$2:$C$2398,A2)</f>
        <v>432</v>
      </c>
      <c r="D2" s="16" t="n">
        <f aca="false">SUMIFS(Data_Bersih!$G$2:$G$2398,Data_Bersih!$C$2:$C$2398,A2)</f>
        <v>6480000</v>
      </c>
      <c r="E2" s="17" t="n">
        <f aca="false">D2/$D$14</f>
        <v>0.168974419150434</v>
      </c>
      <c r="F2" s="10" t="n">
        <f aca="false">RANK(C2,$C$2:$C$13)</f>
        <v>2</v>
      </c>
      <c r="G2" s="10" t="n">
        <f aca="false">RANK(D2,$D$2:$D$13)</f>
        <v>2</v>
      </c>
    </row>
    <row r="3" customFormat="false" ht="15" hidden="false" customHeight="false" outlineLevel="0" collapsed="false">
      <c r="A3" s="10" t="str">
        <f aca="false">Daftar_Menu!A3</f>
        <v>Mie Goreng</v>
      </c>
      <c r="B3" s="10" t="str">
        <f aca="false">Daftar_Menu!B3</f>
        <v>Makanan</v>
      </c>
      <c r="C3" s="16" t="n">
        <f aca="false">SUMIFS(Data_Bersih!$D$2:$D$2398,Data_Bersih!$C$2:$C$2398,A3)</f>
        <v>278</v>
      </c>
      <c r="D3" s="16" t="n">
        <f aca="false">SUMIFS(Data_Bersih!$G$2:$G$2398,Data_Bersih!$C$2:$C$2398,A3)</f>
        <v>3892000</v>
      </c>
      <c r="E3" s="17" t="n">
        <f aca="false">D3/$D$14</f>
        <v>0.101488956687267</v>
      </c>
      <c r="F3" s="10" t="n">
        <f aca="false">RANK(C3,$C$2:$C$13)</f>
        <v>5</v>
      </c>
      <c r="G3" s="10" t="n">
        <f aca="false">RANK(D3,$D$2:$D$13)</f>
        <v>5</v>
      </c>
    </row>
    <row r="4" customFormat="false" ht="15" hidden="false" customHeight="false" outlineLevel="0" collapsed="false">
      <c r="A4" s="10" t="str">
        <f aca="false">Daftar_Menu!A4</f>
        <v>Ayam Geprek</v>
      </c>
      <c r="B4" s="10" t="str">
        <f aca="false">Daftar_Menu!B4</f>
        <v>Makanan</v>
      </c>
      <c r="C4" s="16" t="n">
        <f aca="false">SUMIFS(Data_Bersih!$D$2:$D$2398,Data_Bersih!$C$2:$C$2398,A4)</f>
        <v>371</v>
      </c>
      <c r="D4" s="16" t="n">
        <f aca="false">SUMIFS(Data_Bersih!$G$2:$G$2398,Data_Bersih!$C$2:$C$2398,A4)</f>
        <v>6678000</v>
      </c>
      <c r="E4" s="17" t="n">
        <f aca="false">D4/$D$14</f>
        <v>0.174137526402253</v>
      </c>
      <c r="F4" s="10" t="n">
        <f aca="false">RANK(C4,$C$2:$C$13)</f>
        <v>3</v>
      </c>
      <c r="G4" s="10" t="n">
        <f aca="false">RANK(D4,$D$2:$D$13)</f>
        <v>1</v>
      </c>
    </row>
    <row r="5" customFormat="false" ht="15" hidden="false" customHeight="false" outlineLevel="0" collapsed="false">
      <c r="A5" s="10" t="str">
        <f aca="false">Daftar_Menu!A5</f>
        <v>Nasi Ayam Bakar</v>
      </c>
      <c r="B5" s="10" t="str">
        <f aca="false">Daftar_Menu!B5</f>
        <v>Makanan</v>
      </c>
      <c r="C5" s="16" t="n">
        <f aca="false">SUMIFS(Data_Bersih!$D$2:$D$2398,Data_Bersih!$C$2:$C$2398,A5)</f>
        <v>219</v>
      </c>
      <c r="D5" s="16" t="n">
        <f aca="false">SUMIFS(Data_Bersih!$G$2:$G$2398,Data_Bersih!$C$2:$C$2398,A5)</f>
        <v>4380000</v>
      </c>
      <c r="E5" s="17" t="n">
        <f aca="false">D5/$D$14</f>
        <v>0.114214190722053</v>
      </c>
      <c r="F5" s="10" t="n">
        <f aca="false">RANK(C5,$C$2:$C$13)</f>
        <v>8</v>
      </c>
      <c r="G5" s="10" t="n">
        <f aca="false">RANK(D5,$D$2:$D$13)</f>
        <v>3</v>
      </c>
    </row>
    <row r="6" customFormat="false" ht="15" hidden="false" customHeight="false" outlineLevel="0" collapsed="false">
      <c r="A6" s="10" t="str">
        <f aca="false">Daftar_Menu!A6</f>
        <v>Soto Ayam</v>
      </c>
      <c r="B6" s="10" t="str">
        <f aca="false">Daftar_Menu!B6</f>
        <v>Makanan</v>
      </c>
      <c r="C6" s="16" t="n">
        <f aca="false">SUMIFS(Data_Bersih!$D$2:$D$2398,Data_Bersih!$C$2:$C$2398,A6)</f>
        <v>227</v>
      </c>
      <c r="D6" s="16" t="n">
        <f aca="false">SUMIFS(Data_Bersih!$G$2:$G$2398,Data_Bersih!$C$2:$C$2398,A6)</f>
        <v>3632000</v>
      </c>
      <c r="E6" s="17" t="n">
        <f aca="false">D6/$D$14</f>
        <v>0.0947091188818483</v>
      </c>
      <c r="F6" s="10" t="n">
        <f aca="false">RANK(C6,$C$2:$C$13)</f>
        <v>7</v>
      </c>
      <c r="G6" s="10" t="n">
        <f aca="false">RANK(D6,$D$2:$D$13)</f>
        <v>6</v>
      </c>
    </row>
    <row r="7" customFormat="false" ht="15" hidden="false" customHeight="false" outlineLevel="0" collapsed="false">
      <c r="A7" s="10" t="str">
        <f aca="false">Daftar_Menu!A7</f>
        <v>Bakso</v>
      </c>
      <c r="B7" s="10" t="str">
        <f aca="false">Daftar_Menu!B7</f>
        <v>Makanan</v>
      </c>
      <c r="C7" s="16" t="n">
        <f aca="false">SUMIFS(Data_Bersih!$D$2:$D$2398,Data_Bersih!$C$2:$C$2398,A7)</f>
        <v>280</v>
      </c>
      <c r="D7" s="16" t="n">
        <f aca="false">SUMIFS(Data_Bersih!$G$2:$G$2398,Data_Bersih!$C$2:$C$2398,A7)</f>
        <v>4200000</v>
      </c>
      <c r="E7" s="17" t="n">
        <f aca="false">D7/$D$14</f>
        <v>0.109520456856763</v>
      </c>
      <c r="F7" s="10" t="n">
        <f aca="false">RANK(C7,$C$2:$C$13)</f>
        <v>4</v>
      </c>
      <c r="G7" s="10" t="n">
        <f aca="false">RANK(D7,$D$2:$D$13)</f>
        <v>4</v>
      </c>
    </row>
    <row r="8" customFormat="false" ht="15" hidden="false" customHeight="false" outlineLevel="0" collapsed="false">
      <c r="A8" s="10" t="str">
        <f aca="false">Daftar_Menu!A8</f>
        <v>Nasi Uduk</v>
      </c>
      <c r="B8" s="10" t="str">
        <f aca="false">Daftar_Menu!B8</f>
        <v>Makanan</v>
      </c>
      <c r="C8" s="16" t="n">
        <f aca="false">SUMIFS(Data_Bersih!$D$2:$D$2398,Data_Bersih!$C$2:$C$2398,A8)</f>
        <v>115</v>
      </c>
      <c r="D8" s="16" t="n">
        <f aca="false">SUMIFS(Data_Bersih!$G$2:$G$2398,Data_Bersih!$C$2:$C$2398,A8)</f>
        <v>1495000</v>
      </c>
      <c r="E8" s="17" t="n">
        <f aca="false">D8/$D$14</f>
        <v>0.0389840673811573</v>
      </c>
      <c r="F8" s="10" t="n">
        <f aca="false">RANK(C8,$C$2:$C$13)</f>
        <v>11</v>
      </c>
      <c r="G8" s="10" t="n">
        <f aca="false">RANK(D8,$D$2:$D$13)</f>
        <v>10</v>
      </c>
    </row>
    <row r="9" customFormat="false" ht="15" hidden="false" customHeight="false" outlineLevel="0" collapsed="false">
      <c r="A9" s="10" t="str">
        <f aca="false">Daftar_Menu!A9</f>
        <v>Es Teh Manis</v>
      </c>
      <c r="B9" s="10" t="str">
        <f aca="false">Daftar_Menu!B9</f>
        <v>Minuman</v>
      </c>
      <c r="C9" s="16" t="n">
        <f aca="false">SUMIFS(Data_Bersih!$D$2:$D$2398,Data_Bersih!$C$2:$C$2398,A9)</f>
        <v>543</v>
      </c>
      <c r="D9" s="16" t="n">
        <f aca="false">SUMIFS(Data_Bersih!$G$2:$G$2398,Data_Bersih!$C$2:$C$2398,A9)</f>
        <v>2715000</v>
      </c>
      <c r="E9" s="17" t="n">
        <f aca="false">D9/$D$14</f>
        <v>0.0707971524681217</v>
      </c>
      <c r="F9" s="10" t="n">
        <f aca="false">RANK(C9,$C$2:$C$13)</f>
        <v>1</v>
      </c>
      <c r="G9" s="10" t="n">
        <f aca="false">RANK(D9,$D$2:$D$13)</f>
        <v>7</v>
      </c>
    </row>
    <row r="10" customFormat="false" ht="15" hidden="false" customHeight="false" outlineLevel="0" collapsed="false">
      <c r="A10" s="10" t="str">
        <f aca="false">Daftar_Menu!A10</f>
        <v>Teh Hangat</v>
      </c>
      <c r="B10" s="10" t="str">
        <f aca="false">Daftar_Menu!B10</f>
        <v>Minuman</v>
      </c>
      <c r="C10" s="16" t="n">
        <f aca="false">SUMIFS(Data_Bersih!$D$2:$D$2398,Data_Bersih!$C$2:$C$2398,A10)</f>
        <v>145</v>
      </c>
      <c r="D10" s="16" t="n">
        <f aca="false">SUMIFS(Data_Bersih!$G$2:$G$2398,Data_Bersih!$C$2:$C$2398,A10)</f>
        <v>580000</v>
      </c>
      <c r="E10" s="17" t="n">
        <f aca="false">D10/$D$14</f>
        <v>0.0151242535659339</v>
      </c>
      <c r="F10" s="10" t="n">
        <f aca="false">RANK(C10,$C$2:$C$13)</f>
        <v>10</v>
      </c>
      <c r="G10" s="10" t="n">
        <f aca="false">RANK(D10,$D$2:$D$13)</f>
        <v>11</v>
      </c>
    </row>
    <row r="11" customFormat="false" ht="15" hidden="false" customHeight="false" outlineLevel="0" collapsed="false">
      <c r="A11" s="10" t="str">
        <f aca="false">Daftar_Menu!A11</f>
        <v>Es Jeruk</v>
      </c>
      <c r="B11" s="10" t="str">
        <f aca="false">Daftar_Menu!B11</f>
        <v>Minuman</v>
      </c>
      <c r="C11" s="16" t="n">
        <f aca="false">SUMIFS(Data_Bersih!$D$2:$D$2398,Data_Bersih!$C$2:$C$2398,A11)</f>
        <v>255</v>
      </c>
      <c r="D11" s="16" t="n">
        <f aca="false">SUMIFS(Data_Bersih!$G$2:$G$2398,Data_Bersih!$C$2:$C$2398,A11)</f>
        <v>1785000</v>
      </c>
      <c r="E11" s="17" t="n">
        <f aca="false">D11/$D$14</f>
        <v>0.0465461941641242</v>
      </c>
      <c r="F11" s="10" t="n">
        <f aca="false">RANK(C11,$C$2:$C$13)</f>
        <v>6</v>
      </c>
      <c r="G11" s="10" t="n">
        <f aca="false">RANK(D11,$D$2:$D$13)</f>
        <v>9</v>
      </c>
    </row>
    <row r="12" customFormat="false" ht="15" hidden="false" customHeight="false" outlineLevel="0" collapsed="false">
      <c r="A12" s="10" t="str">
        <f aca="false">Daftar_Menu!A12</f>
        <v>Kopi Susu</v>
      </c>
      <c r="B12" s="10" t="str">
        <f aca="false">Daftar_Menu!B12</f>
        <v>Minuman</v>
      </c>
      <c r="C12" s="16" t="n">
        <f aca="false">SUMIFS(Data_Bersih!$D$2:$D$2398,Data_Bersih!$C$2:$C$2398,A12)</f>
        <v>217</v>
      </c>
      <c r="D12" s="16" t="n">
        <f aca="false">SUMIFS(Data_Bersih!$G$2:$G$2398,Data_Bersih!$C$2:$C$2398,A12)</f>
        <v>2170000</v>
      </c>
      <c r="E12" s="17" t="n">
        <f aca="false">D12/$D$14</f>
        <v>0.0565855693759942</v>
      </c>
      <c r="F12" s="10" t="n">
        <f aca="false">RANK(C12,$C$2:$C$13)</f>
        <v>9</v>
      </c>
      <c r="G12" s="10" t="n">
        <f aca="false">RANK(D12,$D$2:$D$13)</f>
        <v>8</v>
      </c>
    </row>
    <row r="13" customFormat="false" ht="15" hidden="false" customHeight="false" outlineLevel="0" collapsed="false">
      <c r="A13" s="10" t="str">
        <f aca="false">Daftar_Menu!A13</f>
        <v>Air Mineral</v>
      </c>
      <c r="B13" s="10" t="str">
        <f aca="false">Daftar_Menu!B13</f>
        <v>Minuman</v>
      </c>
      <c r="C13" s="16" t="n">
        <f aca="false">SUMIFS(Data_Bersih!$D$2:$D$2398,Data_Bersih!$C$2:$C$2398,A13)</f>
        <v>114</v>
      </c>
      <c r="D13" s="16" t="n">
        <f aca="false">SUMIFS(Data_Bersih!$G$2:$G$2398,Data_Bersih!$C$2:$C$2398,A13)</f>
        <v>342000</v>
      </c>
      <c r="E13" s="17" t="n">
        <f aca="false">D13/$D$14</f>
        <v>0.00891809434405069</v>
      </c>
      <c r="F13" s="10" t="n">
        <f aca="false">RANK(C13,$C$2:$C$13)</f>
        <v>12</v>
      </c>
      <c r="G13" s="10" t="n">
        <f aca="false">RANK(D13,$D$2:$D$13)</f>
        <v>12</v>
      </c>
    </row>
    <row r="14" customFormat="false" ht="15" hidden="false" customHeight="false" outlineLevel="0" collapsed="false">
      <c r="A14" s="18" t="s">
        <v>2254</v>
      </c>
      <c r="B14" s="18"/>
      <c r="C14" s="19" t="n">
        <f aca="false">SUM(C2:C13)</f>
        <v>3196</v>
      </c>
      <c r="D14" s="19" t="n">
        <f aca="false">SUM(D2:D13)</f>
        <v>38349000</v>
      </c>
      <c r="E14" s="20" t="n">
        <f aca="false">SUM(E2:E13)</f>
        <v>1</v>
      </c>
      <c r="F14" s="18"/>
      <c r="G14" s="18"/>
    </row>
    <row r="16" customFormat="false" ht="15" hidden="false" customHeight="false" outlineLevel="0" collapsed="false">
      <c r="A16" s="6" t="s">
        <v>2255</v>
      </c>
      <c r="D16" s="21" t="n">
        <f aca="false">D14-SUM(Data_Bersih!$G$2:$G$2398)</f>
        <v>0</v>
      </c>
    </row>
    <row r="18" customFormat="false" ht="15" hidden="false" customHeight="false" outlineLevel="0" collapsed="false">
      <c r="A18" s="22" t="s">
        <v>2256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19"/>
  </cols>
  <sheetData>
    <row r="1" customFormat="false" ht="23.85" hidden="false" customHeight="false" outlineLevel="0" collapsed="false">
      <c r="A1" s="12" t="s">
        <v>46</v>
      </c>
      <c r="B1" s="12" t="s">
        <v>59</v>
      </c>
      <c r="C1" s="12" t="s">
        <v>2257</v>
      </c>
      <c r="D1" s="12" t="s">
        <v>2258</v>
      </c>
      <c r="E1" s="12" t="s">
        <v>2250</v>
      </c>
      <c r="F1" s="12" t="s">
        <v>2253</v>
      </c>
      <c r="G1" s="12" t="s">
        <v>2259</v>
      </c>
    </row>
    <row r="2" customFormat="false" ht="15" hidden="false" customHeight="false" outlineLevel="0" collapsed="false">
      <c r="A2" s="10" t="s">
        <v>2260</v>
      </c>
      <c r="B2" s="10" t="n">
        <v>8</v>
      </c>
      <c r="C2" s="16" t="n">
        <f aca="false">SUMIFS(Data_Bersih!$L$2:$L$2398,Data_Bersih!$J$2:$J$2398,B2)</f>
        <v>33</v>
      </c>
      <c r="D2" s="16" t="n">
        <f aca="false">SUMIFS(Data_Bersih!$D$2:$D$2398,Data_Bersih!$J$2:$J$2398,B2)</f>
        <v>77</v>
      </c>
      <c r="E2" s="16" t="n">
        <f aca="false">SUMIFS(Data_Bersih!$G$2:$G$2398,Data_Bersih!$J$2:$J$2398,B2)</f>
        <v>970000</v>
      </c>
      <c r="F2" s="10" t="n">
        <f aca="false">RANK(E2,$E$2:$E$14)</f>
        <v>13</v>
      </c>
      <c r="G2" s="10" t="n">
        <f aca="false">RANK(C2,$C$2:$C$14)</f>
        <v>13</v>
      </c>
    </row>
    <row r="3" customFormat="false" ht="15" hidden="false" customHeight="false" outlineLevel="0" collapsed="false">
      <c r="A3" s="10" t="s">
        <v>2261</v>
      </c>
      <c r="B3" s="10" t="n">
        <v>9</v>
      </c>
      <c r="C3" s="16" t="n">
        <f aca="false">SUMIFS(Data_Bersih!$L$2:$L$2398,Data_Bersih!$J$2:$J$2398,B3)</f>
        <v>55</v>
      </c>
      <c r="D3" s="16" t="n">
        <f aca="false">SUMIFS(Data_Bersih!$D$2:$D$2398,Data_Bersih!$J$2:$J$2398,B3)</f>
        <v>118</v>
      </c>
      <c r="E3" s="16" t="n">
        <f aca="false">SUMIFS(Data_Bersih!$G$2:$G$2398,Data_Bersih!$J$2:$J$2398,B3)</f>
        <v>1330000</v>
      </c>
      <c r="F3" s="10" t="n">
        <f aca="false">RANK(E3,$E$2:$E$14)</f>
        <v>12</v>
      </c>
      <c r="G3" s="10" t="n">
        <f aca="false">RANK(C3,$C$2:$C$14)</f>
        <v>11</v>
      </c>
    </row>
    <row r="4" customFormat="false" ht="15" hidden="false" customHeight="false" outlineLevel="0" collapsed="false">
      <c r="A4" s="10" t="s">
        <v>2262</v>
      </c>
      <c r="B4" s="10" t="n">
        <v>10</v>
      </c>
      <c r="C4" s="16" t="n">
        <f aca="false">SUMIFS(Data_Bersih!$L$2:$L$2398,Data_Bersih!$J$2:$J$2398,B4)</f>
        <v>55</v>
      </c>
      <c r="D4" s="16" t="n">
        <f aca="false">SUMIFS(Data_Bersih!$D$2:$D$2398,Data_Bersih!$J$2:$J$2398,B4)</f>
        <v>114</v>
      </c>
      <c r="E4" s="16" t="n">
        <f aca="false">SUMIFS(Data_Bersih!$G$2:$G$2398,Data_Bersih!$J$2:$J$2398,B4)</f>
        <v>1403000</v>
      </c>
      <c r="F4" s="10" t="n">
        <f aca="false">RANK(E4,$E$2:$E$14)</f>
        <v>11</v>
      </c>
      <c r="G4" s="10" t="n">
        <f aca="false">RANK(C4,$C$2:$C$14)</f>
        <v>11</v>
      </c>
    </row>
    <row r="5" customFormat="false" ht="15" hidden="false" customHeight="false" outlineLevel="0" collapsed="false">
      <c r="A5" s="10" t="s">
        <v>2263</v>
      </c>
      <c r="B5" s="10" t="n">
        <v>11</v>
      </c>
      <c r="C5" s="16" t="n">
        <f aca="false">SUMIFS(Data_Bersih!$L$2:$L$2398,Data_Bersih!$J$2:$J$2398,B5)</f>
        <v>143</v>
      </c>
      <c r="D5" s="16" t="n">
        <f aca="false">SUMIFS(Data_Bersih!$D$2:$D$2398,Data_Bersih!$J$2:$J$2398,B5)</f>
        <v>323</v>
      </c>
      <c r="E5" s="16" t="n">
        <f aca="false">SUMIFS(Data_Bersih!$G$2:$G$2398,Data_Bersih!$J$2:$J$2398,B5)</f>
        <v>3711000</v>
      </c>
      <c r="F5" s="10" t="n">
        <f aca="false">RANK(E5,$E$2:$E$14)</f>
        <v>4</v>
      </c>
      <c r="G5" s="10" t="n">
        <f aca="false">RANK(C5,$C$2:$C$14)</f>
        <v>5</v>
      </c>
    </row>
    <row r="6" customFormat="false" ht="15" hidden="false" customHeight="false" outlineLevel="0" collapsed="false">
      <c r="A6" s="10" t="s">
        <v>2264</v>
      </c>
      <c r="B6" s="10" t="n">
        <v>12</v>
      </c>
      <c r="C6" s="16" t="n">
        <f aca="false">SUMIFS(Data_Bersih!$L$2:$L$2398,Data_Bersih!$J$2:$J$2398,B6)</f>
        <v>212</v>
      </c>
      <c r="D6" s="16" t="n">
        <f aca="false">SUMIFS(Data_Bersih!$D$2:$D$2398,Data_Bersih!$J$2:$J$2398,B6)</f>
        <v>478</v>
      </c>
      <c r="E6" s="16" t="n">
        <f aca="false">SUMIFS(Data_Bersih!$G$2:$G$2398,Data_Bersih!$J$2:$J$2398,B6)</f>
        <v>5928000</v>
      </c>
      <c r="F6" s="10" t="n">
        <f aca="false">RANK(E6,$E$2:$E$14)</f>
        <v>1</v>
      </c>
      <c r="G6" s="10" t="n">
        <f aca="false">RANK(C6,$C$2:$C$14)</f>
        <v>1</v>
      </c>
    </row>
    <row r="7" customFormat="false" ht="15" hidden="false" customHeight="false" outlineLevel="0" collapsed="false">
      <c r="A7" s="10" t="s">
        <v>2265</v>
      </c>
      <c r="B7" s="10" t="n">
        <v>13</v>
      </c>
      <c r="C7" s="16" t="n">
        <f aca="false">SUMIFS(Data_Bersih!$L$2:$L$2398,Data_Bersih!$J$2:$J$2398,B7)</f>
        <v>148</v>
      </c>
      <c r="D7" s="16" t="n">
        <f aca="false">SUMIFS(Data_Bersih!$D$2:$D$2398,Data_Bersih!$J$2:$J$2398,B7)</f>
        <v>304</v>
      </c>
      <c r="E7" s="16" t="n">
        <f aca="false">SUMIFS(Data_Bersih!$G$2:$G$2398,Data_Bersih!$J$2:$J$2398,B7)</f>
        <v>3555000</v>
      </c>
      <c r="F7" s="10" t="n">
        <f aca="false">RANK(E7,$E$2:$E$14)</f>
        <v>5</v>
      </c>
      <c r="G7" s="10" t="n">
        <f aca="false">RANK(C7,$C$2:$C$14)</f>
        <v>4</v>
      </c>
    </row>
    <row r="8" customFormat="false" ht="15" hidden="false" customHeight="false" outlineLevel="0" collapsed="false">
      <c r="A8" s="10" t="s">
        <v>2266</v>
      </c>
      <c r="B8" s="10" t="n">
        <v>14</v>
      </c>
      <c r="C8" s="16" t="n">
        <f aca="false">SUMIFS(Data_Bersih!$L$2:$L$2398,Data_Bersih!$J$2:$J$2398,B8)</f>
        <v>70</v>
      </c>
      <c r="D8" s="16" t="n">
        <f aca="false">SUMIFS(Data_Bersih!$D$2:$D$2398,Data_Bersih!$J$2:$J$2398,B8)</f>
        <v>154</v>
      </c>
      <c r="E8" s="16" t="n">
        <f aca="false">SUMIFS(Data_Bersih!$G$2:$G$2398,Data_Bersih!$J$2:$J$2398,B8)</f>
        <v>1865000</v>
      </c>
      <c r="F8" s="10" t="n">
        <f aca="false">RANK(E8,$E$2:$E$14)</f>
        <v>10</v>
      </c>
      <c r="G8" s="10" t="n">
        <f aca="false">RANK(C8,$C$2:$C$14)</f>
        <v>8</v>
      </c>
    </row>
    <row r="9" customFormat="false" ht="15" hidden="false" customHeight="false" outlineLevel="0" collapsed="false">
      <c r="A9" s="10" t="s">
        <v>2267</v>
      </c>
      <c r="B9" s="10" t="n">
        <v>15</v>
      </c>
      <c r="C9" s="16" t="n">
        <f aca="false">SUMIFS(Data_Bersih!$L$2:$L$2398,Data_Bersih!$J$2:$J$2398,B9)</f>
        <v>67</v>
      </c>
      <c r="D9" s="16" t="n">
        <f aca="false">SUMIFS(Data_Bersih!$D$2:$D$2398,Data_Bersih!$J$2:$J$2398,B9)</f>
        <v>152</v>
      </c>
      <c r="E9" s="16" t="n">
        <f aca="false">SUMIFS(Data_Bersih!$G$2:$G$2398,Data_Bersih!$J$2:$J$2398,B9)</f>
        <v>1914000</v>
      </c>
      <c r="F9" s="10" t="n">
        <f aca="false">RANK(E9,$E$2:$E$14)</f>
        <v>8</v>
      </c>
      <c r="G9" s="10" t="n">
        <f aca="false">RANK(C9,$C$2:$C$14)</f>
        <v>10</v>
      </c>
    </row>
    <row r="10" customFormat="false" ht="15" hidden="false" customHeight="false" outlineLevel="0" collapsed="false">
      <c r="A10" s="10" t="s">
        <v>2268</v>
      </c>
      <c r="B10" s="10" t="n">
        <v>16</v>
      </c>
      <c r="C10" s="16" t="n">
        <f aca="false">SUMIFS(Data_Bersih!$L$2:$L$2398,Data_Bersih!$J$2:$J$2398,B10)</f>
        <v>70</v>
      </c>
      <c r="D10" s="16" t="n">
        <f aca="false">SUMIFS(Data_Bersih!$D$2:$D$2398,Data_Bersih!$J$2:$J$2398,B10)</f>
        <v>149</v>
      </c>
      <c r="E10" s="16" t="n">
        <f aca="false">SUMIFS(Data_Bersih!$G$2:$G$2398,Data_Bersih!$J$2:$J$2398,B10)</f>
        <v>1874000</v>
      </c>
      <c r="F10" s="10" t="n">
        <f aca="false">RANK(E10,$E$2:$E$14)</f>
        <v>9</v>
      </c>
      <c r="G10" s="10" t="n">
        <f aca="false">RANK(C10,$C$2:$C$14)</f>
        <v>8</v>
      </c>
    </row>
    <row r="11" customFormat="false" ht="15" hidden="false" customHeight="false" outlineLevel="0" collapsed="false">
      <c r="A11" s="10" t="s">
        <v>2269</v>
      </c>
      <c r="B11" s="10" t="n">
        <v>17</v>
      </c>
      <c r="C11" s="16" t="n">
        <f aca="false">SUMIFS(Data_Bersih!$L$2:$L$2398,Data_Bersih!$J$2:$J$2398,B11)</f>
        <v>123</v>
      </c>
      <c r="D11" s="16" t="n">
        <f aca="false">SUMIFS(Data_Bersih!$D$2:$D$2398,Data_Bersih!$J$2:$J$2398,B11)</f>
        <v>269</v>
      </c>
      <c r="E11" s="16" t="n">
        <f aca="false">SUMIFS(Data_Bersih!$G$2:$G$2398,Data_Bersih!$J$2:$J$2398,B11)</f>
        <v>3279000</v>
      </c>
      <c r="F11" s="10" t="n">
        <f aca="false">RANK(E11,$E$2:$E$14)</f>
        <v>6</v>
      </c>
      <c r="G11" s="10" t="n">
        <f aca="false">RANK(C11,$C$2:$C$14)</f>
        <v>6</v>
      </c>
    </row>
    <row r="12" customFormat="false" ht="15" hidden="false" customHeight="false" outlineLevel="0" collapsed="false">
      <c r="A12" s="10" t="s">
        <v>2270</v>
      </c>
      <c r="B12" s="10" t="n">
        <v>18</v>
      </c>
      <c r="C12" s="16" t="n">
        <f aca="false">SUMIFS(Data_Bersih!$L$2:$L$2398,Data_Bersih!$J$2:$J$2398,B12)</f>
        <v>190</v>
      </c>
      <c r="D12" s="16" t="n">
        <f aca="false">SUMIFS(Data_Bersih!$D$2:$D$2398,Data_Bersih!$J$2:$J$2398,B12)</f>
        <v>429</v>
      </c>
      <c r="E12" s="16" t="n">
        <f aca="false">SUMIFS(Data_Bersih!$G$2:$G$2398,Data_Bersih!$J$2:$J$2398,B12)</f>
        <v>5166000</v>
      </c>
      <c r="F12" s="10" t="n">
        <f aca="false">RANK(E12,$E$2:$E$14)</f>
        <v>2</v>
      </c>
      <c r="G12" s="10" t="n">
        <f aca="false">RANK(C12,$C$2:$C$14)</f>
        <v>2</v>
      </c>
    </row>
    <row r="13" customFormat="false" ht="15" hidden="false" customHeight="false" outlineLevel="0" collapsed="false">
      <c r="A13" s="10" t="s">
        <v>2271</v>
      </c>
      <c r="B13" s="10" t="n">
        <v>19</v>
      </c>
      <c r="C13" s="16" t="n">
        <f aca="false">SUMIFS(Data_Bersih!$L$2:$L$2398,Data_Bersih!$J$2:$J$2398,B13)</f>
        <v>172</v>
      </c>
      <c r="D13" s="16" t="n">
        <f aca="false">SUMIFS(Data_Bersih!$D$2:$D$2398,Data_Bersih!$J$2:$J$2398,B13)</f>
        <v>417</v>
      </c>
      <c r="E13" s="16" t="n">
        <f aca="false">SUMIFS(Data_Bersih!$G$2:$G$2398,Data_Bersih!$J$2:$J$2398,B13)</f>
        <v>4926000</v>
      </c>
      <c r="F13" s="10" t="n">
        <f aca="false">RANK(E13,$E$2:$E$14)</f>
        <v>3</v>
      </c>
      <c r="G13" s="10" t="n">
        <f aca="false">RANK(C13,$C$2:$C$14)</f>
        <v>3</v>
      </c>
    </row>
    <row r="14" customFormat="false" ht="15" hidden="false" customHeight="false" outlineLevel="0" collapsed="false">
      <c r="A14" s="10" t="s">
        <v>2272</v>
      </c>
      <c r="B14" s="10" t="n">
        <v>20</v>
      </c>
      <c r="C14" s="16" t="n">
        <f aca="false">SUMIFS(Data_Bersih!$L$2:$L$2398,Data_Bersih!$J$2:$J$2398,B14)</f>
        <v>95</v>
      </c>
      <c r="D14" s="16" t="n">
        <f aca="false">SUMIFS(Data_Bersih!$D$2:$D$2398,Data_Bersih!$J$2:$J$2398,B14)</f>
        <v>212</v>
      </c>
      <c r="E14" s="16" t="n">
        <f aca="false">SUMIFS(Data_Bersih!$G$2:$G$2398,Data_Bersih!$J$2:$J$2398,B14)</f>
        <v>2428000</v>
      </c>
      <c r="F14" s="10" t="n">
        <f aca="false">RANK(E14,$E$2:$E$14)</f>
        <v>7</v>
      </c>
      <c r="G14" s="10" t="n">
        <f aca="false">RANK(C14,$C$2:$C$14)</f>
        <v>7</v>
      </c>
    </row>
    <row r="15" customFormat="false" ht="15" hidden="false" customHeight="false" outlineLevel="0" collapsed="false">
      <c r="A15" s="18" t="s">
        <v>2254</v>
      </c>
      <c r="B15" s="18"/>
      <c r="C15" s="19" t="n">
        <f aca="false">SUM(C2:C14)</f>
        <v>1433</v>
      </c>
      <c r="D15" s="19" t="n">
        <f aca="false">SUM(D2:D14)</f>
        <v>3196</v>
      </c>
      <c r="E15" s="19" t="n">
        <f aca="false">SUM(E2:E14)</f>
        <v>38349000</v>
      </c>
      <c r="F15" s="18"/>
      <c r="G15" s="18"/>
    </row>
    <row r="17" customFormat="false" ht="15" hidden="false" customHeight="false" outlineLevel="0" collapsed="false">
      <c r="A17" s="6" t="s">
        <v>2273</v>
      </c>
      <c r="E17" s="21" t="n">
        <f aca="false">E15-SUM(Data_Bersih!$G$2:$G$2398)</f>
        <v>0</v>
      </c>
    </row>
    <row r="19" customFormat="false" ht="15" hidden="false" customHeight="false" outlineLevel="0" collapsed="false">
      <c r="A19" s="22" t="s">
        <v>2274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34"/>
  </cols>
  <sheetData>
    <row r="1" customFormat="false" ht="15" hidden="false" customHeight="false" outlineLevel="0" collapsed="false">
      <c r="A1" s="12" t="s">
        <v>41</v>
      </c>
      <c r="B1" s="12" t="s">
        <v>54</v>
      </c>
      <c r="C1" s="12" t="s">
        <v>2275</v>
      </c>
      <c r="D1" s="12" t="s">
        <v>2276</v>
      </c>
    </row>
    <row r="2" customFormat="false" ht="15" hidden="false" customHeight="false" outlineLevel="0" collapsed="false">
      <c r="A2" s="10" t="s">
        <v>81</v>
      </c>
      <c r="B2" s="10" t="s">
        <v>2277</v>
      </c>
      <c r="C2" s="23" t="n">
        <v>15000</v>
      </c>
      <c r="D2" s="10" t="s">
        <v>2278</v>
      </c>
    </row>
    <row r="3" customFormat="false" ht="15" hidden="false" customHeight="false" outlineLevel="0" collapsed="false">
      <c r="A3" s="10" t="s">
        <v>89</v>
      </c>
      <c r="B3" s="10" t="s">
        <v>2277</v>
      </c>
      <c r="C3" s="23" t="n">
        <v>14000</v>
      </c>
      <c r="D3" s="10" t="s">
        <v>2278</v>
      </c>
    </row>
    <row r="4" customFormat="false" ht="15" hidden="false" customHeight="false" outlineLevel="0" collapsed="false">
      <c r="A4" s="10" t="s">
        <v>101</v>
      </c>
      <c r="B4" s="10" t="s">
        <v>2277</v>
      </c>
      <c r="C4" s="23" t="n">
        <v>18000</v>
      </c>
      <c r="D4" s="10" t="s">
        <v>2278</v>
      </c>
    </row>
    <row r="5" customFormat="false" ht="15" hidden="false" customHeight="false" outlineLevel="0" collapsed="false">
      <c r="A5" s="10" t="s">
        <v>108</v>
      </c>
      <c r="B5" s="10" t="s">
        <v>2277</v>
      </c>
      <c r="C5" s="23" t="n">
        <v>20000</v>
      </c>
      <c r="D5" s="10" t="s">
        <v>2279</v>
      </c>
    </row>
    <row r="6" customFormat="false" ht="15" hidden="false" customHeight="false" outlineLevel="0" collapsed="false">
      <c r="A6" s="10" t="s">
        <v>79</v>
      </c>
      <c r="B6" s="10" t="s">
        <v>2277</v>
      </c>
      <c r="C6" s="23" t="n">
        <v>16000</v>
      </c>
      <c r="D6" s="10" t="s">
        <v>2278</v>
      </c>
    </row>
    <row r="7" customFormat="false" ht="15" hidden="false" customHeight="false" outlineLevel="0" collapsed="false">
      <c r="A7" s="10" t="s">
        <v>132</v>
      </c>
      <c r="B7" s="10" t="s">
        <v>2277</v>
      </c>
      <c r="C7" s="23" t="n">
        <v>15000</v>
      </c>
      <c r="D7" s="10" t="s">
        <v>2278</v>
      </c>
    </row>
    <row r="8" customFormat="false" ht="15" hidden="false" customHeight="false" outlineLevel="0" collapsed="false">
      <c r="A8" s="10" t="s">
        <v>82</v>
      </c>
      <c r="B8" s="10" t="s">
        <v>2277</v>
      </c>
      <c r="C8" s="23" t="n">
        <v>13000</v>
      </c>
      <c r="D8" s="10" t="s">
        <v>2278</v>
      </c>
    </row>
    <row r="9" customFormat="false" ht="15" hidden="false" customHeight="false" outlineLevel="0" collapsed="false">
      <c r="A9" s="10" t="s">
        <v>84</v>
      </c>
      <c r="B9" s="10" t="s">
        <v>2280</v>
      </c>
      <c r="C9" s="23" t="n">
        <v>5000</v>
      </c>
      <c r="D9" s="10" t="s">
        <v>1700</v>
      </c>
    </row>
    <row r="10" customFormat="false" ht="15" hidden="false" customHeight="false" outlineLevel="0" collapsed="false">
      <c r="A10" s="10" t="s">
        <v>92</v>
      </c>
      <c r="B10" s="10" t="s">
        <v>2280</v>
      </c>
      <c r="C10" s="23" t="n">
        <v>4000</v>
      </c>
      <c r="D10" s="10" t="s">
        <v>2278</v>
      </c>
    </row>
    <row r="11" customFormat="false" ht="15" hidden="false" customHeight="false" outlineLevel="0" collapsed="false">
      <c r="A11" s="10" t="s">
        <v>186</v>
      </c>
      <c r="B11" s="10" t="s">
        <v>2280</v>
      </c>
      <c r="C11" s="23" t="n">
        <v>7000</v>
      </c>
      <c r="D11" s="10" t="s">
        <v>2278</v>
      </c>
    </row>
    <row r="12" customFormat="false" ht="15" hidden="false" customHeight="false" outlineLevel="0" collapsed="false">
      <c r="A12" s="10" t="s">
        <v>112</v>
      </c>
      <c r="B12" s="10" t="s">
        <v>2280</v>
      </c>
      <c r="C12" s="23" t="n">
        <v>10000</v>
      </c>
      <c r="D12" s="10" t="s">
        <v>2278</v>
      </c>
    </row>
    <row r="13" customFormat="false" ht="15" hidden="false" customHeight="false" outlineLevel="0" collapsed="false">
      <c r="A13" s="10" t="s">
        <v>126</v>
      </c>
      <c r="B13" s="10" t="s">
        <v>2280</v>
      </c>
      <c r="C13" s="23" t="n">
        <v>3000</v>
      </c>
      <c r="D13" s="10" t="s">
        <v>2278</v>
      </c>
    </row>
    <row r="15" customFormat="false" ht="15" hidden="false" customHeight="false" outlineLevel="0" collapsed="false">
      <c r="A15" s="22" t="s">
        <v>2281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2026-10-20T01:31:33Z</dcterms:created>
  <dc:creator>openpyxl</dc:creator>
  <dc:description/>
  <dc:language>en-US</dc:language>
  <cp:lastModifiedBy/>
  <dcterms:modified xsi:type="dcterms:W3CDTF">2026-10-20T01:31:34Z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